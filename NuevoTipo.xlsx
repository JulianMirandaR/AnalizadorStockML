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ómina de Stock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<sst xmlns="http://schemas.openxmlformats.org/spreadsheetml/2006/main" uniqueCount="5225">
  <si>
    <t>NUEVOS NEUMATICOS S.R.L.</t>
  </si>
  <si>
    <t>GIL 681 &gt; (6300) SANTA ROSA &gt; LA PAMPA</t>
  </si>
  <si>
    <t xml:space="preserve">2954654980 &gt; nuevosneumaticos@gmail.com &gt; </t>
  </si>
  <si>
    <t>Nómina de Stock en CORONEL GIL - Negativos = SI</t>
  </si>
  <si>
    <t>Categoría</t>
  </si>
  <si>
    <t>Aplicación</t>
  </si>
  <si>
    <t>Referencia</t>
  </si>
  <si>
    <t>Código</t>
  </si>
  <si>
    <t>Descripción</t>
  </si>
  <si>
    <t>Un. Medida</t>
  </si>
  <si>
    <t>Stock Físico</t>
  </si>
  <si>
    <t>Kilos</t>
  </si>
  <si>
    <t>Pendientes</t>
  </si>
  <si>
    <t>Disponible</t>
  </si>
  <si>
    <t>Costo Unit. Actual</t>
  </si>
  <si>
    <t>Valorización del stock al Costo Actual</t>
  </si>
  <si>
    <t>Valorización del stock a Precio Venta.s/IVA</t>
  </si>
  <si>
    <t>Total s/IVA</t>
  </si>
  <si>
    <t>Stock Minimo</t>
  </si>
  <si>
    <t>Punto de Pedido</t>
  </si>
  <si>
    <t>Unidades a Pedir</t>
  </si>
  <si>
    <t>UxB</t>
  </si>
  <si>
    <t>Bultos a Pedir</t>
  </si>
  <si>
    <t>Costo última compra al 01/01/2100</t>
  </si>
  <si>
    <t>Fecha última compra al 01/01/2100</t>
  </si>
  <si>
    <t xml:space="preserve">Costo Legajo Producto </t>
  </si>
  <si>
    <t>Fecha Act. Legajo Producto</t>
  </si>
  <si>
    <t>Ubicacion</t>
  </si>
  <si>
    <t>CAMIONETA RADIAL</t>
  </si>
  <si>
    <t>'</t>
  </si>
  <si>
    <t>'552613</t>
  </si>
  <si>
    <t>'14739</t>
  </si>
  <si>
    <t>11.00-16 8T TL ALLIANCE 313 ( 4 GUIAS )</t>
  </si>
  <si>
    <t>BULTO</t>
  </si>
  <si>
    <t>30/06/2025 FC-A-0022-00029674</t>
  </si>
  <si>
    <t>AUTO RADIAL</t>
  </si>
  <si>
    <t>'412225</t>
  </si>
  <si>
    <t>155 R13C 8T WEST LAKE SL305 90/88S UL</t>
  </si>
  <si>
    <t>'9531</t>
  </si>
  <si>
    <t>'21273</t>
  </si>
  <si>
    <t>155/60R15 74T KH16 KUMHO</t>
  </si>
  <si>
    <t>UN</t>
  </si>
  <si>
    <t>14/08/2023 REM-R-0010-00000138</t>
  </si>
  <si>
    <t>23/10/2025 Legajo del Producto...</t>
  </si>
  <si>
    <t>'9533</t>
  </si>
  <si>
    <t>'221000051</t>
  </si>
  <si>
    <t>155/65R13 73T GREENMAX ET LINGLONG</t>
  </si>
  <si>
    <t>31/10/2025 REM-X-0055-00361380</t>
  </si>
  <si>
    <t>24/12/2025 Legajo del Producto...</t>
  </si>
  <si>
    <t>celda 9</t>
  </si>
  <si>
    <t>'552663</t>
  </si>
  <si>
    <t>'60005</t>
  </si>
  <si>
    <t>155/65R13 FM316 FIREMAX</t>
  </si>
  <si>
    <t>08/04/2026 REM-X-0001-00084800</t>
  </si>
  <si>
    <t>11/04/2026 Legajo del Producto...</t>
  </si>
  <si>
    <t>'528110</t>
  </si>
  <si>
    <t>'DU-305213</t>
  </si>
  <si>
    <t>155/70R12 DUNLOP SP TOURING T1</t>
  </si>
  <si>
    <t>'9814</t>
  </si>
  <si>
    <t>'22773</t>
  </si>
  <si>
    <t>155/70R13 75H KR26 KUMHO</t>
  </si>
  <si>
    <t>26/06/2024 REM-X-0004-00000575</t>
  </si>
  <si>
    <t>'528111</t>
  </si>
  <si>
    <t>'DU-310645</t>
  </si>
  <si>
    <t>155/70R13 DUNLOP SP TOURING T1</t>
  </si>
  <si>
    <t>'383235</t>
  </si>
  <si>
    <t>155/80 R13 WINDFORCE SNOWBLAZER 79T</t>
  </si>
  <si>
    <t>31/07/2023 FC-A-0200-00297651</t>
  </si>
  <si>
    <t>'528112</t>
  </si>
  <si>
    <t>'FA-318747</t>
  </si>
  <si>
    <t>155/80R12 FALKEN R51</t>
  </si>
  <si>
    <t>'527797</t>
  </si>
  <si>
    <t>'13324</t>
  </si>
  <si>
    <t>155R12 C 6T WESTLAKE H550 83/81 Q M+S</t>
  </si>
  <si>
    <t>22/10/2024 FC-A-0200-00329154</t>
  </si>
  <si>
    <t>08/01/2026 Legajo del Producto...</t>
  </si>
  <si>
    <t>'9653</t>
  </si>
  <si>
    <t>'22500</t>
  </si>
  <si>
    <t>165/60R14 75H ES31 KUMHO</t>
  </si>
  <si>
    <t>05/03/2026 REM-X-0006-00000850</t>
  </si>
  <si>
    <t>02/12/2025 Legajo del Producto...</t>
  </si>
  <si>
    <t>celda 7</t>
  </si>
  <si>
    <t>'552506</t>
  </si>
  <si>
    <t>'552948</t>
  </si>
  <si>
    <t>165/60R14 75H LANVIGATOR COMFORT II</t>
  </si>
  <si>
    <t>'528033</t>
  </si>
  <si>
    <t>'14768</t>
  </si>
  <si>
    <t>165/60R14 75H N FERA SU4 NEXEN</t>
  </si>
  <si>
    <t>02/03/2026 FC-A-0022-00031400</t>
  </si>
  <si>
    <t>'9543</t>
  </si>
  <si>
    <t>'32224</t>
  </si>
  <si>
    <t>165/60R14 75H TR928 TRIANGLE</t>
  </si>
  <si>
    <t>07/03/2024 REM-R-0008-00000348</t>
  </si>
  <si>
    <t>'553152</t>
  </si>
  <si>
    <t>'60712</t>
  </si>
  <si>
    <t>165/60R14 FM601 75H-FIREMAX</t>
  </si>
  <si>
    <t>08/04/2026 REM-X-0001-00084803</t>
  </si>
  <si>
    <t>18/04/2026 Legajo del Producto...</t>
  </si>
  <si>
    <t>'528113</t>
  </si>
  <si>
    <t>'DU-310637</t>
  </si>
  <si>
    <t>165/65R13 DUNLOP SP TOURING R1</t>
  </si>
  <si>
    <t>'552632</t>
  </si>
  <si>
    <t>'9770426313</t>
  </si>
  <si>
    <t>165/70 R14 85T XL P1 CINT</t>
  </si>
  <si>
    <t>'10032</t>
  </si>
  <si>
    <t>'14179</t>
  </si>
  <si>
    <t>165/70R13 79T A609 APLUS</t>
  </si>
  <si>
    <t>01/12/2023 FC-A-0022-00023729</t>
  </si>
  <si>
    <t>'539957</t>
  </si>
  <si>
    <t>'552741</t>
  </si>
  <si>
    <t>165/70R13 79T COMFORT II LANVIGATOR</t>
  </si>
  <si>
    <t>29/03/2025 FC-A-0022-00028855</t>
  </si>
  <si>
    <t>'9412</t>
  </si>
  <si>
    <t>'32104</t>
  </si>
  <si>
    <t>165/70R13 79T E301 TRIANGLE</t>
  </si>
  <si>
    <t>29/04/2025 REM-X-0004-00000955</t>
  </si>
  <si>
    <t>'549454</t>
  </si>
  <si>
    <t>'1681886280</t>
  </si>
  <si>
    <t>165/70R13 79T EUROREPAR RELIANCE 1681886280</t>
  </si>
  <si>
    <t>'9441</t>
  </si>
  <si>
    <t>'60010</t>
  </si>
  <si>
    <t>165/70R13 79T FM316 FIREMAX</t>
  </si>
  <si>
    <t>16/04/2026 REM-X-0006-00000886</t>
  </si>
  <si>
    <t>13/04/2026 Legajo del Producto...</t>
  </si>
  <si>
    <t>'539795</t>
  </si>
  <si>
    <t>'14587</t>
  </si>
  <si>
    <t>165/70R13 79T M+S  RP18 WEST LAKE</t>
  </si>
  <si>
    <t>12/12/2024 REM-X-0004-00000833</t>
  </si>
  <si>
    <t>'528002</t>
  </si>
  <si>
    <t>'DU-327179</t>
  </si>
  <si>
    <t>165/70R13 79T P TOURING R1 DUNLOP</t>
  </si>
  <si>
    <t>07/04/2025 FC-A-0022-00028947</t>
  </si>
  <si>
    <t>'9451</t>
  </si>
  <si>
    <t>'PC165701379T</t>
  </si>
  <si>
    <t>165/70R13 79T PC50  PACE</t>
  </si>
  <si>
    <t>26/03/2026 REM-X-0004-00001330</t>
  </si>
  <si>
    <t>celda 8</t>
  </si>
  <si>
    <t>'9839</t>
  </si>
  <si>
    <t>'14334</t>
  </si>
  <si>
    <t>165/70R13 79T PCR WINDFORCE CATCHFORS</t>
  </si>
  <si>
    <t>09/06/2025 FC-A-0022-00029497</t>
  </si>
  <si>
    <t>'553055</t>
  </si>
  <si>
    <t>165/70R13 ES31 79T KUMHO</t>
  </si>
  <si>
    <t>27/03/2026 REM-X-0006-00000874</t>
  </si>
  <si>
    <t>06/02/2026 Legajo del Producto...</t>
  </si>
  <si>
    <t>'553023</t>
  </si>
  <si>
    <t>'553176</t>
  </si>
  <si>
    <t>165/70R13 ITARO NIKO 79T OUA-05-HP</t>
  </si>
  <si>
    <t>14/01/2026 Legajo del Producto...</t>
  </si>
  <si>
    <t>'9469</t>
  </si>
  <si>
    <t>'21786</t>
  </si>
  <si>
    <t>165/70R13 KR26 KUMHO</t>
  </si>
  <si>
    <t>24/05/2024 REM-X-0004-00000517</t>
  </si>
  <si>
    <t>'540039</t>
  </si>
  <si>
    <t>'552768</t>
  </si>
  <si>
    <t>165/70R14 81T COMFORT II LANVIGATOR</t>
  </si>
  <si>
    <t>'9466</t>
  </si>
  <si>
    <t>'29100</t>
  </si>
  <si>
    <t>165/70R14 81T ECOWING ES31 KUMHO</t>
  </si>
  <si>
    <t>13/02/2026 REM-X-0004-00001297</t>
  </si>
  <si>
    <t>G6BIS</t>
  </si>
  <si>
    <t>'552551</t>
  </si>
  <si>
    <t>'60014</t>
  </si>
  <si>
    <t>165/70R14 81T FM601 FIREMAX</t>
  </si>
  <si>
    <t>03/03/2026 REM-X-0001-00083831</t>
  </si>
  <si>
    <t>29/11/2025 Legajo del Producto...</t>
  </si>
  <si>
    <t>celda 2</t>
  </si>
  <si>
    <t>'552647</t>
  </si>
  <si>
    <t>'553001</t>
  </si>
  <si>
    <t>165/70R14 81T TL UL Z-107 WEST LAKE</t>
  </si>
  <si>
    <t>'552495</t>
  </si>
  <si>
    <t>'3715</t>
  </si>
  <si>
    <t>165/70R14 85T CONTIECOCONTACT 3 XL RENAULT KWID</t>
  </si>
  <si>
    <t>'4786</t>
  </si>
  <si>
    <t>'3581000000</t>
  </si>
  <si>
    <t>165/70R14 85T CONTINENTAL ECOCONTACT 3 XL RENAULT</t>
  </si>
  <si>
    <t>'553025</t>
  </si>
  <si>
    <t>'553180</t>
  </si>
  <si>
    <t>165/70R14 85T ECOCONTACT 6 CONTINENTAL</t>
  </si>
  <si>
    <t>'552752</t>
  </si>
  <si>
    <t>'3879300</t>
  </si>
  <si>
    <t>165/70R14 85T XL P1 CINTURATO</t>
  </si>
  <si>
    <t>11/05/2026 Legajo del Producto...</t>
  </si>
  <si>
    <t>'4768</t>
  </si>
  <si>
    <t>'F16470RRRMCZ</t>
  </si>
  <si>
    <t>165/70R14 89R TL RR H/T 6T FATE</t>
  </si>
  <si>
    <t>'540061</t>
  </si>
  <si>
    <t>'PC50-16570R14</t>
  </si>
  <si>
    <t>165/70R14 PACE</t>
  </si>
  <si>
    <t>'527796</t>
  </si>
  <si>
    <t>'PC50-1657014</t>
  </si>
  <si>
    <t>165/70R14 PC50 PACE</t>
  </si>
  <si>
    <t>14/04/2025 FC-A-0022-00029003</t>
  </si>
  <si>
    <t>'540009</t>
  </si>
  <si>
    <t>'32187</t>
  </si>
  <si>
    <t>165/70R14 TE301 85T XL TRIANGLE</t>
  </si>
  <si>
    <t>06/02/2026 REM-X-0001-00083185</t>
  </si>
  <si>
    <t>30/01/2026 Legajo del Producto...</t>
  </si>
  <si>
    <t>celda 1</t>
  </si>
  <si>
    <t>'462664</t>
  </si>
  <si>
    <t>175/50 R15 NEXEN N BLUE ECO 75H</t>
  </si>
  <si>
    <t>'9872</t>
  </si>
  <si>
    <t>'TPZEROR13</t>
  </si>
  <si>
    <t>175/510R13 T PZERO S</t>
  </si>
  <si>
    <t>25/04/2023 FC-A-0021-00023590</t>
  </si>
  <si>
    <t>'9524</t>
  </si>
  <si>
    <t>'21798</t>
  </si>
  <si>
    <t>175/55R15 77T KH27 KUMHO</t>
  </si>
  <si>
    <t>03/01/2025 REM-X-0004-00000857</t>
  </si>
  <si>
    <t>G9 // S</t>
  </si>
  <si>
    <t>'39602</t>
  </si>
  <si>
    <t>175/65 R14 BRIDGSTONE ECOPIA EP150 82H</t>
  </si>
  <si>
    <t>'31955</t>
  </si>
  <si>
    <t>175/65 R14 FIRESTONE F-700 82T</t>
  </si>
  <si>
    <t>01/07/2024 REM-X-0201-00310614</t>
  </si>
  <si>
    <t>'462410</t>
  </si>
  <si>
    <t>175/65 R14 NEXEN N-PRIZ SH9I 82H</t>
  </si>
  <si>
    <t>04/10/2024 FC-A-0022-00026929</t>
  </si>
  <si>
    <t>'31995</t>
  </si>
  <si>
    <t>175/65 R15 FIRESTONE F-700 84H</t>
  </si>
  <si>
    <t>'462425</t>
  </si>
  <si>
    <t>175/65 R15 NEXEN N-PRIZ SH9I 84H</t>
  </si>
  <si>
    <t>'9449</t>
  </si>
  <si>
    <t>'PC175651482H</t>
  </si>
  <si>
    <t>175/65R14  82H PC50   PACE</t>
  </si>
  <si>
    <t>17/06/2025 REM-X-0004-00001045</t>
  </si>
  <si>
    <t>G7 // S</t>
  </si>
  <si>
    <t>'8542</t>
  </si>
  <si>
    <t>'10225001</t>
  </si>
  <si>
    <t>175/65R14 82H FIREHAWK 900 FIRESTONE</t>
  </si>
  <si>
    <t>'539924</t>
  </si>
  <si>
    <t>'15744</t>
  </si>
  <si>
    <t>175/65R14 82H H/P WINDFORCE CATCHFORS</t>
  </si>
  <si>
    <t>30/01/2026 REM-X-0006-00000800</t>
  </si>
  <si>
    <t>'1902</t>
  </si>
  <si>
    <t>'2696900</t>
  </si>
  <si>
    <t>175/65R14 82H P400 EVO PIRELLI</t>
  </si>
  <si>
    <t>03/03/2026 FC-A-0022-00031411</t>
  </si>
  <si>
    <t>19/01/2026 Legajo del Producto...</t>
  </si>
  <si>
    <t>celda 10</t>
  </si>
  <si>
    <t>'527660</t>
  </si>
  <si>
    <t>'389100</t>
  </si>
  <si>
    <t>175/65R14 82H RP18 WESTLAKE</t>
  </si>
  <si>
    <t>02/11/2024 FC-A-0022-00027190</t>
  </si>
  <si>
    <t>'552753</t>
  </si>
  <si>
    <t>'552987</t>
  </si>
  <si>
    <t>175/65R14 82H TL UL Z-107 WEST LAKE</t>
  </si>
  <si>
    <t>'9806</t>
  </si>
  <si>
    <t>'384050</t>
  </si>
  <si>
    <t>175/65R14 82H WINDFORCE CATCHFORS PCR</t>
  </si>
  <si>
    <t>27/12/2024 FC-A-0022-00027812</t>
  </si>
  <si>
    <t>'552642</t>
  </si>
  <si>
    <t>'552962</t>
  </si>
  <si>
    <t>175/65R14 82T COMFORT II LANVIGATOR</t>
  </si>
  <si>
    <t>'528114</t>
  </si>
  <si>
    <t>'DU-321315</t>
  </si>
  <si>
    <t>175/65R14 82T ENASAVE EC300 DUNLOP</t>
  </si>
  <si>
    <t>25/03/2025 FC-A-0022-00028807</t>
  </si>
  <si>
    <t>'9541</t>
  </si>
  <si>
    <t>'22319</t>
  </si>
  <si>
    <t>175/65R14 82T ES31 KUMHO</t>
  </si>
  <si>
    <t>05/02/2026 REM-X-0001-00083127</t>
  </si>
  <si>
    <t>G6 // S</t>
  </si>
  <si>
    <t>'549455</t>
  </si>
  <si>
    <t>'1681886480</t>
  </si>
  <si>
    <t>175/65R14 82T EUROREPAR RELIANCE 1681886480</t>
  </si>
  <si>
    <t>'9572</t>
  </si>
  <si>
    <t>'60600</t>
  </si>
  <si>
    <t>175/65R14 82T FM601 FIREMAX</t>
  </si>
  <si>
    <t>17/12/2025 REM-X-0006-00000711</t>
  </si>
  <si>
    <t>'1890</t>
  </si>
  <si>
    <t>'2695800</t>
  </si>
  <si>
    <t>175/65R14 82T FORMULA ENERGY</t>
  </si>
  <si>
    <t>27/02/2026 FC-A-0022-00031396</t>
  </si>
  <si>
    <t>17/03/2026 Legajo del Producto...</t>
  </si>
  <si>
    <t>G3 // S</t>
  </si>
  <si>
    <t>'552400</t>
  </si>
  <si>
    <t>'552882</t>
  </si>
  <si>
    <t>175/65R14 82T GREENMAX ET LING LONG</t>
  </si>
  <si>
    <t>22/11/2025 Legajo del Producto...</t>
  </si>
  <si>
    <t>celda 6 bis</t>
  </si>
  <si>
    <t>'552643</t>
  </si>
  <si>
    <t>'4410600</t>
  </si>
  <si>
    <t>175/65R14 82T P1 CINTURATO (KS) PIRELLI</t>
  </si>
  <si>
    <t>30/04/2026 FC-A-0022-00031777</t>
  </si>
  <si>
    <t>'9594</t>
  </si>
  <si>
    <t>'4039200</t>
  </si>
  <si>
    <t>175/65R14 82T P1 CINTURATO PIRELLI</t>
  </si>
  <si>
    <t>07/04/2026 FC-A-0022-00031617</t>
  </si>
  <si>
    <t>'552894</t>
  </si>
  <si>
    <t>'553071</t>
  </si>
  <si>
    <t>175/65R14 82T POWECONTACT2 CONTINENTAL</t>
  </si>
  <si>
    <t>14/11/2025 Legajo del Producto...</t>
  </si>
  <si>
    <t>'527942</t>
  </si>
  <si>
    <t>'DU-331892</t>
  </si>
  <si>
    <t>175/65R14 82T SP TOURING R1 DUNLOP</t>
  </si>
  <si>
    <t>23/04/2025 FC-A-0022-00029094</t>
  </si>
  <si>
    <t>'539809</t>
  </si>
  <si>
    <t>'15163</t>
  </si>
  <si>
    <t>175/65R14 82T SU4 N FERA SU4 NEXEN</t>
  </si>
  <si>
    <t>11/04/2025 FC-A-0022-00028996</t>
  </si>
  <si>
    <t>04/03/2026 Legajo del Producto...</t>
  </si>
  <si>
    <t>'9539</t>
  </si>
  <si>
    <t>'32113</t>
  </si>
  <si>
    <t>175/65R14 86H TE301 TRIANGLE</t>
  </si>
  <si>
    <t>23/10/2023 REM-R-0004-00001182</t>
  </si>
  <si>
    <t>'511216</t>
  </si>
  <si>
    <t>'14200</t>
  </si>
  <si>
    <t>175/65R14 86T A609 APLUS</t>
  </si>
  <si>
    <t>09/03/2024 REM-R-0006-10000225</t>
  </si>
  <si>
    <t>'1871</t>
  </si>
  <si>
    <t>'2918900</t>
  </si>
  <si>
    <t>175/65R14 90T CHRONO PIRELLI</t>
  </si>
  <si>
    <t>22/01/2026 FC-A-0022-00031174</t>
  </si>
  <si>
    <t>'528115</t>
  </si>
  <si>
    <t>'DU-310665</t>
  </si>
  <si>
    <t>175/65R14 DUNLOP SP SPORT LM704</t>
  </si>
  <si>
    <t>'31500</t>
  </si>
  <si>
    <t>175/65R14 FIRESTONE F600 82T</t>
  </si>
  <si>
    <t>'552784</t>
  </si>
  <si>
    <t>'60605</t>
  </si>
  <si>
    <t>175/65R14 FM601 82H FIREMAX</t>
  </si>
  <si>
    <t>09/05/2026 REM-X-0006-00000093</t>
  </si>
  <si>
    <t>celda 5-8</t>
  </si>
  <si>
    <t>'552454</t>
  </si>
  <si>
    <t>'32462</t>
  </si>
  <si>
    <t>175/65R14 TE307 82T TRIANGLE</t>
  </si>
  <si>
    <t>18/07/2025 REM-X-0045-00139685</t>
  </si>
  <si>
    <t>G5 G6 // S</t>
  </si>
  <si>
    <t>'552754</t>
  </si>
  <si>
    <t>'553051</t>
  </si>
  <si>
    <t>175/65R14C 90/88T LANVIGATOR MILE MAX</t>
  </si>
  <si>
    <t>'528116</t>
  </si>
  <si>
    <t>'14828</t>
  </si>
  <si>
    <t>175/65R15 84T SP TOURING R1 DUNLOP</t>
  </si>
  <si>
    <t>'552587</t>
  </si>
  <si>
    <t>'60032</t>
  </si>
  <si>
    <t>175/65R15 FM316 84H FIREMAX</t>
  </si>
  <si>
    <t>09/06/2025 REM-X-0045-00138427</t>
  </si>
  <si>
    <t>celda 2 // 3</t>
  </si>
  <si>
    <t>'39605</t>
  </si>
  <si>
    <t>175/70 R14 BRIDGSTONE ECOPIA EP150 84T</t>
  </si>
  <si>
    <t>'384190</t>
  </si>
  <si>
    <t>175/70 R14 WINDFORCE CATCHFORS PCR 84H</t>
  </si>
  <si>
    <t>29/09/2025 FC-A-0022-00030330</t>
  </si>
  <si>
    <t>'9570</t>
  </si>
  <si>
    <t>'21787</t>
  </si>
  <si>
    <t>175/70R13 82H KR26 KUMHO</t>
  </si>
  <si>
    <t>02/12/2023 REM-R-0006-00000149</t>
  </si>
  <si>
    <t>'9384</t>
  </si>
  <si>
    <t>'32108</t>
  </si>
  <si>
    <t>175/70R13 82H TE301 TRIANGLE</t>
  </si>
  <si>
    <t>18/02/2026 REM-X-0006-00000827</t>
  </si>
  <si>
    <t>20/01/2026 Legajo del Producto...</t>
  </si>
  <si>
    <t>celda 11</t>
  </si>
  <si>
    <t>'549456</t>
  </si>
  <si>
    <t>'1681886680</t>
  </si>
  <si>
    <t>175/70R13 82T EUROREPAR RELIANCE 1681886680</t>
  </si>
  <si>
    <t>'9482</t>
  </si>
  <si>
    <t>'60020</t>
  </si>
  <si>
    <t>175/70R13 82T FM316 FIREMAX</t>
  </si>
  <si>
    <t>17/04/2025 REM-X-0006-00000634</t>
  </si>
  <si>
    <t>'1899</t>
  </si>
  <si>
    <t>'2695700</t>
  </si>
  <si>
    <t>175/70R13 82T FORMULA ENERGY</t>
  </si>
  <si>
    <t>30/03/2026 FC-A-0022-00031563</t>
  </si>
  <si>
    <t>'9155</t>
  </si>
  <si>
    <t>'3896200</t>
  </si>
  <si>
    <t>175/70R13 82T FORMULA EVO</t>
  </si>
  <si>
    <t>02/12/2022 FC-A-0019-00028440</t>
  </si>
  <si>
    <t>'552403</t>
  </si>
  <si>
    <t>'552881</t>
  </si>
  <si>
    <t>175/70R13 82T GREENMAX ET LING LONG</t>
  </si>
  <si>
    <t>01/04/2025 FC-A-0022-00028885</t>
  </si>
  <si>
    <t>G10 // S</t>
  </si>
  <si>
    <t>'527755</t>
  </si>
  <si>
    <t>'375620</t>
  </si>
  <si>
    <t>175/70R13 82T LANVIGATOR COMFORT II</t>
  </si>
  <si>
    <t>23/04/2025 FC-A-0022-00029096</t>
  </si>
  <si>
    <t>'552507</t>
  </si>
  <si>
    <t>'552745</t>
  </si>
  <si>
    <t>15/05/2025 FC-A-0022-00029284</t>
  </si>
  <si>
    <t>'539799</t>
  </si>
  <si>
    <t>'14738</t>
  </si>
  <si>
    <t>175/70R13 82T M+S RP18 WEST LAKE</t>
  </si>
  <si>
    <t>10/04/2025 FC-A-0022-00028977</t>
  </si>
  <si>
    <t>G1 // S</t>
  </si>
  <si>
    <t>'552649</t>
  </si>
  <si>
    <t>'552774</t>
  </si>
  <si>
    <t>175/70R13 82T TL WL Z-107 WEST LAKE</t>
  </si>
  <si>
    <t>'552524</t>
  </si>
  <si>
    <t>'Z-107 031</t>
  </si>
  <si>
    <t>175/70R13 82T WEST LAKE ZUPER EXO Z-107</t>
  </si>
  <si>
    <t>'9809</t>
  </si>
  <si>
    <t>'15751</t>
  </si>
  <si>
    <t>175/70R13 82T WINDFORCE CATCHFORS H/P</t>
  </si>
  <si>
    <t>07/07/2025 FC-A-0022-00029730</t>
  </si>
  <si>
    <t>'552397</t>
  </si>
  <si>
    <t>'15752</t>
  </si>
  <si>
    <t>175/70R13 82T WINDFORCE CATCHFORS PCR</t>
  </si>
  <si>
    <t>17/06/2025 FC-A-0022-00029564</t>
  </si>
  <si>
    <t>G4 // S</t>
  </si>
  <si>
    <t>'528117</t>
  </si>
  <si>
    <t>'DU-326062</t>
  </si>
  <si>
    <t>175/70R13 DUNLOP SP TOURING R1</t>
  </si>
  <si>
    <t>'552606</t>
  </si>
  <si>
    <t>'60615</t>
  </si>
  <si>
    <t>175/70R13 FM601 82T FIREMAX</t>
  </si>
  <si>
    <t>16/04/2026 REM-X-0006-00000885</t>
  </si>
  <si>
    <t>celda 3</t>
  </si>
  <si>
    <t>'9450</t>
  </si>
  <si>
    <t>'PC20-1757013</t>
  </si>
  <si>
    <t>175/70R13 PC20  PACE</t>
  </si>
  <si>
    <t>27/09/2023 REM-R-0009-00000040</t>
  </si>
  <si>
    <t>'9754</t>
  </si>
  <si>
    <t>'PC50-1757013</t>
  </si>
  <si>
    <t>175/70R13 PC50 PACE</t>
  </si>
  <si>
    <t>04/09/2025 REM-X-0004-00001146</t>
  </si>
  <si>
    <t>G8 // S</t>
  </si>
  <si>
    <t>'527935</t>
  </si>
  <si>
    <t>'19404</t>
  </si>
  <si>
    <t>175/70R13 TA21 KUMHO</t>
  </si>
  <si>
    <t>20/03/2026 REM-X-0004-00001323</t>
  </si>
  <si>
    <t>05/02/2026 Legajo del Producto...</t>
  </si>
  <si>
    <t>'9551</t>
  </si>
  <si>
    <t>'60610</t>
  </si>
  <si>
    <t>175/70R14 84H FM601 FIREMAX</t>
  </si>
  <si>
    <t>08/05/2026 REM-X-0004-00001354</t>
  </si>
  <si>
    <t>celda 5</t>
  </si>
  <si>
    <t>'539948</t>
  </si>
  <si>
    <t>'14812</t>
  </si>
  <si>
    <t>175/70R14 84H WINDFORCE CATCHFORS PCR</t>
  </si>
  <si>
    <t>01/10/2025 FC-A-0022-00030349</t>
  </si>
  <si>
    <t>'511117</t>
  </si>
  <si>
    <t>'14524</t>
  </si>
  <si>
    <t>175/70R14 84T A609 APLUS</t>
  </si>
  <si>
    <t>'539981</t>
  </si>
  <si>
    <t>'552743</t>
  </si>
  <si>
    <t>175/70R14 84T COMFORT II LANVIGATOR</t>
  </si>
  <si>
    <t>15/04/2025 FC-A-0022-00029018</t>
  </si>
  <si>
    <t>'9649</t>
  </si>
  <si>
    <t>'22318</t>
  </si>
  <si>
    <t>175/70R14 84T ES31 KUMHO</t>
  </si>
  <si>
    <t>11/02/2026 REM-X-0006-00000818</t>
  </si>
  <si>
    <t>'549457</t>
  </si>
  <si>
    <t>'1681886780</t>
  </si>
  <si>
    <t>175/70R14 84T EUROREPAR RELIANCE 1681886780</t>
  </si>
  <si>
    <t>'1909</t>
  </si>
  <si>
    <t>'2696000</t>
  </si>
  <si>
    <t>175/70R14 84T FORMULA ENERGY</t>
  </si>
  <si>
    <t>30/10/2025 FC-A-0022-00030552</t>
  </si>
  <si>
    <t>'539763</t>
  </si>
  <si>
    <t>'4410400</t>
  </si>
  <si>
    <t>175/70R14 84T P1 CINTURATO (KS) PIRELLI</t>
  </si>
  <si>
    <t>23/04/2026 FC-A-0022-00031733</t>
  </si>
  <si>
    <t>'552633</t>
  </si>
  <si>
    <t>'4570300</t>
  </si>
  <si>
    <t>175/70R14 84T P400 EVO (KS)</t>
  </si>
  <si>
    <t>21/03/2026 FC-A-0022-00031503</t>
  </si>
  <si>
    <t>18/03/2026 Legajo del Producto...</t>
  </si>
  <si>
    <t>'1908</t>
  </si>
  <si>
    <t>'2697100</t>
  </si>
  <si>
    <t>175/70R14 84T P400 EVO PIRELLI</t>
  </si>
  <si>
    <t>18/11/2025 FC-A-0022-00030700</t>
  </si>
  <si>
    <t>'552341</t>
  </si>
  <si>
    <t>'552823</t>
  </si>
  <si>
    <t>175/70R14 84T VI786 OVATION</t>
  </si>
  <si>
    <t>14/04/2025 FC-A-0022-00029001</t>
  </si>
  <si>
    <t>'9544</t>
  </si>
  <si>
    <t>'32116</t>
  </si>
  <si>
    <t>175/70R14 88H TE301 TRIANGLE</t>
  </si>
  <si>
    <t>02/05/2025 REM-X-0004-00000963</t>
  </si>
  <si>
    <t>'1872</t>
  </si>
  <si>
    <t>'2869100</t>
  </si>
  <si>
    <t>175/70R14 88T CHRONO XL  PIRELLI</t>
  </si>
  <si>
    <t>29/01/2026 FC-A-0022-00031224</t>
  </si>
  <si>
    <t>'528118</t>
  </si>
  <si>
    <t>'DU-334042</t>
  </si>
  <si>
    <t>175/70R14 88T SP TOURING R1 DUNLOP</t>
  </si>
  <si>
    <t>11/03/2025 FC-A-0022-00028663</t>
  </si>
  <si>
    <t>'528119</t>
  </si>
  <si>
    <t>'DU-321317</t>
  </si>
  <si>
    <t>175/70R14 DUNLOP ENSAVE EC300+</t>
  </si>
  <si>
    <t>'528120</t>
  </si>
  <si>
    <t>'DU-350713</t>
  </si>
  <si>
    <t>175/70R14 DUNLOP GRANDTREK AT5</t>
  </si>
  <si>
    <t>'9455</t>
  </si>
  <si>
    <t>'PC50-1757014</t>
  </si>
  <si>
    <t>175/70R14 PC50  PACE</t>
  </si>
  <si>
    <t>13/10/2025 REM-X-0004-00001173</t>
  </si>
  <si>
    <t>celda 6</t>
  </si>
  <si>
    <t>'527658</t>
  </si>
  <si>
    <t>'175/70R14WESTLA</t>
  </si>
  <si>
    <t>175/70R14 WESTLAKE</t>
  </si>
  <si>
    <t>02/05/2024 REM-X-0004-00000402</t>
  </si>
  <si>
    <t>'88540</t>
  </si>
  <si>
    <t>185 R14C FIRESTONE CV5000 102/100R</t>
  </si>
  <si>
    <t>'398290</t>
  </si>
  <si>
    <t>185/55 R15 WEST LAKE RP18 82V</t>
  </si>
  <si>
    <t>'39638</t>
  </si>
  <si>
    <t>185/55 R16 BRIDGSTONE ECOPIA EP150 83V</t>
  </si>
  <si>
    <t>'45950</t>
  </si>
  <si>
    <t>185/55 R16 BRIDGSTONE TURANZA ER300 83V</t>
  </si>
  <si>
    <t>'1879</t>
  </si>
  <si>
    <t>'2917000</t>
  </si>
  <si>
    <t>185/55R15 82H P1 CINTURATO PLUS   PIRELLI</t>
  </si>
  <si>
    <t>01/10/2021 FC-A-0022-00014303</t>
  </si>
  <si>
    <t>'9446</t>
  </si>
  <si>
    <t>'60650</t>
  </si>
  <si>
    <t>185/55R15 82V FM601 FIREMAX</t>
  </si>
  <si>
    <t>08/04/2026 REM-X-0001-00084804</t>
  </si>
  <si>
    <t>'9876</t>
  </si>
  <si>
    <t>'32039</t>
  </si>
  <si>
    <t>185/55R15 82V PS31 KUMHO</t>
  </si>
  <si>
    <t>11/09/2023 REM-R-0009-00000134</t>
  </si>
  <si>
    <t>'9545</t>
  </si>
  <si>
    <t>'32232</t>
  </si>
  <si>
    <t>185/55R15 82V TR978 TRIANGLE</t>
  </si>
  <si>
    <t>05/08/2024 REM-X-0004-00000653</t>
  </si>
  <si>
    <t>'552309</t>
  </si>
  <si>
    <t>'384816</t>
  </si>
  <si>
    <t>185/55R15 82V Z-107 WEST LAKE</t>
  </si>
  <si>
    <t>'552344</t>
  </si>
  <si>
    <t>'32430</t>
  </si>
  <si>
    <t>185/55R15 TE307 82V TRIANGLE</t>
  </si>
  <si>
    <t>27/03/2025 REM-X-0006-00000628</t>
  </si>
  <si>
    <t>'553012</t>
  </si>
  <si>
    <t>'14832</t>
  </si>
  <si>
    <t>185/55R15N FERA SU4 82V NEXEN</t>
  </si>
  <si>
    <t>06/03/2026 Legajo del Producto...</t>
  </si>
  <si>
    <t>'4539</t>
  </si>
  <si>
    <t>'15508570000</t>
  </si>
  <si>
    <t>185/55R16 83V CONTINENTAL POWERCONTACT 2 0</t>
  </si>
  <si>
    <t>'527705</t>
  </si>
  <si>
    <t>'21871</t>
  </si>
  <si>
    <t>185/55R16 83V HS51 KUMHO</t>
  </si>
  <si>
    <t>09/07/2024 REM-X-0004-00000610</t>
  </si>
  <si>
    <t>'1732</t>
  </si>
  <si>
    <t>'2480000</t>
  </si>
  <si>
    <t>185/55R16 83V P1 CINTURATO   PIRELLI</t>
  </si>
  <si>
    <t>01/11/2023 REM-R-0017-00002552</t>
  </si>
  <si>
    <t>'539767</t>
  </si>
  <si>
    <t>'4094800</t>
  </si>
  <si>
    <t>185/55R16 83V PWRGY PIRELLI</t>
  </si>
  <si>
    <t>'528121</t>
  </si>
  <si>
    <t>'DU-337473</t>
  </si>
  <si>
    <t>185/55R16 83V SP SPORT FM800 DUNLOP</t>
  </si>
  <si>
    <t>12/11/2024 FC-A-0022-00027283</t>
  </si>
  <si>
    <t>'552607</t>
  </si>
  <si>
    <t>'60696</t>
  </si>
  <si>
    <t>185/55R16 FM601 87V FIREMAX</t>
  </si>
  <si>
    <t>08/04/2026 REM-X-0001-00084802</t>
  </si>
  <si>
    <t>'527793</t>
  </si>
  <si>
    <t>'PC20-1855516</t>
  </si>
  <si>
    <t>185/55R16 PC20 PACE</t>
  </si>
  <si>
    <t>12/07/2024 REM-X-0001-00101967</t>
  </si>
  <si>
    <t>'45855</t>
  </si>
  <si>
    <t>185/60 R15 BRIDGSTONE TURANZA ER300 84H</t>
  </si>
  <si>
    <t>'462693</t>
  </si>
  <si>
    <t>185/60 R15 NEXEN N-FERA SU4 88H XL</t>
  </si>
  <si>
    <t>25/07/2023 FC-A-0200-00297160</t>
  </si>
  <si>
    <t>'462427</t>
  </si>
  <si>
    <t>185/60 R15 NEXEN N-PRIZ SH9I 84H</t>
  </si>
  <si>
    <t>'539790</t>
  </si>
  <si>
    <t>'14525</t>
  </si>
  <si>
    <t>185/60R14 82H A609 APLUS</t>
  </si>
  <si>
    <t>'528122</t>
  </si>
  <si>
    <t>'DU-322726</t>
  </si>
  <si>
    <t>185/60R14 82H DIREZZA DZ102 DUNLOP</t>
  </si>
  <si>
    <t>08/03/2025 FC-A-0004-00028626</t>
  </si>
  <si>
    <t>'9710</t>
  </si>
  <si>
    <t>'22322</t>
  </si>
  <si>
    <t>185/60R14 82H ES31 KUMHO</t>
  </si>
  <si>
    <t>11/05/2026 REM-X-0004-00001357</t>
  </si>
  <si>
    <t>'9447</t>
  </si>
  <si>
    <t>'60070</t>
  </si>
  <si>
    <t>185/60R14 82H FM316 FIREMAX</t>
  </si>
  <si>
    <t>19/11/2025 Legajo del Producto...</t>
  </si>
  <si>
    <t>celda 4-5</t>
  </si>
  <si>
    <t>'1910</t>
  </si>
  <si>
    <t>'2696100</t>
  </si>
  <si>
    <t>185/60R14 82H FORMULA ENERGY</t>
  </si>
  <si>
    <t>24/09/2025 FC-A-0022-00030290</t>
  </si>
  <si>
    <t>'552755</t>
  </si>
  <si>
    <t>'553092</t>
  </si>
  <si>
    <t>185/60R14 82H LANVIGATOR COMFORT II</t>
  </si>
  <si>
    <t>18/09/2025 FC-A-0022-00030250</t>
  </si>
  <si>
    <t>'539806</t>
  </si>
  <si>
    <t>'15160</t>
  </si>
  <si>
    <t>185/60R14 82H N FERA SU4 NEXEN</t>
  </si>
  <si>
    <t>19/09/2025 FC-A-0022-00030256</t>
  </si>
  <si>
    <t>'1900</t>
  </si>
  <si>
    <t>'2697200</t>
  </si>
  <si>
    <t>185/60R14 82H P400 EVO PIRELLI</t>
  </si>
  <si>
    <t>23/02/2026 FC-A-0022-00031358</t>
  </si>
  <si>
    <t>'539826</t>
  </si>
  <si>
    <t>'PC50-1856014</t>
  </si>
  <si>
    <t>185/60R14 82H PC50 PACE</t>
  </si>
  <si>
    <t>'9456</t>
  </si>
  <si>
    <t>'32124</t>
  </si>
  <si>
    <t>185/60R14 82H TE301 TRIANGLE</t>
  </si>
  <si>
    <t>26/10/2023 REM-R-0009-10000063</t>
  </si>
  <si>
    <t>'552975</t>
  </si>
  <si>
    <t>'32460</t>
  </si>
  <si>
    <t>185/60R14 82H TE307 TRIANGLE</t>
  </si>
  <si>
    <t>30/12/2025 REM-X-0006-00000733</t>
  </si>
  <si>
    <t>15/12/2025 Legajo del Producto...</t>
  </si>
  <si>
    <t>'552902</t>
  </si>
  <si>
    <t>'553126</t>
  </si>
  <si>
    <t>185/60R14 82H TL 1-107 WEST LAKE</t>
  </si>
  <si>
    <t>'552310</t>
  </si>
  <si>
    <t>'384200</t>
  </si>
  <si>
    <t>185/60R14 82H WINDFORCE CATCHFROS</t>
  </si>
  <si>
    <t>11/08/2025 FC-A-0022-00029998</t>
  </si>
  <si>
    <t>'528123</t>
  </si>
  <si>
    <t>'DU-316485</t>
  </si>
  <si>
    <t>185/60R14 DUNLOP SP SPORT LM704</t>
  </si>
  <si>
    <t>'539797</t>
  </si>
  <si>
    <t>'14692</t>
  </si>
  <si>
    <t>185/60R14 WEST LAKE RP18 85H M+S</t>
  </si>
  <si>
    <t>10/01/2025 FC-A-0022-00027956</t>
  </si>
  <si>
    <t>'527659</t>
  </si>
  <si>
    <t>'185/60R14WESTLA</t>
  </si>
  <si>
    <t>185/60R14 WESTLAKE</t>
  </si>
  <si>
    <t>04/05/2024 REM-X-0006-00000300</t>
  </si>
  <si>
    <t>'4866</t>
  </si>
  <si>
    <t>'15490440000</t>
  </si>
  <si>
    <t>185/60R15 84H CONTINENTAL POWERCONTACT FIAT CRONOS</t>
  </si>
  <si>
    <t>'528124</t>
  </si>
  <si>
    <t>'DU-321319</t>
  </si>
  <si>
    <t>185/60R15 84H ENSAVE EC300+ DUNLOP</t>
  </si>
  <si>
    <t>05/04/2025 FC-A-0022-00028938</t>
  </si>
  <si>
    <t>'9386</t>
  </si>
  <si>
    <t>'60660</t>
  </si>
  <si>
    <t>185/60R15 84H FM601 FIREMAX</t>
  </si>
  <si>
    <t>26/03/2024 REM-R-0004-00000384</t>
  </si>
  <si>
    <t>'540043</t>
  </si>
  <si>
    <t>'552772</t>
  </si>
  <si>
    <t>185/60R15 84H H/P CATCHFORS WINDFORCE</t>
  </si>
  <si>
    <t>03/10/2025 FC-A-0022-00030148</t>
  </si>
  <si>
    <t>'553093</t>
  </si>
  <si>
    <t>'553238</t>
  </si>
  <si>
    <t>185/60R15 84H OUA 06 ITARO NIKO</t>
  </si>
  <si>
    <t>'540055</t>
  </si>
  <si>
    <t>'552773</t>
  </si>
  <si>
    <t>185/60R15 84H TL Z-107 WEST LAKE</t>
  </si>
  <si>
    <t>14/03/2025 FC-A-0022-00028719</t>
  </si>
  <si>
    <t>'9811</t>
  </si>
  <si>
    <t>'22320</t>
  </si>
  <si>
    <t>185/60R15 84H/84T ES31 KUMHO</t>
  </si>
  <si>
    <t>27/04/2026 REM-X-0006-00000893</t>
  </si>
  <si>
    <t>06/01/2026 Legajo del Producto...</t>
  </si>
  <si>
    <t>'549458</t>
  </si>
  <si>
    <t>'1681886980</t>
  </si>
  <si>
    <t>185/60R15 88H EUROREPAR RELIANCE 1681886980</t>
  </si>
  <si>
    <t>'552756</t>
  </si>
  <si>
    <t>'3808700</t>
  </si>
  <si>
    <t>185/60R15 88H FORMULA EVO XL</t>
  </si>
  <si>
    <t>09/02/2026 FC-A-0022-00031294</t>
  </si>
  <si>
    <t>'527790</t>
  </si>
  <si>
    <t>'DU-337466</t>
  </si>
  <si>
    <t>185/60R15 88H SP SPORT FM800 DUNLOP</t>
  </si>
  <si>
    <t>28/05/2025 FC-A-0022-00029406</t>
  </si>
  <si>
    <t>'9385</t>
  </si>
  <si>
    <t>'33101</t>
  </si>
  <si>
    <t>185/60R15 88H TC101 TRIANGLE</t>
  </si>
  <si>
    <t>30/08/2024 REM-X-0006-00000513</t>
  </si>
  <si>
    <t>'511107</t>
  </si>
  <si>
    <t>'32432</t>
  </si>
  <si>
    <t>185/60R15 88H TE307 TRIANGLE</t>
  </si>
  <si>
    <t>06/05/2026 REM-X-0004-00001351</t>
  </si>
  <si>
    <t>celda 9-10</t>
  </si>
  <si>
    <t>'9733</t>
  </si>
  <si>
    <t>'18560R1588H</t>
  </si>
  <si>
    <t>185/60R15 88H XL CONTINENTAL</t>
  </si>
  <si>
    <t>'527683</t>
  </si>
  <si>
    <t>'4247700</t>
  </si>
  <si>
    <t>185/60R15 88H XL FORMULA EVO (KS)</t>
  </si>
  <si>
    <t>24/02/2026 FC-A-0022-00031367</t>
  </si>
  <si>
    <t>'539811</t>
  </si>
  <si>
    <t>'15165</t>
  </si>
  <si>
    <t>185/60R15 88H XL N FERA NEXEN</t>
  </si>
  <si>
    <t>12/01/2026 FC-A-0022-00031102</t>
  </si>
  <si>
    <t>'9593</t>
  </si>
  <si>
    <t>'4039100</t>
  </si>
  <si>
    <t>185/60R15 88H XL P1 CINTURATO (K1) PIRELLI</t>
  </si>
  <si>
    <t>01/04/2026 FC-A-0022-00031590</t>
  </si>
  <si>
    <t>G11 // S</t>
  </si>
  <si>
    <t>'552345</t>
  </si>
  <si>
    <t>'60665</t>
  </si>
  <si>
    <t>185/60R15 FM601 88H XL FIREMAX</t>
  </si>
  <si>
    <t>07/03/2026 REM-X-0008-00000607</t>
  </si>
  <si>
    <t>celda 4-9</t>
  </si>
  <si>
    <t>'527794</t>
  </si>
  <si>
    <t>'PC50-1856015</t>
  </si>
  <si>
    <t>185/60R15 PACE PC50</t>
  </si>
  <si>
    <t>'9560</t>
  </si>
  <si>
    <t>'PC20-1856015</t>
  </si>
  <si>
    <t>185/60R15 PC20 PACE 88H XL</t>
  </si>
  <si>
    <t>25/06/2024 FC-A-0022-00025878</t>
  </si>
  <si>
    <t>'9435</t>
  </si>
  <si>
    <t>'397100</t>
  </si>
  <si>
    <t>185/60R15 WEST LAKE RP18 84H M+S</t>
  </si>
  <si>
    <t>16/05/2022 REM-R-0004-00000180</t>
  </si>
  <si>
    <t>'31600</t>
  </si>
  <si>
    <t>185/65 R14 FIRESTONE F600 86T</t>
  </si>
  <si>
    <t>'391000</t>
  </si>
  <si>
    <t>185/65 R14 WEST LAKE RP18 86H M+S</t>
  </si>
  <si>
    <t>'528125</t>
  </si>
  <si>
    <t>'DU-331895</t>
  </si>
  <si>
    <t>185/65R14 86 T SP TOURING R1 DUNLOP</t>
  </si>
  <si>
    <t>25/07/2025 FC-A-0022-00029888</t>
  </si>
  <si>
    <t>'527744</t>
  </si>
  <si>
    <t>'18565R14BRDE50</t>
  </si>
  <si>
    <t>185/65R14 86H BRIDGESTONE ECOPIA EP150</t>
  </si>
  <si>
    <t>'549459</t>
  </si>
  <si>
    <t>'1681887080</t>
  </si>
  <si>
    <t>185/65R14 86H EUROREPAR RELIANCE 1681887080</t>
  </si>
  <si>
    <t>'9999</t>
  </si>
  <si>
    <t>'60080</t>
  </si>
  <si>
    <t>185/65R14 86H FM316 FIREMAX</t>
  </si>
  <si>
    <t>21/03/2024 REM-R-0009-10000125</t>
  </si>
  <si>
    <t>'511108</t>
  </si>
  <si>
    <t>'60620</t>
  </si>
  <si>
    <t>185/65R14 86H FM601 FIREMAX</t>
  </si>
  <si>
    <t>'552404</t>
  </si>
  <si>
    <t>'552883</t>
  </si>
  <si>
    <t>185/65R14 86H GREENMAX HP010 LING LONG</t>
  </si>
  <si>
    <t>06/06/2025 FC-A-0022-00029483</t>
  </si>
  <si>
    <t>'528043</t>
  </si>
  <si>
    <t>185/65R14 86H LANVIGATOR COMFORT II</t>
  </si>
  <si>
    <t>'539793</t>
  </si>
  <si>
    <t>'14869</t>
  </si>
  <si>
    <t>29/09/2025 FC-A-0022-00030335</t>
  </si>
  <si>
    <t>'9798</t>
  </si>
  <si>
    <t>'14439</t>
  </si>
  <si>
    <t>185/65R14 86H M+S RP18 WEST LAKE</t>
  </si>
  <si>
    <t>23/05/2023 REM-R-0006-00000462</t>
  </si>
  <si>
    <t>'528031</t>
  </si>
  <si>
    <t>'14764</t>
  </si>
  <si>
    <t>185/65R14 86H N PRIZ SH91 NEXEN</t>
  </si>
  <si>
    <t>'9453</t>
  </si>
  <si>
    <t>'PC185651486H</t>
  </si>
  <si>
    <t>185/65R14 86H PC20  PACE</t>
  </si>
  <si>
    <t>20/09/2024 REM-X-0004-00000743</t>
  </si>
  <si>
    <t>'9547</t>
  </si>
  <si>
    <t>'32132</t>
  </si>
  <si>
    <t>185/65R14 86H TE301 TRIANGLE</t>
  </si>
  <si>
    <t>19/05/2022 REM-R-0009-00000002</t>
  </si>
  <si>
    <t>'527925</t>
  </si>
  <si>
    <t>'32428</t>
  </si>
  <si>
    <t>185/65R14 86H TE307 TRIANGLE</t>
  </si>
  <si>
    <t>06/02/2026 REM-X-0001-00083182</t>
  </si>
  <si>
    <t>celda 4</t>
  </si>
  <si>
    <t>'552645</t>
  </si>
  <si>
    <t>'552978</t>
  </si>
  <si>
    <t>185/65R14 86H TL Z-107 WEST LAKE</t>
  </si>
  <si>
    <t>21/07/2025 FC-A-0022-00029843</t>
  </si>
  <si>
    <t>'528049</t>
  </si>
  <si>
    <t>185/65R14 86H WINDFORCE CATCHFORS HP</t>
  </si>
  <si>
    <t>'539801</t>
  </si>
  <si>
    <t>'14857</t>
  </si>
  <si>
    <t>11/02/2025 FC-A-0022-00028357</t>
  </si>
  <si>
    <t>'6828</t>
  </si>
  <si>
    <t>'29102</t>
  </si>
  <si>
    <t>185/65R14 86T ES31 KUMHO</t>
  </si>
  <si>
    <t>05/03/2026 REM-X-0006-00000851</t>
  </si>
  <si>
    <t>'8413</t>
  </si>
  <si>
    <t>'15569001</t>
  </si>
  <si>
    <t>185/65R14 86T F-600 FIRESTONE</t>
  </si>
  <si>
    <t>26/03/2021 FC-A-0200-00249530</t>
  </si>
  <si>
    <t>'1906</t>
  </si>
  <si>
    <t>'2695900</t>
  </si>
  <si>
    <t>185/65R14 86T FORMULA ENERGY</t>
  </si>
  <si>
    <t>27/06/2025 REM-X-0006-00000654</t>
  </si>
  <si>
    <t>'539759</t>
  </si>
  <si>
    <t>'4410500</t>
  </si>
  <si>
    <t>185/65R14 86T P1 CINTURATO (KS) PIRELLI</t>
  </si>
  <si>
    <t>09/05/2026 FC-A-0022-00031832</t>
  </si>
  <si>
    <t>'1905</t>
  </si>
  <si>
    <t>'2697000</t>
  </si>
  <si>
    <t>185/65R14 86T P400 EVO PIRELLI</t>
  </si>
  <si>
    <t>09/02/2026 FC-A-0022-00031293</t>
  </si>
  <si>
    <t>'552342</t>
  </si>
  <si>
    <t>'13307</t>
  </si>
  <si>
    <t>185/65R14 86T POWERCONTACT CONTINENTAL</t>
  </si>
  <si>
    <t>'4645</t>
  </si>
  <si>
    <t>'F18465TMAX2Z</t>
  </si>
  <si>
    <t>185/65R14 86T TL MAXISPORT 2 FATE</t>
  </si>
  <si>
    <t>30/09/2024 REM-X-0029-00068294</t>
  </si>
  <si>
    <t>'528126</t>
  </si>
  <si>
    <t>'DU-316477</t>
  </si>
  <si>
    <t>185/65R14 DUNLOP SP SPORT LM704</t>
  </si>
  <si>
    <t>'539827</t>
  </si>
  <si>
    <t>'PC50-1856514</t>
  </si>
  <si>
    <t>185/65R14 PC50 PACE</t>
  </si>
  <si>
    <t>'4861</t>
  </si>
  <si>
    <t>'15490460000</t>
  </si>
  <si>
    <t>185/65R15 88H CONTINENTAL POWERCONTACT</t>
  </si>
  <si>
    <t>06/04/2024 REM-X-0002-00036904</t>
  </si>
  <si>
    <t>'9752</t>
  </si>
  <si>
    <t>'22321</t>
  </si>
  <si>
    <t>185/65R15 88H ES31 KUMHO</t>
  </si>
  <si>
    <t>05/03/2026 REM-X-0006-00000847</t>
  </si>
  <si>
    <t>'549460</t>
  </si>
  <si>
    <t>'1681887180</t>
  </si>
  <si>
    <t>185/65R15 88H EUROREPAR RELIANCE 1681887180</t>
  </si>
  <si>
    <t>'9529</t>
  </si>
  <si>
    <t>'60150</t>
  </si>
  <si>
    <t>185/65R15 88H FM316 FIREMAX</t>
  </si>
  <si>
    <t>15/02/2025 REM-X-0004-00000890</t>
  </si>
  <si>
    <t>'552574</t>
  </si>
  <si>
    <t>'60154</t>
  </si>
  <si>
    <t>185/65R15 88H FM601 FIREMAX</t>
  </si>
  <si>
    <t>'1741</t>
  </si>
  <si>
    <t>'3808800</t>
  </si>
  <si>
    <t>185/65R15 88H FORMULA EVO</t>
  </si>
  <si>
    <t>11/06/2025 FC-A-0022-00029504</t>
  </si>
  <si>
    <t>'540003</t>
  </si>
  <si>
    <t>'552748</t>
  </si>
  <si>
    <t>185/65R15 88H LANVIGATOR COMFORT II</t>
  </si>
  <si>
    <t>24/02/2026 FC-A-0022-00031371</t>
  </si>
  <si>
    <t>'539921</t>
  </si>
  <si>
    <t>'18565R15MAXFATE</t>
  </si>
  <si>
    <t>185/65R15 88H MAXISPORT 3 FATE</t>
  </si>
  <si>
    <t>'539805</t>
  </si>
  <si>
    <t>'15159</t>
  </si>
  <si>
    <t>185/65R15 88H N PRIZ SH9I NEXEN</t>
  </si>
  <si>
    <t>23/01/2026 FC-A-0022-00031178</t>
  </si>
  <si>
    <t>'540038</t>
  </si>
  <si>
    <t>'4570600</t>
  </si>
  <si>
    <t>185/65R15 88H P400 EVO PIRELLI</t>
  </si>
  <si>
    <t>05/03/2026 FC-A-0022-00031413</t>
  </si>
  <si>
    <t>'9562</t>
  </si>
  <si>
    <t>'PC185651588H</t>
  </si>
  <si>
    <t>185/65R15 88H PC20 PACE</t>
  </si>
  <si>
    <t>27/08/2025 REM-X-0004-00001135</t>
  </si>
  <si>
    <t>'553020</t>
  </si>
  <si>
    <t>'553153</t>
  </si>
  <si>
    <t>185/65R15 88H POWERCONTACT 2 CONTINENTAL</t>
  </si>
  <si>
    <t>'1646</t>
  </si>
  <si>
    <t>'1850500</t>
  </si>
  <si>
    <t>185/65R15 88H SCORPION ATR   PIRELLI</t>
  </si>
  <si>
    <t>07/10/2024 FC-A-0022-00026949</t>
  </si>
  <si>
    <t>'528127</t>
  </si>
  <si>
    <t>'DU-337467</t>
  </si>
  <si>
    <t>185/65R15 88H SP SPORT FM800 DUNLOP</t>
  </si>
  <si>
    <t>21/02/2025 FC-A-0022-00028516</t>
  </si>
  <si>
    <t>'9399</t>
  </si>
  <si>
    <t>'33102</t>
  </si>
  <si>
    <t>185/65R15 88H TC101 TRIANGLE</t>
  </si>
  <si>
    <t>26/04/2025 REM-X-0004-00000954</t>
  </si>
  <si>
    <t>'553035</t>
  </si>
  <si>
    <t>'553209</t>
  </si>
  <si>
    <t>185/65R15 88H TL UL Z-107 WEST LAKE</t>
  </si>
  <si>
    <t>'552424</t>
  </si>
  <si>
    <t>'32434</t>
  </si>
  <si>
    <t>185/65R15 88H TRIANGLE TE307</t>
  </si>
  <si>
    <t>08/04/2026 REM-X-0006-00000877</t>
  </si>
  <si>
    <t>'539982</t>
  </si>
  <si>
    <t>'550099</t>
  </si>
  <si>
    <t>185/65R15 88H WINDFORCE CATCHFORS H/P</t>
  </si>
  <si>
    <t>29/07/2025 FC-A-0022-00029904</t>
  </si>
  <si>
    <t>'527685</t>
  </si>
  <si>
    <t>'DU-313683</t>
  </si>
  <si>
    <t>185/65R15 88T SP TOURING T1 DUNLOP</t>
  </si>
  <si>
    <t>07/10/2025 FC-A-0022-00030399</t>
  </si>
  <si>
    <t>'9770</t>
  </si>
  <si>
    <t>'4075600</t>
  </si>
  <si>
    <t>185/65R15 92H P1 CINTURATO (KA) XL PIRELLI</t>
  </si>
  <si>
    <t>26/03/2026 FC-A-0022-00031542</t>
  </si>
  <si>
    <t>'1892</t>
  </si>
  <si>
    <t>'2744700</t>
  </si>
  <si>
    <t>185/65R15 92H P1 CINTURATO XL K1 PIRELLI</t>
  </si>
  <si>
    <t>06/05/2026 FC-A-0022-00031814</t>
  </si>
  <si>
    <t>'1894</t>
  </si>
  <si>
    <t>'3819100</t>
  </si>
  <si>
    <t>185/65R15 92H P1 CINTURATO XL KA PIRELLI</t>
  </si>
  <si>
    <t>09/06/2025 FC-A-0022-00029500</t>
  </si>
  <si>
    <t>'527981</t>
  </si>
  <si>
    <t>'18565R15FATE</t>
  </si>
  <si>
    <t>185/65R15 92H SENTIVA SPORT FATE</t>
  </si>
  <si>
    <t>'552757</t>
  </si>
  <si>
    <t>'553072</t>
  </si>
  <si>
    <t>185/65R15 92T POWERCONTACT XL CONTINENTAL</t>
  </si>
  <si>
    <t>27/03/2026 FC-A-0022-00031547</t>
  </si>
  <si>
    <t>'527665</t>
  </si>
  <si>
    <t>'462428</t>
  </si>
  <si>
    <t>185/65R15 NEXEN N-PRIZ SH9I</t>
  </si>
  <si>
    <t>25/04/2024 REM-X-0006-00000290</t>
  </si>
  <si>
    <t>'9755</t>
  </si>
  <si>
    <t>'PC50-1856515</t>
  </si>
  <si>
    <t>185/65R15 PC50 PACE</t>
  </si>
  <si>
    <t>05/09/2025 REM-X-0004-00001148</t>
  </si>
  <si>
    <t>'553106</t>
  </si>
  <si>
    <t>'001-100-R2432</t>
  </si>
  <si>
    <t>185/65R15-88H ES32 YOKOHAMA</t>
  </si>
  <si>
    <t>27/02/2026 FC-A-0100-00309511</t>
  </si>
  <si>
    <t>07/03/2026 Legajo del Producto...</t>
  </si>
  <si>
    <t>'450320</t>
  </si>
  <si>
    <t>185/70 R14 NEXEN CP661 88T</t>
  </si>
  <si>
    <t>'528006</t>
  </si>
  <si>
    <t>'F18370TPRESZ</t>
  </si>
  <si>
    <t>185/70R13 86T PRESTIVA FATE</t>
  </si>
  <si>
    <t>10/02/2025 FC-A-0022-00028346</t>
  </si>
  <si>
    <t>'539791</t>
  </si>
  <si>
    <t>'14528</t>
  </si>
  <si>
    <t>185/70R14 88H A609 APLUS</t>
  </si>
  <si>
    <t>'552508</t>
  </si>
  <si>
    <t>'552911</t>
  </si>
  <si>
    <t>185/70R14 88H COMFORT II LANVIGATOR</t>
  </si>
  <si>
    <t>'4865</t>
  </si>
  <si>
    <t>'15485690000</t>
  </si>
  <si>
    <t>185/70R14 88H CONTINENTAL POWERCONTACT PRISMA / ON</t>
  </si>
  <si>
    <t>'1884</t>
  </si>
  <si>
    <t>'2696300</t>
  </si>
  <si>
    <t>185/70R14 88H P400 EVO   PIRELLI</t>
  </si>
  <si>
    <t>05/05/2026 FC-A-0022-00031806</t>
  </si>
  <si>
    <t>'9561</t>
  </si>
  <si>
    <t>'PC50-1857014</t>
  </si>
  <si>
    <t>185/70R14 88H PC50 PACE</t>
  </si>
  <si>
    <t>24/05/2025 REM-X-0004-00001007</t>
  </si>
  <si>
    <t>'9831</t>
  </si>
  <si>
    <t>'384370</t>
  </si>
  <si>
    <t>185/70R14 88H PCR WINDFORCE CATCHFORS</t>
  </si>
  <si>
    <t>05/06/2024 REM-X-0004-00000534</t>
  </si>
  <si>
    <t>'9546</t>
  </si>
  <si>
    <t>'32458</t>
  </si>
  <si>
    <t>185/70R14 88H TE301 TRIANGLE</t>
  </si>
  <si>
    <t>02/06/2025 REM-X-0004-00001022</t>
  </si>
  <si>
    <t>'552343</t>
  </si>
  <si>
    <t>'552824</t>
  </si>
  <si>
    <t>185/70R14 88H VI786 OVATION</t>
  </si>
  <si>
    <t>16/10/2025 FC-A-0022-00030464</t>
  </si>
  <si>
    <t>'9536</t>
  </si>
  <si>
    <t>'22324</t>
  </si>
  <si>
    <t>185/70R14 88T ES31 KUMHO</t>
  </si>
  <si>
    <t>'539812</t>
  </si>
  <si>
    <t>'15294</t>
  </si>
  <si>
    <t>185/70R14 88T FIRESTONE F-700</t>
  </si>
  <si>
    <t>12/05/2025 FC-A-0022-00029256</t>
  </si>
  <si>
    <t>'9807</t>
  </si>
  <si>
    <t>'387200</t>
  </si>
  <si>
    <t>185/70R14 88T M+S WEST LAKE RP18</t>
  </si>
  <si>
    <t>27/10/2025 FC-A-0022-00030532</t>
  </si>
  <si>
    <t>'552390</t>
  </si>
  <si>
    <t>'552885</t>
  </si>
  <si>
    <t>185/70R14 88T TL RP18 WEST LAKE</t>
  </si>
  <si>
    <t>'539792</t>
  </si>
  <si>
    <t>'14805</t>
  </si>
  <si>
    <t>185/70R14 CP661 88T NEXEN</t>
  </si>
  <si>
    <t>'31250</t>
  </si>
  <si>
    <t>185/70R14 FIRESTONE F600 88T</t>
  </si>
  <si>
    <t>'9769</t>
  </si>
  <si>
    <t>'60040</t>
  </si>
  <si>
    <t>185/70R14 FM316 88H FIREMAX</t>
  </si>
  <si>
    <t>06/05/2026 REM-X-0006-00000896</t>
  </si>
  <si>
    <t>celda 6 bis - 7</t>
  </si>
  <si>
    <t>'539949</t>
  </si>
  <si>
    <t>'14722</t>
  </si>
  <si>
    <t>185/70R14 WINDFORCE CATCHFORS PCR 88H</t>
  </si>
  <si>
    <t>21/04/2025 FC-A-0022-00029058</t>
  </si>
  <si>
    <t>'552892</t>
  </si>
  <si>
    <t>'552912</t>
  </si>
  <si>
    <t>185R14 103/102R SD328 LANVIGATOR MILE MAX</t>
  </si>
  <si>
    <t>'552783</t>
  </si>
  <si>
    <t>'32277</t>
  </si>
  <si>
    <t>185R14 14C TR645 102/100S TRIANGLE</t>
  </si>
  <si>
    <t>10/09/2025 REM-X-0001-00078879</t>
  </si>
  <si>
    <t>'552497</t>
  </si>
  <si>
    <t>'552953</t>
  </si>
  <si>
    <t>185R14 A867 102R TL PSR APLUS</t>
  </si>
  <si>
    <t>'1874</t>
  </si>
  <si>
    <t>'1964600</t>
  </si>
  <si>
    <t>185R14C 102R CHRONO   PIRELLI</t>
  </si>
  <si>
    <t>08/10/2024 FC-A-0022-00026969</t>
  </si>
  <si>
    <t>'539823</t>
  </si>
  <si>
    <t>'ON05-18514C</t>
  </si>
  <si>
    <t>185R14C 8PR 102/10R LT M+S ONYX</t>
  </si>
  <si>
    <t>19/03/2025 FC-A-0022-00028754</t>
  </si>
  <si>
    <t>'553148</t>
  </si>
  <si>
    <t>'60114</t>
  </si>
  <si>
    <t>185R14C FM913 102/100R FIREMAX</t>
  </si>
  <si>
    <t>21/04/2026 REM-X-0006-00000891</t>
  </si>
  <si>
    <t>'552509</t>
  </si>
  <si>
    <t>'13696</t>
  </si>
  <si>
    <t>185R15 C 8T WEST LAKE SC328 103/102R</t>
  </si>
  <si>
    <t>'539783</t>
  </si>
  <si>
    <t>'F185CNAVANDZ</t>
  </si>
  <si>
    <t>185R15C 103/102N TL AR-410 AVANTIA FATE</t>
  </si>
  <si>
    <t>'9488</t>
  </si>
  <si>
    <t>'60085</t>
  </si>
  <si>
    <t>195 R14C  106/104Q  FM913  FIREMAX</t>
  </si>
  <si>
    <t>16/04/2026 REM-X-0006-00000888</t>
  </si>
  <si>
    <t>'88800</t>
  </si>
  <si>
    <t>195 R14C FIRESTONE TRANSFORCE CV 106/104R</t>
  </si>
  <si>
    <t>'9525</t>
  </si>
  <si>
    <t>'21870</t>
  </si>
  <si>
    <t>195/45R15 78V HS51 KUMHO</t>
  </si>
  <si>
    <t>'539983</t>
  </si>
  <si>
    <t>'14879</t>
  </si>
  <si>
    <t>195/45R16 84V NFERA SU4 NEXEN</t>
  </si>
  <si>
    <t>'1735</t>
  </si>
  <si>
    <t>'2150100</t>
  </si>
  <si>
    <t>195/45R16 84V P7AS XL  PIRELLI</t>
  </si>
  <si>
    <t>18/09/2023 FC-A-0019-00031412</t>
  </si>
  <si>
    <t>'9819</t>
  </si>
  <si>
    <t>'OVER19545R16PH</t>
  </si>
  <si>
    <t>195/45R16 PHANTOM 94W (ANO 2011)</t>
  </si>
  <si>
    <t>'39643</t>
  </si>
  <si>
    <t>195/50 R16 BRIDGSTONE ECOPIA EP150 84V</t>
  </si>
  <si>
    <t>'8535</t>
  </si>
  <si>
    <t>'10319003</t>
  </si>
  <si>
    <t>195/50R15 82V FIREHAWK 900 FIRESTONE</t>
  </si>
  <si>
    <t>'9553</t>
  </si>
  <si>
    <t>'60670</t>
  </si>
  <si>
    <t>195/50R15 82V FM601 FIREMAX</t>
  </si>
  <si>
    <t>03/09/2024 REM-X-006|-00000516</t>
  </si>
  <si>
    <t>'1901</t>
  </si>
  <si>
    <t>'2916500</t>
  </si>
  <si>
    <t>195/50R15 82V P1 CINTURATO PLUS   PIRELLI</t>
  </si>
  <si>
    <t>11/10/2023 REM-R-0006-10000099</t>
  </si>
  <si>
    <t>'527996</t>
  </si>
  <si>
    <t>'31692</t>
  </si>
  <si>
    <t>195/50R15 82V PS31 KUMHO</t>
  </si>
  <si>
    <t>'6810</t>
  </si>
  <si>
    <t>'21800</t>
  </si>
  <si>
    <t>195/50R15 KH27 KUMHO</t>
  </si>
  <si>
    <t>19/06/2023 REM-R-0006-00000008</t>
  </si>
  <si>
    <t>'9825</t>
  </si>
  <si>
    <t>'195/50R15PHANTO</t>
  </si>
  <si>
    <t>195/50R15 PHANTOM</t>
  </si>
  <si>
    <t>'9824</t>
  </si>
  <si>
    <t>'195/50R15DR</t>
  </si>
  <si>
    <t>195/50R15 PIRELLI DRAGON</t>
  </si>
  <si>
    <t>'4562</t>
  </si>
  <si>
    <t>'15508580000</t>
  </si>
  <si>
    <t>195/50R16  84H CONTINENTAL POWERCONTACT 2 0</t>
  </si>
  <si>
    <t>'527907</t>
  </si>
  <si>
    <t>'DU-323353</t>
  </si>
  <si>
    <t>195/50R16 84V DIREZZA DZ102 DUNLOP</t>
  </si>
  <si>
    <t>29/01/2026 FC-A-0019-00039690</t>
  </si>
  <si>
    <t>'552758</t>
  </si>
  <si>
    <t>'59621</t>
  </si>
  <si>
    <t>195/50R16 84V KT3000 KPATOS</t>
  </si>
  <si>
    <t>'552961</t>
  </si>
  <si>
    <t>10/12/2025 FC-A-0022-00030879</t>
  </si>
  <si>
    <t>'539808</t>
  </si>
  <si>
    <t>'15162</t>
  </si>
  <si>
    <t>195/50R16 84V N FERA SU4 NEXEN</t>
  </si>
  <si>
    <t>04/02/2026 FC-A-0022-00031272</t>
  </si>
  <si>
    <t>'1734</t>
  </si>
  <si>
    <t>'2692900</t>
  </si>
  <si>
    <t>195/50R16 84V P7 CINTURATO   PIRELLI</t>
  </si>
  <si>
    <t>05/05/2026 FC-A-0022-00031801</t>
  </si>
  <si>
    <t>'9813</t>
  </si>
  <si>
    <t>'400170</t>
  </si>
  <si>
    <t>195/50R16 84V WESTLAKE RP28</t>
  </si>
  <si>
    <t>03/10/2023 REM-R-0006-10000090</t>
  </si>
  <si>
    <t>'539929</t>
  </si>
  <si>
    <t>'22824</t>
  </si>
  <si>
    <t>195/50R16 88V HS52 KUMHO</t>
  </si>
  <si>
    <t>20/02/2026 REM-X-0006-00000831</t>
  </si>
  <si>
    <t>'552976</t>
  </si>
  <si>
    <t>'32444</t>
  </si>
  <si>
    <t>195/50R16 88V TE307 TRIANGLE</t>
  </si>
  <si>
    <t>'553038</t>
  </si>
  <si>
    <t>'553216</t>
  </si>
  <si>
    <t>195/50R16 88V XL LANVIGATOR COMFORT</t>
  </si>
  <si>
    <t>'553088</t>
  </si>
  <si>
    <t>195/50R16 88V XL WINDFORCE CATHFORS H/P</t>
  </si>
  <si>
    <t>'9468</t>
  </si>
  <si>
    <t>'60270</t>
  </si>
  <si>
    <t>195/50R16 FM601 FIREMAX</t>
  </si>
  <si>
    <t>11/05/2026 REM-X-0006-00000894</t>
  </si>
  <si>
    <t>celda 2-6-9</t>
  </si>
  <si>
    <t>'9156</t>
  </si>
  <si>
    <t>'41798</t>
  </si>
  <si>
    <t>195/50R16 KH27 KUMHO</t>
  </si>
  <si>
    <t>02/10/2023 REM-R-0006-10000089</t>
  </si>
  <si>
    <t>'527713</t>
  </si>
  <si>
    <t>195/50R16 NEXEN N-FERA SU4 84V</t>
  </si>
  <si>
    <t>24/07/2024 FC-A-0022-00026132</t>
  </si>
  <si>
    <t>'9682</t>
  </si>
  <si>
    <t>'PC10-1955016</t>
  </si>
  <si>
    <t>195/50R16 PC10 PACE</t>
  </si>
  <si>
    <t>28/08/2024 REM-X-0004-00000700</t>
  </si>
  <si>
    <t>'9498</t>
  </si>
  <si>
    <t>'33120</t>
  </si>
  <si>
    <t>195/50R16 XL 88V TC101 TRIANGLE</t>
  </si>
  <si>
    <t>30/11/2023 REM-R-0006-10000147</t>
  </si>
  <si>
    <t>'44300</t>
  </si>
  <si>
    <t>195/55 R15 BRIDGSTONE TURANZA ER30 85H</t>
  </si>
  <si>
    <t>'462430</t>
  </si>
  <si>
    <t>195/55 R15 NEXEN N-PRIZ SH9I 85V</t>
  </si>
  <si>
    <t>16/05/2025 FC-A-0022-00029294</t>
  </si>
  <si>
    <t>'39637</t>
  </si>
  <si>
    <t>195/55 R16 BRIDGSTONE ECOPIA EP150 87V</t>
  </si>
  <si>
    <t>'453074</t>
  </si>
  <si>
    <t>195/55 R16 NEXEN CP672 87H</t>
  </si>
  <si>
    <t>'553018</t>
  </si>
  <si>
    <t>'553078</t>
  </si>
  <si>
    <t>195/55R15 107 85V TL A-107 UL WEST LAKE</t>
  </si>
  <si>
    <t>'1882</t>
  </si>
  <si>
    <t>'3808900</t>
  </si>
  <si>
    <t>195/55R15 85H FORMULA EVO</t>
  </si>
  <si>
    <t>11/03/2025 FC-A-0019-00036477</t>
  </si>
  <si>
    <t>'511140</t>
  </si>
  <si>
    <t>'22850</t>
  </si>
  <si>
    <t>195/55R15 85H HS52 KUMHO</t>
  </si>
  <si>
    <t>09/12/2025 REM-X-0004-00001238</t>
  </si>
  <si>
    <t>06/05/2026 Legajo del Producto...</t>
  </si>
  <si>
    <t>'9540</t>
  </si>
  <si>
    <t>'21648</t>
  </si>
  <si>
    <t>195/55R15 85H KR26 KUMHO</t>
  </si>
  <si>
    <t>21/03/2024 REM-R-0012-00000003</t>
  </si>
  <si>
    <t>'1880</t>
  </si>
  <si>
    <t>'2620900</t>
  </si>
  <si>
    <t>195/55R15 85H P7 CINTURATO   PIRELLI</t>
  </si>
  <si>
    <t>20/03/2026 FC-A-0022-00031495</t>
  </si>
  <si>
    <t>'539787</t>
  </si>
  <si>
    <t>'14883</t>
  </si>
  <si>
    <t>195/55R15 85H POWERCONTACT 2 CONTINENTAL</t>
  </si>
  <si>
    <t>17/07/2025 FC-A-0022-00029823</t>
  </si>
  <si>
    <t>'511124</t>
  </si>
  <si>
    <t>'4094900</t>
  </si>
  <si>
    <t>195/55R15 85H POWERGY PIRELLI</t>
  </si>
  <si>
    <t>30/03/2026 FC-A-0022-00031560</t>
  </si>
  <si>
    <t>'528128</t>
  </si>
  <si>
    <t>'DU-322720</t>
  </si>
  <si>
    <t>195/55R15 85V DIREZZA DZ102 DUNLOP</t>
  </si>
  <si>
    <t>'549461</t>
  </si>
  <si>
    <t>'1681887480</t>
  </si>
  <si>
    <t>195/55R15 85V EUROREPAR RELIANCE 1681887480</t>
  </si>
  <si>
    <t>'8534</t>
  </si>
  <si>
    <t>'10323003</t>
  </si>
  <si>
    <t>195/55R15 85V FIREHAWK 900 FIRESTONE</t>
  </si>
  <si>
    <t>08/04/2022 REM-R-0022-00016385</t>
  </si>
  <si>
    <t>'9411</t>
  </si>
  <si>
    <t>'60680</t>
  </si>
  <si>
    <t>195/55R15 85V FM601 FIREMAX</t>
  </si>
  <si>
    <t>08/04/2026 REM-X-0001-00084797</t>
  </si>
  <si>
    <t>'553098</t>
  </si>
  <si>
    <t>'553248</t>
  </si>
  <si>
    <t>195/55R15 85V ITARO NIKO OUA 06 HP</t>
  </si>
  <si>
    <t>'552680</t>
  </si>
  <si>
    <t>195/55R15 85V LANDGEMA ZMAX</t>
  </si>
  <si>
    <t>26/08/2025 REM-X-0004-00001131</t>
  </si>
  <si>
    <t>'553036</t>
  </si>
  <si>
    <t>'553213</t>
  </si>
  <si>
    <t>195/55R15 85V LANVIGATOR COMFORT II</t>
  </si>
  <si>
    <t>'1881</t>
  </si>
  <si>
    <t>'2733500</t>
  </si>
  <si>
    <t>195/55R15 85V P1 CINTURATO PLUS   PIRELLI</t>
  </si>
  <si>
    <t>21/12/2023 FC-A-0022-00024024</t>
  </si>
  <si>
    <t>'552311</t>
  </si>
  <si>
    <t>'462673</t>
  </si>
  <si>
    <t>195/55R15 85V SFERA SU4 NEXEN</t>
  </si>
  <si>
    <t>02/07/2025 FC-A-0022-00029690</t>
  </si>
  <si>
    <t>'528129</t>
  </si>
  <si>
    <t>'DU-337468</t>
  </si>
  <si>
    <t>195/55R15 85V SP SPORT FM800 DUNLOP</t>
  </si>
  <si>
    <t>01/04/2025 FC-A-0022-00028890</t>
  </si>
  <si>
    <t>'9558</t>
  </si>
  <si>
    <t>'33111</t>
  </si>
  <si>
    <t>195/55R15 85V TC101 TRIANGLE</t>
  </si>
  <si>
    <t>01/08/2022 REM-R-0004-00000250</t>
  </si>
  <si>
    <t>'552759</t>
  </si>
  <si>
    <t>'553086</t>
  </si>
  <si>
    <t>195/55R15 85V TL Z-107 WEST LAKE</t>
  </si>
  <si>
    <t>'9511</t>
  </si>
  <si>
    <t>'F19555HSENSZ</t>
  </si>
  <si>
    <t>195/55R15 85V WEST LAKE RP18 M+S</t>
  </si>
  <si>
    <t>14/11/2024 FC-A-0022-00027314</t>
  </si>
  <si>
    <t>'552510</t>
  </si>
  <si>
    <t>'552949</t>
  </si>
  <si>
    <t>195/55R15 85V WINDFORCE CATCHFORS H/P</t>
  </si>
  <si>
    <t>'9788</t>
  </si>
  <si>
    <t>'ALV-1955515</t>
  </si>
  <si>
    <t>195/55R15 ALVENTI PACE</t>
  </si>
  <si>
    <t>02/09/2024 FC-A-2006-00026610</t>
  </si>
  <si>
    <t>'552996</t>
  </si>
  <si>
    <t>'22808</t>
  </si>
  <si>
    <t>195/55R15 HS52 85V KUMHO</t>
  </si>
  <si>
    <t>06/02/2026 REM-X-0001-00083186</t>
  </si>
  <si>
    <t>'6811</t>
  </si>
  <si>
    <t>195/55R15 KR26 KHUMO</t>
  </si>
  <si>
    <t>'552338</t>
  </si>
  <si>
    <t>'14669</t>
  </si>
  <si>
    <t>195/55R15 N-PRIZ SJ91 85V NEXEN</t>
  </si>
  <si>
    <t>'9495</t>
  </si>
  <si>
    <t>'PC195551585V</t>
  </si>
  <si>
    <t>195/55R15 PC20 PACE</t>
  </si>
  <si>
    <t>09/01/2023 REM-R-0004-00000506</t>
  </si>
  <si>
    <t>'552346</t>
  </si>
  <si>
    <t>'32436</t>
  </si>
  <si>
    <t>195/55R15 TE307 85V TRIANGLE</t>
  </si>
  <si>
    <t>'4551</t>
  </si>
  <si>
    <t>'15505020000</t>
  </si>
  <si>
    <t>195/55R16  87H CONTINENTAL POWERCONTACT 0</t>
  </si>
  <si>
    <t>20/10/2025 FC-A-0003-00040895</t>
  </si>
  <si>
    <t>'9777</t>
  </si>
  <si>
    <t>'4039000</t>
  </si>
  <si>
    <t>195/55R16 87H P7 CINTURATO PIRELLI</t>
  </si>
  <si>
    <t>05/03/2026 FC-A-0022-00003429</t>
  </si>
  <si>
    <t>'552903</t>
  </si>
  <si>
    <t>'553127</t>
  </si>
  <si>
    <t>195/55R16 87H POWERCONTATC2 CONTINENTAL</t>
  </si>
  <si>
    <t>11/03/2026 FC-A-0022-00031453</t>
  </si>
  <si>
    <t>'552650</t>
  </si>
  <si>
    <t>'552979</t>
  </si>
  <si>
    <t>195/55R16 87V H/P WINDFORCE CATCHFORS</t>
  </si>
  <si>
    <t>'1742</t>
  </si>
  <si>
    <t>'1961900</t>
  </si>
  <si>
    <t>195/55R16 87V P1 CINTURATO RUN FLAT  PIRELLI</t>
  </si>
  <si>
    <t>05/12/2024 FC-A-0019-00035404</t>
  </si>
  <si>
    <t>'9563</t>
  </si>
  <si>
    <t>'PC20-1955516</t>
  </si>
  <si>
    <t>195/55R16 87V PC20 PACE</t>
  </si>
  <si>
    <t>13/05/2022 REM-R-0001-00089784</t>
  </si>
  <si>
    <t>'553019</t>
  </si>
  <si>
    <t>'553100</t>
  </si>
  <si>
    <t>195/55R16 87V POWERCONTACT FR CONTINENTAL</t>
  </si>
  <si>
    <t>'553095</t>
  </si>
  <si>
    <t>'553245</t>
  </si>
  <si>
    <t>195/55R16 87V SPEEDMAX COOMFORT OUA HP</t>
  </si>
  <si>
    <t>'552634</t>
  </si>
  <si>
    <t>'553002</t>
  </si>
  <si>
    <t>195/55R16 87V TL Z-107 UL WEST LAKE</t>
  </si>
  <si>
    <t>'1730</t>
  </si>
  <si>
    <t>'2246000</t>
  </si>
  <si>
    <t>195/55R16 87W P1 CINTURATO RUN FLAT  PIRELLI</t>
  </si>
  <si>
    <t>14/12/2022 FC-A-0022-00019164</t>
  </si>
  <si>
    <t>'9462</t>
  </si>
  <si>
    <t>'60180</t>
  </si>
  <si>
    <t>195/55R16 91V FM316 FIREMAX</t>
  </si>
  <si>
    <t>11/06/2025 REM-X-0004-00001037</t>
  </si>
  <si>
    <t>'539818</t>
  </si>
  <si>
    <t>'15185</t>
  </si>
  <si>
    <t>195/55R16 91V N PRIZ NEXEN</t>
  </si>
  <si>
    <t>10/03/2025 FC-A-0022-00028634</t>
  </si>
  <si>
    <t>'9509</t>
  </si>
  <si>
    <t>'4075700</t>
  </si>
  <si>
    <t>195/55R16 91V P1 CINTURATO KA XL PIRELLI</t>
  </si>
  <si>
    <t>25/03/2026 FC-A-0022-00031516</t>
  </si>
  <si>
    <t>'1729</t>
  </si>
  <si>
    <t>'3819400</t>
  </si>
  <si>
    <t>195/55R16 91V P7 CINTURATO XL KA PIRELLI</t>
  </si>
  <si>
    <t>27/07/2023 FC-A-0022-00022049</t>
  </si>
  <si>
    <t>'9582</t>
  </si>
  <si>
    <t>'2694400</t>
  </si>
  <si>
    <t>195/55R16 91V XL P7 CINTURATO PIRELLI</t>
  </si>
  <si>
    <t>22/01/2026 FC-A-0022-00031173</t>
  </si>
  <si>
    <t>'9599</t>
  </si>
  <si>
    <t>'4062300</t>
  </si>
  <si>
    <t>195/55R16 91V XL S-I P7 CINTURATO PIRELLI</t>
  </si>
  <si>
    <t>19/06/2025 FC-A-0022-00029591</t>
  </si>
  <si>
    <t>'528098</t>
  </si>
  <si>
    <t>'ALV-1955516</t>
  </si>
  <si>
    <t>195/55R16 ALVENTI PACE</t>
  </si>
  <si>
    <t>10/01/2025 FC-A-0022-00027966</t>
  </si>
  <si>
    <t>'552586</t>
  </si>
  <si>
    <t>'60716</t>
  </si>
  <si>
    <t>195/55R16 FIREMAX 91W FM601</t>
  </si>
  <si>
    <t>'552866</t>
  </si>
  <si>
    <t>'22860</t>
  </si>
  <si>
    <t>195/55R16 HS52 87W KUMHO</t>
  </si>
  <si>
    <t>'6817</t>
  </si>
  <si>
    <t>'24093</t>
  </si>
  <si>
    <t>195/55R16 KH27 KUMHO</t>
  </si>
  <si>
    <t>'540011</t>
  </si>
  <si>
    <t>'32446</t>
  </si>
  <si>
    <t>195/55R16 TE307 87V TRIANGLE</t>
  </si>
  <si>
    <t>'9436</t>
  </si>
  <si>
    <t>'399955</t>
  </si>
  <si>
    <t>195/55R16 WEST LAKE RP28 87V M+S</t>
  </si>
  <si>
    <t>05/06/2023 FC-A-0022-00021351</t>
  </si>
  <si>
    <t>'35400</t>
  </si>
  <si>
    <t>195/60 R14 FIRESTONE FIREHAWK 900 86H</t>
  </si>
  <si>
    <t>'35700</t>
  </si>
  <si>
    <t>195/60 R15 FIRESTONE FIREHAWK 900 88H</t>
  </si>
  <si>
    <t>'462435</t>
  </si>
  <si>
    <t>'15755</t>
  </si>
  <si>
    <t>195/60 R15 NEXEN N-PRIZ SH9I 88V</t>
  </si>
  <si>
    <t>26/11/2025 REM-X-0004-00001218</t>
  </si>
  <si>
    <t>'397700</t>
  </si>
  <si>
    <t>195/60 R15 WEST LAKE RP18 88H M+S</t>
  </si>
  <si>
    <t>05/12/2024 FC-A-0022-00027520</t>
  </si>
  <si>
    <t>'45975</t>
  </si>
  <si>
    <t>195/60 R16 BRIDGSTONE TURANZA ER300 89H</t>
  </si>
  <si>
    <t>'462700</t>
  </si>
  <si>
    <t>195/60 R16 NEXEN NBLUE ECO 89V</t>
  </si>
  <si>
    <t>'105500</t>
  </si>
  <si>
    <t>195/60 R16C BRIDGSTONE DURAVIS R660 99/97H</t>
  </si>
  <si>
    <t>'528130</t>
  </si>
  <si>
    <t>'DU-327142</t>
  </si>
  <si>
    <t>195/60R14 86H SP TOURING R1 DUNLOP</t>
  </si>
  <si>
    <t>'552312</t>
  </si>
  <si>
    <t>'393992</t>
  </si>
  <si>
    <t>195/60R14 86H TL RP18 WEST LAKE</t>
  </si>
  <si>
    <t>'6812</t>
  </si>
  <si>
    <t>195/60R15</t>
  </si>
  <si>
    <t>'540040</t>
  </si>
  <si>
    <t>'552769</t>
  </si>
  <si>
    <t>195/60R15 88H COMFORT II LANVIGATOR</t>
  </si>
  <si>
    <t>22/05/2025 FC-A-0022-00029345</t>
  </si>
  <si>
    <t>'4871</t>
  </si>
  <si>
    <t>'15485730000</t>
  </si>
  <si>
    <t>195/60R15 88H CONTINENTAL POWERCONTACT FIAT PUNTO</t>
  </si>
  <si>
    <t>'9527</t>
  </si>
  <si>
    <t>'29103</t>
  </si>
  <si>
    <t>195/60R15 88H ES31 KUMHO</t>
  </si>
  <si>
    <t>09/03/2026 REM-X-0006-00000853</t>
  </si>
  <si>
    <t>31/01/2026 Legajo del Producto...</t>
  </si>
  <si>
    <t>'9652</t>
  </si>
  <si>
    <t>'19560R15FIRE</t>
  </si>
  <si>
    <t>195/60R15 88H F600 FIRESTONE</t>
  </si>
  <si>
    <t>30/06/2022 REM-R-0017-00002055</t>
  </si>
  <si>
    <t>'1887</t>
  </si>
  <si>
    <t>'3809000</t>
  </si>
  <si>
    <t>195/60R15 88H FORMULA EVO</t>
  </si>
  <si>
    <t>09/12/2025 REM-X-0006-00000698</t>
  </si>
  <si>
    <t>'552313</t>
  </si>
  <si>
    <t>'375638</t>
  </si>
  <si>
    <t>195/60R15 88H LANVIGATOR COMFORT II</t>
  </si>
  <si>
    <t>27/03/2025 FC-A-0022-00028828</t>
  </si>
  <si>
    <t>'528032</t>
  </si>
  <si>
    <t>'14870</t>
  </si>
  <si>
    <t>195/60R15 88H NFERA NEXEN</t>
  </si>
  <si>
    <t>'539984</t>
  </si>
  <si>
    <t>'4494000</t>
  </si>
  <si>
    <t>195/60R15 88H P1 CINTURATO</t>
  </si>
  <si>
    <t>30/03/2026 FC-A-0022-00031564</t>
  </si>
  <si>
    <t>'1877</t>
  </si>
  <si>
    <t>'2255500</t>
  </si>
  <si>
    <t>195/60R15 88H P1 CINTURATO   PIRELLI</t>
  </si>
  <si>
    <t>23/03/2026 FC-A-0055-00031513</t>
  </si>
  <si>
    <t>'9676</t>
  </si>
  <si>
    <t>'19560R15</t>
  </si>
  <si>
    <t>195/60R15 88H RP18 WEST LAKE</t>
  </si>
  <si>
    <t>12/11/2024 FC-A-0022-00027280</t>
  </si>
  <si>
    <t>'527985</t>
  </si>
  <si>
    <t>'19560R15FATE</t>
  </si>
  <si>
    <t>195/60R15 88H SENTIVA SPORT FATE</t>
  </si>
  <si>
    <t>'552425</t>
  </si>
  <si>
    <t>'60690</t>
  </si>
  <si>
    <t>195/60R15 88V FM601 FIREMAX</t>
  </si>
  <si>
    <t>celda 9- patio</t>
  </si>
  <si>
    <t>'553024</t>
  </si>
  <si>
    <t>'553177</t>
  </si>
  <si>
    <t>195/60R15 88V ITARO NIKO OUA 06 HP</t>
  </si>
  <si>
    <t>'9641</t>
  </si>
  <si>
    <t>'33113</t>
  </si>
  <si>
    <t>195/60R15 88V TC101 TRIANGLE</t>
  </si>
  <si>
    <t>24/10/2023 REM-R-0009-00001057</t>
  </si>
  <si>
    <t>'9743</t>
  </si>
  <si>
    <t>'195/60R15P600</t>
  </si>
  <si>
    <t>195/60R15 P600 PIRELLI ANO 2011 (DOT1511)</t>
  </si>
  <si>
    <t>'9756</t>
  </si>
  <si>
    <t>'PC20-1956015</t>
  </si>
  <si>
    <t>195/60R15 PC20 PACE</t>
  </si>
  <si>
    <t>12/10/2022 FC-A-0301-00021675</t>
  </si>
  <si>
    <t>'527795</t>
  </si>
  <si>
    <t>'PC50-1956015</t>
  </si>
  <si>
    <t>195/60R15 PC50 PACE</t>
  </si>
  <si>
    <t>27/07/2024 REM-X-0006-00000467</t>
  </si>
  <si>
    <t>'552646</t>
  </si>
  <si>
    <t>'14181</t>
  </si>
  <si>
    <t>195/60R15 RP18 88H M+S WEST LAKE</t>
  </si>
  <si>
    <t>'552482</t>
  </si>
  <si>
    <t>'32438</t>
  </si>
  <si>
    <t>195/60R15 TE307 88V TRIANGLE</t>
  </si>
  <si>
    <t>'510999</t>
  </si>
  <si>
    <t>'22615</t>
  </si>
  <si>
    <t>195/60R16 89H ES31 KUMHO</t>
  </si>
  <si>
    <t>19/03/2026 REM-X-0006-00000867</t>
  </si>
  <si>
    <t>'510997</t>
  </si>
  <si>
    <t>'60185</t>
  </si>
  <si>
    <t>195/60R16 89H FM316 FIREMAX</t>
  </si>
  <si>
    <t>11/05/2026 REM-X-0006-00000902</t>
  </si>
  <si>
    <t>'1761</t>
  </si>
  <si>
    <t>'2565000</t>
  </si>
  <si>
    <t>195/60R16 89H P1 CINTURATO PIRELLI</t>
  </si>
  <si>
    <t>12/05/2025 FC-A-0022-00029247</t>
  </si>
  <si>
    <t>'9589</t>
  </si>
  <si>
    <t>'3923400</t>
  </si>
  <si>
    <t>19/08/2025 FC-A-0022-00030045</t>
  </si>
  <si>
    <t>'9642</t>
  </si>
  <si>
    <t>'32240</t>
  </si>
  <si>
    <t>195/60R16 89H TR978 TRIANGLE</t>
  </si>
  <si>
    <t>03/09/2024 REM-X-0006-00000515</t>
  </si>
  <si>
    <t>'552760</t>
  </si>
  <si>
    <t>'553083</t>
  </si>
  <si>
    <t>195/60R16 89V TL UL Z-107 WEST LAKE</t>
  </si>
  <si>
    <t>'1847</t>
  </si>
  <si>
    <t>'2186500</t>
  </si>
  <si>
    <t>195/60R16 99T CHRONO   PIRELLI</t>
  </si>
  <si>
    <t>'552868</t>
  </si>
  <si>
    <t>'32448</t>
  </si>
  <si>
    <t>195/60R16 TE307 89V TRIANGLE</t>
  </si>
  <si>
    <t>02/12/2025 REM-X-0004-00001228</t>
  </si>
  <si>
    <t>'552648</t>
  </si>
  <si>
    <t>'15340</t>
  </si>
  <si>
    <t>195/60R16C 99/97H ROADIAN CT8 NEXEN</t>
  </si>
  <si>
    <t>'9854</t>
  </si>
  <si>
    <t>'22183</t>
  </si>
  <si>
    <t>195/65R15 91H ES31 KUMHO</t>
  </si>
  <si>
    <t>25/02/2026 REM-X-0006-00000835</t>
  </si>
  <si>
    <t>'549462</t>
  </si>
  <si>
    <t>'1681887880</t>
  </si>
  <si>
    <t>195/65R15 91H EUROREPAR RELIANCE 1681887880</t>
  </si>
  <si>
    <t>'8528</t>
  </si>
  <si>
    <t>'10353001</t>
  </si>
  <si>
    <t>195/65R15 91H FIREHAWK 900 FIRESTONE</t>
  </si>
  <si>
    <t>03/05/2022 REM-R-0022-00016670</t>
  </si>
  <si>
    <t>'9552</t>
  </si>
  <si>
    <t>'60110</t>
  </si>
  <si>
    <t>195/65R15 91H FM316 FIREMAX</t>
  </si>
  <si>
    <t>06/02/2026 REM-X-0001-00083184</t>
  </si>
  <si>
    <t>'1737</t>
  </si>
  <si>
    <t>'3809100</t>
  </si>
  <si>
    <t>195/65R15 91H FORMULA EVO</t>
  </si>
  <si>
    <t>11/02/2026 FC-A-0022-00031308</t>
  </si>
  <si>
    <t>'539810</t>
  </si>
  <si>
    <t>'15164</t>
  </si>
  <si>
    <t>195/65R15 91H N FERA NEXEN</t>
  </si>
  <si>
    <t>12/07/2025 FC-A-0022-00029783</t>
  </si>
  <si>
    <t>'539768</t>
  </si>
  <si>
    <t>'4493900</t>
  </si>
  <si>
    <t>195/65R15 91H P1 CINTURATO</t>
  </si>
  <si>
    <t>24/12/2025 FC-A-0022-00030988</t>
  </si>
  <si>
    <t>'1740</t>
  </si>
  <si>
    <t>'2856600</t>
  </si>
  <si>
    <t>195/65R15 91H P1 CINTURATO   PIRELLI</t>
  </si>
  <si>
    <t>28/08/2024 FC-A-0022-00026561</t>
  </si>
  <si>
    <t>'9792</t>
  </si>
  <si>
    <t>'33114</t>
  </si>
  <si>
    <t>195/65R15 91H TC101 TRIANGLE</t>
  </si>
  <si>
    <t>15/10/2024 REM-X-0006-00000543</t>
  </si>
  <si>
    <t>'540056</t>
  </si>
  <si>
    <t>'552750</t>
  </si>
  <si>
    <t>195/65R15 91H TL RP18 WEST LAKE</t>
  </si>
  <si>
    <t>07/07/2025 REM-X-0004-00001076</t>
  </si>
  <si>
    <t>'8646</t>
  </si>
  <si>
    <t>'13949200</t>
  </si>
  <si>
    <t>195/65R15 91S BLIZZAK REVO GZ BRIDGESTONE</t>
  </si>
  <si>
    <t>'539789</t>
  </si>
  <si>
    <t>'14515</t>
  </si>
  <si>
    <t>195/65R15 91V A609 APLUS</t>
  </si>
  <si>
    <t>'527692</t>
  </si>
  <si>
    <t>'195/65R15NEXEN</t>
  </si>
  <si>
    <t>195/65R15 91V NEXEN NPRIZ SH9I</t>
  </si>
  <si>
    <t>13/06/2024 REM-X-0004-00000549</t>
  </si>
  <si>
    <t>'552372</t>
  </si>
  <si>
    <t>'552875</t>
  </si>
  <si>
    <t>195/65R15 91V PFZ CLX1 TL MRF</t>
  </si>
  <si>
    <t>26/04/2025 FC-A-0022-00029129</t>
  </si>
  <si>
    <t>'552761</t>
  </si>
  <si>
    <t>'553081</t>
  </si>
  <si>
    <t>195/65R15 91V WINDFORCE CARCHFORS H/P</t>
  </si>
  <si>
    <t>'9789</t>
  </si>
  <si>
    <t>'ALV-1956515</t>
  </si>
  <si>
    <t>195/65R15 ALVENTI PACE</t>
  </si>
  <si>
    <t>05/09/2025 REM-X-0004-00001147</t>
  </si>
  <si>
    <t>'553056</t>
  </si>
  <si>
    <t>'60685</t>
  </si>
  <si>
    <t>195/65R15 FM601 91V FIREMAX</t>
  </si>
  <si>
    <t>07/02/2026 Legajo del Producto...</t>
  </si>
  <si>
    <t>'528044</t>
  </si>
  <si>
    <t>'14801</t>
  </si>
  <si>
    <t>195/65R15 LANVIGATOR COMFORT II 91H</t>
  </si>
  <si>
    <t>24/10/2024 FC-A-0022-00027113</t>
  </si>
  <si>
    <t>'9496</t>
  </si>
  <si>
    <t>'PC20-1956515V</t>
  </si>
  <si>
    <t>195/65R15 PC20 PACE</t>
  </si>
  <si>
    <t>22/07/2022 FC-A-0301-00020707</t>
  </si>
  <si>
    <t>'552865</t>
  </si>
  <si>
    <t>'32440</t>
  </si>
  <si>
    <t>195/65R15 TE307 91H TRIANGLE</t>
  </si>
  <si>
    <t>31/03/2026 REM-X-0004-00001333</t>
  </si>
  <si>
    <t>'9722</t>
  </si>
  <si>
    <t>'3900200</t>
  </si>
  <si>
    <t>195/65R16 104T CHRONO PIRELLI --- FL3900200</t>
  </si>
  <si>
    <t>02/01/2023 FC-A-0019-00028855</t>
  </si>
  <si>
    <t>'9151</t>
  </si>
  <si>
    <t>195/70 R14 WEST LAKE RP18 91T M + S</t>
  </si>
  <si>
    <t>13/08/2024 FC-A-0022-00026393</t>
  </si>
  <si>
    <t>'414700</t>
  </si>
  <si>
    <t>195/70 R15C 8T WEST LAKE H188 104/102R M+S</t>
  </si>
  <si>
    <t>'88580</t>
  </si>
  <si>
    <t>195/70 R15C FIRESTONE CV5000 104/102R</t>
  </si>
  <si>
    <t>'553011</t>
  </si>
  <si>
    <t>'14529</t>
  </si>
  <si>
    <t>195/70R14 91H A608 APLUS</t>
  </si>
  <si>
    <t>'9413</t>
  </si>
  <si>
    <t>'60050</t>
  </si>
  <si>
    <t>195/70R14 91H FM316 FIREMAX</t>
  </si>
  <si>
    <t>04/04/2026 REM-X-0004-00001336</t>
  </si>
  <si>
    <t>01/12/2025 Legajo del Producto...</t>
  </si>
  <si>
    <t>'9537</t>
  </si>
  <si>
    <t>'11427</t>
  </si>
  <si>
    <t>195/70R14 91H KR26 KUMHO</t>
  </si>
  <si>
    <t>18/06/2024 REM-X-0004-00000560</t>
  </si>
  <si>
    <t>'8355</t>
  </si>
  <si>
    <t>'16902001</t>
  </si>
  <si>
    <t>195/70R14 91T F-600 FIRESTONE</t>
  </si>
  <si>
    <t>03/05/2022 REM-R-0022-00016672</t>
  </si>
  <si>
    <t>'552762</t>
  </si>
  <si>
    <t>'384814</t>
  </si>
  <si>
    <t>195/70R14 91T Z-107 WEST LAKE</t>
  </si>
  <si>
    <t>'9508</t>
  </si>
  <si>
    <t>'32138</t>
  </si>
  <si>
    <t>195/70R14 95H TR928 TRIANGLE</t>
  </si>
  <si>
    <t>30/04/2025 REM-X-0004-00000956</t>
  </si>
  <si>
    <t>'528045</t>
  </si>
  <si>
    <t>'14767</t>
  </si>
  <si>
    <t>195/70R14 LANVIGATOR COMFORT II 91H</t>
  </si>
  <si>
    <t>'9480</t>
  </si>
  <si>
    <t>'PC50-1957014</t>
  </si>
  <si>
    <t>195/70R14 PC50  PACE</t>
  </si>
  <si>
    <t>05/09/2024 FC-A-0022-00026647</t>
  </si>
  <si>
    <t>'4888</t>
  </si>
  <si>
    <t>'4513450000</t>
  </si>
  <si>
    <t>195/70R15 104/102R VANCONTACT AP</t>
  </si>
  <si>
    <t>'539762</t>
  </si>
  <si>
    <t>'2253000</t>
  </si>
  <si>
    <t>195/70R15 104R (97T) CHRONO   PIRELLI --- FL225300</t>
  </si>
  <si>
    <t>'539785</t>
  </si>
  <si>
    <t>'14776</t>
  </si>
  <si>
    <t>195/70R15 104R VANCO CONTACT AP CONTINENTAL</t>
  </si>
  <si>
    <t>'9780</t>
  </si>
  <si>
    <t>'15857</t>
  </si>
  <si>
    <t>195/70R15 C KC53 104/102R KUMHO</t>
  </si>
  <si>
    <t>27/09/2023 REM-R-0004-10000141</t>
  </si>
  <si>
    <t>'552878</t>
  </si>
  <si>
    <t>'60116</t>
  </si>
  <si>
    <t>195/70R15 FM913 104/102 FIREMAX</t>
  </si>
  <si>
    <t>'539851</t>
  </si>
  <si>
    <t>'378830</t>
  </si>
  <si>
    <t>195/70R15C 8T 104/102R LANVIGATOR MILEMAX</t>
  </si>
  <si>
    <t>08/11/2024 FC-A-0200-00331046</t>
  </si>
  <si>
    <t>'384520</t>
  </si>
  <si>
    <t>'552879</t>
  </si>
  <si>
    <t>195/70R15C 8T WINDFORCE MILEMAX 104/102R</t>
  </si>
  <si>
    <t>'4874</t>
  </si>
  <si>
    <t>'4513980000</t>
  </si>
  <si>
    <t>195/75R16 107/105R VANCONTACT AP CONTINENTAL</t>
  </si>
  <si>
    <t>13/01/2025 FC-A-0019-00035819</t>
  </si>
  <si>
    <t>'1859</t>
  </si>
  <si>
    <t>'2154400</t>
  </si>
  <si>
    <t>195/75R16 107R CHRONO  MO PIRELLI</t>
  </si>
  <si>
    <t>15/09/2025 FC-A-0022-00030223</t>
  </si>
  <si>
    <t>'9832</t>
  </si>
  <si>
    <t>'13110</t>
  </si>
  <si>
    <t>195/75R16 107T KC53 KUMHO</t>
  </si>
  <si>
    <t>03/01/2026 REM-X-0001-00082250</t>
  </si>
  <si>
    <t>'552539</t>
  </si>
  <si>
    <t>'60618</t>
  </si>
  <si>
    <t>195/75R16 C FM913 107/105R FIREMAX</t>
  </si>
  <si>
    <t>08/05/2026 REM-X-0006-00000901</t>
  </si>
  <si>
    <t>celda 1-5</t>
  </si>
  <si>
    <t>'527799</t>
  </si>
  <si>
    <t>'471300</t>
  </si>
  <si>
    <t>195/75R16 DE CARGA NEXEN ROADIAN CT8 110/108T</t>
  </si>
  <si>
    <t>02/07/2024 REM-X-0201-00310705</t>
  </si>
  <si>
    <t>'9481</t>
  </si>
  <si>
    <t>'PC18-1957516C</t>
  </si>
  <si>
    <t>195/75R16C 107/105R 8PR PC18 PACE</t>
  </si>
  <si>
    <t>10/12/2024 REM-X-0004-00000829</t>
  </si>
  <si>
    <t>'8554</t>
  </si>
  <si>
    <t>'17919002</t>
  </si>
  <si>
    <t>195/75R16C 107/105R CV5000 FIRESTONE</t>
  </si>
  <si>
    <t>11/05/2022 REM-R-0022-00016764</t>
  </si>
  <si>
    <t>'552315</t>
  </si>
  <si>
    <t>'384541</t>
  </si>
  <si>
    <t>195/75R16C 107/105R WINDFORCE MILE MAX</t>
  </si>
  <si>
    <t>'528034</t>
  </si>
  <si>
    <t>'14803</t>
  </si>
  <si>
    <t>195/75R16C 110/108T ROADIAN CT8 NEXEN</t>
  </si>
  <si>
    <t>'552519</t>
  </si>
  <si>
    <t>'15107</t>
  </si>
  <si>
    <t>195/75R16C 8T 107/105R M+S WEST LAKE</t>
  </si>
  <si>
    <t>'9460</t>
  </si>
  <si>
    <t>'32189</t>
  </si>
  <si>
    <t>195/75R16C TR652 TRIANGLE</t>
  </si>
  <si>
    <t>05/02/2026 REM-X-0001-00083128</t>
  </si>
  <si>
    <t>'9573</t>
  </si>
  <si>
    <t>'34500</t>
  </si>
  <si>
    <t>195R14C 106/104R KC53 KUMHO</t>
  </si>
  <si>
    <t>03/11/2025 REM-X-0004-00001191</t>
  </si>
  <si>
    <t>'539825</t>
  </si>
  <si>
    <t>'PC08-19514</t>
  </si>
  <si>
    <t>195R14C PC08</t>
  </si>
  <si>
    <t>'9559</t>
  </si>
  <si>
    <t>'32179</t>
  </si>
  <si>
    <t>195R15 106/104S C/LT TR645 TRIANGLE</t>
  </si>
  <si>
    <t>21/09/2024 REM-X-0004-00000746</t>
  </si>
  <si>
    <t>'9735</t>
  </si>
  <si>
    <t>'R4</t>
  </si>
  <si>
    <t>195R15 FIRESTONE TRANSFORCE</t>
  </si>
  <si>
    <t>20/05/2024 REM-X-0004-00000502</t>
  </si>
  <si>
    <t>'552496</t>
  </si>
  <si>
    <t>'001-200-2020579</t>
  </si>
  <si>
    <t>195R15C 106/104R RA18 HANKOOK</t>
  </si>
  <si>
    <t>'9467</t>
  </si>
  <si>
    <t>'60115</t>
  </si>
  <si>
    <t>195R15C FM913 FIREMAX</t>
  </si>
  <si>
    <t>'36300</t>
  </si>
  <si>
    <t>205/40 R17 FIRESTONE FIREHAWK 900 84V</t>
  </si>
  <si>
    <t>'461200</t>
  </si>
  <si>
    <t>205/40 R18 NEXEN N8000 XL 86Y</t>
  </si>
  <si>
    <t>'462654</t>
  </si>
  <si>
    <t>205/40R17 84W NFERA SU4 XL NEXEN</t>
  </si>
  <si>
    <t>'9646</t>
  </si>
  <si>
    <t>205/40R17 84W P1 CINTURATO PLUS XL PIRELLI</t>
  </si>
  <si>
    <t>'1757</t>
  </si>
  <si>
    <t>'2917100</t>
  </si>
  <si>
    <t>205/40R17 84W P1 CINTURATO PLUS XL PIRELLI --- PRO</t>
  </si>
  <si>
    <t>28/08/2024 NC-A-0019-00001635</t>
  </si>
  <si>
    <t>'9683</t>
  </si>
  <si>
    <t>'PC205401784WX</t>
  </si>
  <si>
    <t>205/40R17 84W XL PC10 PACE</t>
  </si>
  <si>
    <t>'462658</t>
  </si>
  <si>
    <t>205/45 R17 NEXEN N-FERA SU4 88W XL</t>
  </si>
  <si>
    <t>16/12/2024 FC-A-0022-00027647</t>
  </si>
  <si>
    <t>'9829</t>
  </si>
  <si>
    <t>'41680</t>
  </si>
  <si>
    <t>205/45R16 87W PS31 KUMHO</t>
  </si>
  <si>
    <t>30/03/2024 REM-R-0006-10000263</t>
  </si>
  <si>
    <t>'1743</t>
  </si>
  <si>
    <t>'3220100</t>
  </si>
  <si>
    <t>205/45R17 88V P7 CINTURATO XL  PIRELLI</t>
  </si>
  <si>
    <t>02/01/2026 FC-A-0022-00031009</t>
  </si>
  <si>
    <t>'1754</t>
  </si>
  <si>
    <t>'2245800</t>
  </si>
  <si>
    <t>205/45R17 88W P7 CINTURATO (*) XL RUN FLAT  PIRELL</t>
  </si>
  <si>
    <t>'552977</t>
  </si>
  <si>
    <t>'60952</t>
  </si>
  <si>
    <t>205/45R17 88W SPORT 2 FIREMAX</t>
  </si>
  <si>
    <t>13/12/2025 Legajo del Producto...</t>
  </si>
  <si>
    <t>'9640</t>
  </si>
  <si>
    <t>'60260</t>
  </si>
  <si>
    <t>205/45R17 88W XL FM601 FIREMAX</t>
  </si>
  <si>
    <t>celda 2-3</t>
  </si>
  <si>
    <t>'540044</t>
  </si>
  <si>
    <t>'15629</t>
  </si>
  <si>
    <t>205/45R17 88W XL N FERA NEXEN</t>
  </si>
  <si>
    <t>12/05/2025 FC-A-0022-00029251</t>
  </si>
  <si>
    <t>'9933</t>
  </si>
  <si>
    <t>'29002</t>
  </si>
  <si>
    <t>205/45R17 88Y PS71 XL KUMHO</t>
  </si>
  <si>
    <t>08/11/2025 REM-X-0008-00000595</t>
  </si>
  <si>
    <t>'527939</t>
  </si>
  <si>
    <t>'ALV-20545R17</t>
  </si>
  <si>
    <t>205/45R17 88Y XL ALVENTI PACE</t>
  </si>
  <si>
    <t>30/07/2025 FC-A-0301-00036482</t>
  </si>
  <si>
    <t>'540023</t>
  </si>
  <si>
    <t>'33486</t>
  </si>
  <si>
    <t>205/45R17 TH202 88Y TRIANGLE</t>
  </si>
  <si>
    <t>'527718</t>
  </si>
  <si>
    <t>'2054518GY</t>
  </si>
  <si>
    <t>205/45R18 86V GOODYEAR EAGLE TOURING</t>
  </si>
  <si>
    <t>'527720</t>
  </si>
  <si>
    <t>'DU-323523</t>
  </si>
  <si>
    <t>205/45R18 90W DUNLOP SP SPORT MAXX 050+ (JPN)</t>
  </si>
  <si>
    <t>'9564</t>
  </si>
  <si>
    <t>'31023</t>
  </si>
  <si>
    <t>205/50R15 86V PS31 KUMHO</t>
  </si>
  <si>
    <t>'511022</t>
  </si>
  <si>
    <t>'3906500</t>
  </si>
  <si>
    <t>205/50R17 89H P7 CINTURATO (KS) PIRELLI</t>
  </si>
  <si>
    <t>18/01/2025 FC-A-0022-00028062</t>
  </si>
  <si>
    <t>'4665</t>
  </si>
  <si>
    <t>'3560730000</t>
  </si>
  <si>
    <t>205/50R17 89V CONTINENTAL PREMIUMCONTACT 2 E NISSA</t>
  </si>
  <si>
    <t>'1713</t>
  </si>
  <si>
    <t>'3574600</t>
  </si>
  <si>
    <t>205/50R17 89V P7 CINTURATO PIRELLI</t>
  </si>
  <si>
    <t>04/10/2025 FC-A-0022-00030377</t>
  </si>
  <si>
    <t>'1744</t>
  </si>
  <si>
    <t>'2040400</t>
  </si>
  <si>
    <t>205/50R17 89Y P7 CINTURATO (*) RUN FLAT  PIRELLI</t>
  </si>
  <si>
    <t>30/12/2022 REM-R-0008-00000098</t>
  </si>
  <si>
    <t>'552399</t>
  </si>
  <si>
    <t>'29302</t>
  </si>
  <si>
    <t>205/50R17 93W ES31 KUMHO ECOWING</t>
  </si>
  <si>
    <t>'552465</t>
  </si>
  <si>
    <t>'60679</t>
  </si>
  <si>
    <t>205/50R17 93W FM601 FIREMAX</t>
  </si>
  <si>
    <t>celda 3-7</t>
  </si>
  <si>
    <t>'9847</t>
  </si>
  <si>
    <t>'462674</t>
  </si>
  <si>
    <t>205/50R17 93W NEXEN NFERA SU4 XL</t>
  </si>
  <si>
    <t>16/01/2025 FC-A-0022-00028030</t>
  </si>
  <si>
    <t>'540045</t>
  </si>
  <si>
    <t>'15679</t>
  </si>
  <si>
    <t>205/50R17 93W NFERA SU4 NEXEN</t>
  </si>
  <si>
    <t>07/05/2025 FC-A-0022-00029221</t>
  </si>
  <si>
    <t>'1684</t>
  </si>
  <si>
    <t>'3116800</t>
  </si>
  <si>
    <t>205/50R17 93W P7 CINTURATO XL  PIRELLI</t>
  </si>
  <si>
    <t>21/12/2022 FC-A-0022-00019261</t>
  </si>
  <si>
    <t>'528037</t>
  </si>
  <si>
    <t>'14802</t>
  </si>
  <si>
    <t>205/50R17 N PRIZ GX 93V XL NEXEN</t>
  </si>
  <si>
    <t>'9739</t>
  </si>
  <si>
    <t>'205/50R17PZERO</t>
  </si>
  <si>
    <t>205/50R17 P-ZERO ROSSO ANO 2010 (DOT4210)</t>
  </si>
  <si>
    <t>'45980</t>
  </si>
  <si>
    <t>205/55 R16 BRIDGSTONE TURANZA ER300 91V</t>
  </si>
  <si>
    <t>'36000</t>
  </si>
  <si>
    <t>205/55 R16 FIRESTONE FIREHAWK 900 91V</t>
  </si>
  <si>
    <t>'9510</t>
  </si>
  <si>
    <t>'60700</t>
  </si>
  <si>
    <t>205/55R16  91V  FM601  FIREMAX</t>
  </si>
  <si>
    <t>'9442</t>
  </si>
  <si>
    <t>'32245</t>
  </si>
  <si>
    <t>205/55R16 84W TH201 TRIANGLE</t>
  </si>
  <si>
    <t>08/02/2023 REM-R-0006-00000318</t>
  </si>
  <si>
    <t>'9667</t>
  </si>
  <si>
    <t>'29104</t>
  </si>
  <si>
    <t>205/55R16 91H ES31 KUMHO</t>
  </si>
  <si>
    <t>23/04/2026 REM-X-0006-00000892</t>
  </si>
  <si>
    <t>'552427</t>
  </si>
  <si>
    <t>'32505</t>
  </si>
  <si>
    <t>205/55R16 91H TR978 TRIANGLE</t>
  </si>
  <si>
    <t>17/04/2025 REM-X-0004-00000942</t>
  </si>
  <si>
    <t>'552339</t>
  </si>
  <si>
    <t>'550100</t>
  </si>
  <si>
    <t>205/55R16 91V CATCHFORS H/P WINDFORCE</t>
  </si>
  <si>
    <t>24/06/2025 FC-A-0022-00029621</t>
  </si>
  <si>
    <t>'552691</t>
  </si>
  <si>
    <t>205/55R16 91V COMFORT MASTER LINGLONG</t>
  </si>
  <si>
    <t>27/08/2025 REM-X-0004-00001133</t>
  </si>
  <si>
    <t>G8</t>
  </si>
  <si>
    <t>'4564</t>
  </si>
  <si>
    <t>'15508610000</t>
  </si>
  <si>
    <t>205/55R16 91V CONTINENTAL POWERCONTACT 2 0</t>
  </si>
  <si>
    <t>15/09/2025 FC-A-0022-00030227</t>
  </si>
  <si>
    <t>'528131</t>
  </si>
  <si>
    <t>'DU-322719</t>
  </si>
  <si>
    <t>205/55R16 91V DIREZZA DZ102 DUNLOP</t>
  </si>
  <si>
    <t>07/05/2025 FC-A-0019-00037032</t>
  </si>
  <si>
    <t>'549463</t>
  </si>
  <si>
    <t>'1681888480</t>
  </si>
  <si>
    <t>205/55R16 91V EUROREPAR RELIANCE 1681888480</t>
  </si>
  <si>
    <t>'1725</t>
  </si>
  <si>
    <t>'3809200</t>
  </si>
  <si>
    <t>205/55R16 91V FORMULA EVO</t>
  </si>
  <si>
    <t>28/03/2026 FC-A-0022-00031559</t>
  </si>
  <si>
    <t>'1726</t>
  </si>
  <si>
    <t>'2733600</t>
  </si>
  <si>
    <t>205/55R16 91V P1 CINTURATO PLUS   PIRELLI</t>
  </si>
  <si>
    <t>14/11/2024 FC-A-0019-00035182</t>
  </si>
  <si>
    <t>'9355</t>
  </si>
  <si>
    <t>'20555R16P400</t>
  </si>
  <si>
    <t>205/55R16 91V P400 EVO PIRELLI</t>
  </si>
  <si>
    <t>'553039</t>
  </si>
  <si>
    <t>'4570900</t>
  </si>
  <si>
    <t>205/55R16 91V P400 PIRELLI</t>
  </si>
  <si>
    <t>'539761</t>
  </si>
  <si>
    <t>'4095100</t>
  </si>
  <si>
    <t>205/55R16 91V PWRGY PIRELLI</t>
  </si>
  <si>
    <t>11/05/2026 FC-A-0022-00031834</t>
  </si>
  <si>
    <t>'527736</t>
  </si>
  <si>
    <t>'399963</t>
  </si>
  <si>
    <t>205/55R16 91V RP18 M+S WESTLAKE</t>
  </si>
  <si>
    <t>18/06/2024 REM-X-0006-00000382</t>
  </si>
  <si>
    <t>'9596</t>
  </si>
  <si>
    <t>'4039600</t>
  </si>
  <si>
    <t>205/55R16 91V S-I P7CINTURATO (KS) PIRELLI</t>
  </si>
  <si>
    <t>21/04/2026 FC-A-0022-00031711</t>
  </si>
  <si>
    <t>'511137</t>
  </si>
  <si>
    <t>'32130</t>
  </si>
  <si>
    <t>205/55R16 91V TE307 TRIANGLE</t>
  </si>
  <si>
    <t>04/05/2024 REM-X-0006-00000301</t>
  </si>
  <si>
    <t>'552763</t>
  </si>
  <si>
    <t>'553082</t>
  </si>
  <si>
    <t>205/55R16 91V TL Z107 WEST LAKE</t>
  </si>
  <si>
    <t>'539803</t>
  </si>
  <si>
    <t>'15108</t>
  </si>
  <si>
    <t>205/55R16 91W NFERA SU4 NEXEN</t>
  </si>
  <si>
    <t>06/01/2026 FC-A-0022-00031064</t>
  </si>
  <si>
    <t>'1728</t>
  </si>
  <si>
    <t>'2040200</t>
  </si>
  <si>
    <t>205/55R16 91W P7 CINTURATO RUN FLAT  PIRELLI</t>
  </si>
  <si>
    <t>'9748</t>
  </si>
  <si>
    <t>'11680</t>
  </si>
  <si>
    <t>205/55R16 91W PS31 KUMHO</t>
  </si>
  <si>
    <t>20/11/2025 REM-X-0004-00001214</t>
  </si>
  <si>
    <t>'1727</t>
  </si>
  <si>
    <t>'2252400</t>
  </si>
  <si>
    <t>205/55R16 94W P7 CINTURATO XL  PIRELLI</t>
  </si>
  <si>
    <t>20/03/2026 FC-A-0022-00031499</t>
  </si>
  <si>
    <t>'552742</t>
  </si>
  <si>
    <t>'32466</t>
  </si>
  <si>
    <t>205/55R16 94W TE307 TRIANGLE</t>
  </si>
  <si>
    <t>20/12/2025 REM-X-0004-00001252</t>
  </si>
  <si>
    <t>'539800</t>
  </si>
  <si>
    <t>'14799</t>
  </si>
  <si>
    <t>205/55R16 94W XL N FERA PRIMUS QX NEXEN</t>
  </si>
  <si>
    <t>12/12/2024 FC-A-0022-00027613</t>
  </si>
  <si>
    <t>'9790</t>
  </si>
  <si>
    <t>'ALV-2055516</t>
  </si>
  <si>
    <t>205/55R16 ALVENTI PACE</t>
  </si>
  <si>
    <t>11/12/2025 REM-X-0006-00000701</t>
  </si>
  <si>
    <t>'528035</t>
  </si>
  <si>
    <t>'14763</t>
  </si>
  <si>
    <t>205/55R16 N PRIZ GX 91V NEXEN</t>
  </si>
  <si>
    <t>'9494</t>
  </si>
  <si>
    <t>'PC10-20555W16</t>
  </si>
  <si>
    <t>205/55R16 PC10 PACE</t>
  </si>
  <si>
    <t>11/08/2023 FC-A-0022-00022223</t>
  </si>
  <si>
    <t>'9678</t>
  </si>
  <si>
    <t>'P10-20555W16</t>
  </si>
  <si>
    <t>'9732</t>
  </si>
  <si>
    <t>'205/55R16PH</t>
  </si>
  <si>
    <t>205/55R16 PIRELLI PHANTOM OVERAGED</t>
  </si>
  <si>
    <t>'528132</t>
  </si>
  <si>
    <t>'DU-354262</t>
  </si>
  <si>
    <t>205/55R16 SP SPORT FM800 DUNLOP</t>
  </si>
  <si>
    <t>'10028</t>
  </si>
  <si>
    <t>'32258</t>
  </si>
  <si>
    <t>205/55R16 TH201 91V TRIANGLE</t>
  </si>
  <si>
    <t>30/10/2023 REM-R-0009-00000415</t>
  </si>
  <si>
    <t>'540013</t>
  </si>
  <si>
    <t>'33488</t>
  </si>
  <si>
    <t>205/55R16 TH202 91V TRIANGLE</t>
  </si>
  <si>
    <t>20/03/2026 REM-X-0001-00084394</t>
  </si>
  <si>
    <t>'527940</t>
  </si>
  <si>
    <t>'ALV-2055517</t>
  </si>
  <si>
    <t>205/55R17 84W XL ALVENTI PACE</t>
  </si>
  <si>
    <t>06/09/2024 REM-X-0004-00000722</t>
  </si>
  <si>
    <t>'1696</t>
  </si>
  <si>
    <t>'2050400</t>
  </si>
  <si>
    <t>205/55R17 91V P7 CINTURATO (*) RUN FLAT  PIRELLI</t>
  </si>
  <si>
    <t>26/08/2022 FC-A-0022-00017859</t>
  </si>
  <si>
    <t>'1695</t>
  </si>
  <si>
    <t>'3644300</t>
  </si>
  <si>
    <t>205/55R17 91V P7 CINTURATO KS PIRELLI</t>
  </si>
  <si>
    <t>09/11/2022 FC-A-0022-00018808</t>
  </si>
  <si>
    <t>'1694</t>
  </si>
  <si>
    <t>'2884600</t>
  </si>
  <si>
    <t>205/55R17 91V P7 CINTURATO PIRELLI</t>
  </si>
  <si>
    <t>03/12/2022 REM-R-0006-00000246</t>
  </si>
  <si>
    <t>'527679</t>
  </si>
  <si>
    <t>'14511</t>
  </si>
  <si>
    <t>205/55R17 91V POWERCONTACT CONTINENTAL</t>
  </si>
  <si>
    <t>'9818</t>
  </si>
  <si>
    <t>'4170000</t>
  </si>
  <si>
    <t>205/55R17 91V SCORPION (KS) PIRELLI</t>
  </si>
  <si>
    <t>30/03/2026 FC-A-0022-00031561</t>
  </si>
  <si>
    <t>'9771</t>
  </si>
  <si>
    <t>'3906700</t>
  </si>
  <si>
    <t>205/55R17 91V SCORPION PIRELLI</t>
  </si>
  <si>
    <t>15/03/2023 FC-A-0022-00020356</t>
  </si>
  <si>
    <t>'527938</t>
  </si>
  <si>
    <t>'4059400</t>
  </si>
  <si>
    <t>205/55R17 91V SCORPION S-I PIRELLI</t>
  </si>
  <si>
    <t>09/08/2025 FC-A-0006-00029991</t>
  </si>
  <si>
    <t>'553205</t>
  </si>
  <si>
    <t>205/55R17 91W TURANZA  BRIDGESTONE</t>
  </si>
  <si>
    <t>07/05/2026 Legajo del Producto...</t>
  </si>
  <si>
    <t>'552974</t>
  </si>
  <si>
    <t>'60708</t>
  </si>
  <si>
    <t>205/55R17 95W FM601 FIREMAX</t>
  </si>
  <si>
    <t>08/04/2026 REM-X-0001-00084801</t>
  </si>
  <si>
    <t>'553236</t>
  </si>
  <si>
    <t>205/55R17 95W TL UL XL Z-107 WEST LAKE</t>
  </si>
  <si>
    <t>'552867</t>
  </si>
  <si>
    <t>'22325</t>
  </si>
  <si>
    <t>205/55R17 ES31 91W KUMHO</t>
  </si>
  <si>
    <t>'539815</t>
  </si>
  <si>
    <t>'15366</t>
  </si>
  <si>
    <t>205/55R17 N FERA RU1 91V NEXEN</t>
  </si>
  <si>
    <t>08/05/2026 FC-A-0022-00031828</t>
  </si>
  <si>
    <t>'540022</t>
  </si>
  <si>
    <t>'33480</t>
  </si>
  <si>
    <t>205/55R17 TH202 95W TRIANGLE</t>
  </si>
  <si>
    <t>11/12/2025 REM-X-0001-00081721</t>
  </si>
  <si>
    <t>celda 1-9</t>
  </si>
  <si>
    <t>'123525</t>
  </si>
  <si>
    <t>205/60 R15 BRIDGSTONE DUELER A/T REVO 2 91H</t>
  </si>
  <si>
    <t>'35900</t>
  </si>
  <si>
    <t>205/60 R15 FIRESTONE FIREHAWK 900 91H</t>
  </si>
  <si>
    <t>'45995</t>
  </si>
  <si>
    <t>205/60 R16 BRIDGSTONE TURANZA ER300 92H</t>
  </si>
  <si>
    <t>'45998</t>
  </si>
  <si>
    <t>205/60 R16 BRIDGSTONE TURANZA T005 92H S/C</t>
  </si>
  <si>
    <t>'553033</t>
  </si>
  <si>
    <t>'553203</t>
  </si>
  <si>
    <t>205/60R15 91H CROSSCONTACT AT CONTINENTAL (CAMIONE</t>
  </si>
  <si>
    <t>'9684</t>
  </si>
  <si>
    <t>'205/60R15RP18</t>
  </si>
  <si>
    <t>205/60R15 91H M+S WEST LAKE RP18</t>
  </si>
  <si>
    <t>28/06/2024 REM-X-0201-00310462</t>
  </si>
  <si>
    <t>'1889</t>
  </si>
  <si>
    <t>'2620800</t>
  </si>
  <si>
    <t>205/60R15 91H P7 CINTURATO   PIRELLI</t>
  </si>
  <si>
    <t>04/08/2025 FC-A-0022-00029949</t>
  </si>
  <si>
    <t>'9703</t>
  </si>
  <si>
    <t>'398200</t>
  </si>
  <si>
    <t>205/60R15 91H RP18 WEST LAKE</t>
  </si>
  <si>
    <t>28/07/2022 FC-A-0200-00273534</t>
  </si>
  <si>
    <t>'1648</t>
  </si>
  <si>
    <t>'3770300</t>
  </si>
  <si>
    <t>205/60R15 91H SCORPION ATR (LETRA BLANCA) PIRELLI</t>
  </si>
  <si>
    <t>13/02/2023 FC-A-0022-00019957</t>
  </si>
  <si>
    <t>'552683</t>
  </si>
  <si>
    <t>205/60R15 91V LANDGEMA ZMAX</t>
  </si>
  <si>
    <t>18/12/2025 REM-X-0006-00000717</t>
  </si>
  <si>
    <t>'553022</t>
  </si>
  <si>
    <t>'553170</t>
  </si>
  <si>
    <t>205/60R15 91V LANVIGATOR COMFORT II</t>
  </si>
  <si>
    <t>28/01/2026 FC-A-0022-00031213</t>
  </si>
  <si>
    <t>'540046</t>
  </si>
  <si>
    <t>'552765</t>
  </si>
  <si>
    <t>205/60R15 91V N FERA PRIMUS NEXEN</t>
  </si>
  <si>
    <t>16/12/2025 FC-A-0022-00030937</t>
  </si>
  <si>
    <t>'539794</t>
  </si>
  <si>
    <t>'13808</t>
  </si>
  <si>
    <t>205/60R15 91V NBLUE ECO NEXEN</t>
  </si>
  <si>
    <t>'552764</t>
  </si>
  <si>
    <t>'553034</t>
  </si>
  <si>
    <t>205/60R15 91V TL GRANDECO COMPASAL</t>
  </si>
  <si>
    <t>'552665</t>
  </si>
  <si>
    <t>'60695</t>
  </si>
  <si>
    <t>205/60R15 FM601 FIREMAX</t>
  </si>
  <si>
    <t>'552869</t>
  </si>
  <si>
    <t>'22856</t>
  </si>
  <si>
    <t>205/60R15 HS52 91V KUMHO</t>
  </si>
  <si>
    <t>'540057</t>
  </si>
  <si>
    <t>'13405</t>
  </si>
  <si>
    <t>205/60R15 M+S RP18 91H WEST LAKE</t>
  </si>
  <si>
    <t>27/05/2025 FC-A-0022-00029383</t>
  </si>
  <si>
    <t>'9679</t>
  </si>
  <si>
    <t>'PC20-2056015</t>
  </si>
  <si>
    <t>205/60R15 PC20 PACE</t>
  </si>
  <si>
    <t>06/12/2024 REM-X-0001-00104516</t>
  </si>
  <si>
    <t>'553028</t>
  </si>
  <si>
    <t>'553184</t>
  </si>
  <si>
    <t>205/60R15 Z-107 91H M+S WEST LAKE</t>
  </si>
  <si>
    <t>'4857</t>
  </si>
  <si>
    <t>'13308</t>
  </si>
  <si>
    <t>205/60R16 92H CONTINENTAL POWERCONTACT FORD ECOSPO</t>
  </si>
  <si>
    <t>04/09/2024 FC-A-0022-00026642</t>
  </si>
  <si>
    <t>'553015</t>
  </si>
  <si>
    <t>'553054</t>
  </si>
  <si>
    <t>205/60R16 92H D3 ECOCONTACT 6 Q CONTINENTAL</t>
  </si>
  <si>
    <t>'9581</t>
  </si>
  <si>
    <t>'399400</t>
  </si>
  <si>
    <t>205/60R16 92H M+S RP18 WEST LAKE</t>
  </si>
  <si>
    <t>26/06/2024 REM-X-0006-00000404</t>
  </si>
  <si>
    <t>'528105</t>
  </si>
  <si>
    <t>205/60R16 92H POWECONTACT CONTINENTAL</t>
  </si>
  <si>
    <t>15/10/2024 FC-A-0022-00027017</t>
  </si>
  <si>
    <t>'552637</t>
  </si>
  <si>
    <t>205/60R16 92H POWERCONTACT2 CONTINENTAL</t>
  </si>
  <si>
    <t>08/04/2026 FC-A-0022-00031635</t>
  </si>
  <si>
    <t>'9600</t>
  </si>
  <si>
    <t>'4062400</t>
  </si>
  <si>
    <t>205/60R16 92H S-I SCORPION ATR PIRELLI</t>
  </si>
  <si>
    <t>03/07/2023 REM-R-0006-00000016</t>
  </si>
  <si>
    <t>'552644</t>
  </si>
  <si>
    <t>'4281900</t>
  </si>
  <si>
    <t>205/60R16 92H SCORPION</t>
  </si>
  <si>
    <t>25/10/2025 FC-A-0022-00030526</t>
  </si>
  <si>
    <t>'1635</t>
  </si>
  <si>
    <t>'2203100</t>
  </si>
  <si>
    <t>205/60R16 92H SCORPION ATR PIRELLI</t>
  </si>
  <si>
    <t>09/03/2026 FC-A-0019-00040059</t>
  </si>
  <si>
    <t>'9586</t>
  </si>
  <si>
    <t>'3906800</t>
  </si>
  <si>
    <t>205/60R16 92H SCORPION PIRELLI</t>
  </si>
  <si>
    <t>05/01/2026 REM-X-0006-00000740</t>
  </si>
  <si>
    <t>'528133</t>
  </si>
  <si>
    <t>'DU-337476</t>
  </si>
  <si>
    <t>205/60R16 92H SP SPORT FM800 DUNLOP</t>
  </si>
  <si>
    <t>29/01/2025 FC-A-0019-00036009</t>
  </si>
  <si>
    <t>'1760</t>
  </si>
  <si>
    <t>'1923600</t>
  </si>
  <si>
    <t>205/60R16 92V P7 CINTURATO   PIRELLI</t>
  </si>
  <si>
    <t>05/07/2023 REM-R-0006-00000019</t>
  </si>
  <si>
    <t>205/60R16 92V TL A608 APLUS</t>
  </si>
  <si>
    <t>'552636</t>
  </si>
  <si>
    <t>'552980</t>
  </si>
  <si>
    <t>205/60R16 92V TL Z-107 WEST LAKE</t>
  </si>
  <si>
    <t>'539950</t>
  </si>
  <si>
    <t>'13293</t>
  </si>
  <si>
    <t>205/60R16 92V WINDFORCE CATCH FORS</t>
  </si>
  <si>
    <t>09/05/2025 FC-A-0022-00029240</t>
  </si>
  <si>
    <t>'511067</t>
  </si>
  <si>
    <t>'32416</t>
  </si>
  <si>
    <t>205/60R16 96H TR918 TRIANGLE</t>
  </si>
  <si>
    <t>03/05/2024 REM-X-0004-00000404</t>
  </si>
  <si>
    <t>'539828</t>
  </si>
  <si>
    <t>'ALV-2056016</t>
  </si>
  <si>
    <t>205/60R16 ALVENTI PACE</t>
  </si>
  <si>
    <t>07/11/2024 FC-A-0022-00027233</t>
  </si>
  <si>
    <t>'6819</t>
  </si>
  <si>
    <t>'22316</t>
  </si>
  <si>
    <t>205/60R16 ES31 92H KUMHO</t>
  </si>
  <si>
    <t>18/03/2026 REM-X-0006-00000863</t>
  </si>
  <si>
    <t>12/02/2026 Legajo del Producto...</t>
  </si>
  <si>
    <t>'9784</t>
  </si>
  <si>
    <t>'205/60R16FIREST</t>
  </si>
  <si>
    <t>205/60R16 FIRESTONE WEATHERGRIP</t>
  </si>
  <si>
    <t>29/12/2023 FC-A-0019-00032372</t>
  </si>
  <si>
    <t>'552605</t>
  </si>
  <si>
    <t>'60698</t>
  </si>
  <si>
    <t>205/60R16 FM601 92V FIREMAX</t>
  </si>
  <si>
    <t>17/04/2026 REM-X-0006-00000887</t>
  </si>
  <si>
    <t>'9758</t>
  </si>
  <si>
    <t>'R8</t>
  </si>
  <si>
    <t>205/60R16 GOODYEAR</t>
  </si>
  <si>
    <t>'539798</t>
  </si>
  <si>
    <t>'14719</t>
  </si>
  <si>
    <t>205/60R16 NEXEN N PRIZ SH92V</t>
  </si>
  <si>
    <t>'9380</t>
  </si>
  <si>
    <t>'462455</t>
  </si>
  <si>
    <t>205/60R16 NEXEN NPRIZ 92V</t>
  </si>
  <si>
    <t>27/06/2024 FC-A-0022-00025891</t>
  </si>
  <si>
    <t>'540047</t>
  </si>
  <si>
    <t>'13847</t>
  </si>
  <si>
    <t>205/60R16 NPRIZ SH 92V NEXEN</t>
  </si>
  <si>
    <t>09/12/2025 FC-A-0022-00030863</t>
  </si>
  <si>
    <t>'6820</t>
  </si>
  <si>
    <t>205/60R16 TA31 KUMHO</t>
  </si>
  <si>
    <t>'540012</t>
  </si>
  <si>
    <t>'32468</t>
  </si>
  <si>
    <t>205/60R16 TE307 96V TRIANGLE</t>
  </si>
  <si>
    <t>23/12/2025 REM-X-0006-00000725</t>
  </si>
  <si>
    <t>'9493</t>
  </si>
  <si>
    <t>'PC20-2056515</t>
  </si>
  <si>
    <t>205/65R15  PC20  PACE</t>
  </si>
  <si>
    <t>26/09/2022 REM-R-0004-00000342</t>
  </si>
  <si>
    <t>'553208</t>
  </si>
  <si>
    <t>205/65R15 94H COMFORT II LANVIGATOR</t>
  </si>
  <si>
    <t>'9538</t>
  </si>
  <si>
    <t>'60170</t>
  </si>
  <si>
    <t>205/65R15 94H FM316 FIREMAX</t>
  </si>
  <si>
    <t>'552511</t>
  </si>
  <si>
    <t>'552936</t>
  </si>
  <si>
    <t>205/65R15 94H H/P WINDFORCE CARCHFORS</t>
  </si>
  <si>
    <t>26/05/2025 FC-A-0022-00029378</t>
  </si>
  <si>
    <t>'9571</t>
  </si>
  <si>
    <t>'31427</t>
  </si>
  <si>
    <t>205/65R15 94H KR26 KUMHO</t>
  </si>
  <si>
    <t>'540058</t>
  </si>
  <si>
    <t>'14195</t>
  </si>
  <si>
    <t>205/65R15 94H M+S WEST LAKE</t>
  </si>
  <si>
    <t>27/03/2025 FC-A-0022-00028831</t>
  </si>
  <si>
    <t>'9647</t>
  </si>
  <si>
    <t>'R1</t>
  </si>
  <si>
    <t>205/65R15 94H MICHELIN ENERGY</t>
  </si>
  <si>
    <t>'9702</t>
  </si>
  <si>
    <t>'396200</t>
  </si>
  <si>
    <t>205/65R15 94H RP18 WEST LAKE</t>
  </si>
  <si>
    <t>13/02/2025 FC-A-0022-00028394</t>
  </si>
  <si>
    <t>'1632</t>
  </si>
  <si>
    <t>'1698900</t>
  </si>
  <si>
    <t>205/65R15 94H SCORPION ATR   PIRELLI</t>
  </si>
  <si>
    <t>07/05/2026 FC-A-0022-00031823</t>
  </si>
  <si>
    <t>'9869</t>
  </si>
  <si>
    <t>'32166</t>
  </si>
  <si>
    <t>205/65R15 94H TR928 TRIANGLE</t>
  </si>
  <si>
    <t>25/06/2024 REM-X-0004-00000574</t>
  </si>
  <si>
    <t>'9785</t>
  </si>
  <si>
    <t>'22444</t>
  </si>
  <si>
    <t>205/65R15 94T AT51 KUMHO</t>
  </si>
  <si>
    <t>'8620</t>
  </si>
  <si>
    <t>'16038002</t>
  </si>
  <si>
    <t>205/65R15 94T DUELER A/T REVO 2 BRIDGESTONE</t>
  </si>
  <si>
    <t>'527785</t>
  </si>
  <si>
    <t>'2028500</t>
  </si>
  <si>
    <t>205/65R15 94T P1 CINTURATO PIRELLI</t>
  </si>
  <si>
    <t>12/03/2026 FC-A-0022-00031458</t>
  </si>
  <si>
    <t>'549464</t>
  </si>
  <si>
    <t>'1681888780</t>
  </si>
  <si>
    <t>205/65R15 94V EUROREPAR RELIANCE 1681888780</t>
  </si>
  <si>
    <t>'540048</t>
  </si>
  <si>
    <t>'13248NXC</t>
  </si>
  <si>
    <t>205/65R15 94V N PRIZ SH91 NEXEN</t>
  </si>
  <si>
    <t>11/07/2025 FC-A-0022-00029770</t>
  </si>
  <si>
    <t>'528134</t>
  </si>
  <si>
    <t>'DU-337472</t>
  </si>
  <si>
    <t>205/65R15 94V SP SPORT FM800 DUNLOP</t>
  </si>
  <si>
    <t>'553029</t>
  </si>
  <si>
    <t>'553185</t>
  </si>
  <si>
    <t>205/65R15 94V TL UL Z-107 WEST LAKE</t>
  </si>
  <si>
    <t>'527926</t>
  </si>
  <si>
    <t>'32442</t>
  </si>
  <si>
    <t>205/65R15 94V TRIANGLE TE307</t>
  </si>
  <si>
    <t>10/03/2026 REM-X-0004-00001309</t>
  </si>
  <si>
    <t>'539821</t>
  </si>
  <si>
    <t>'ALV-2056515</t>
  </si>
  <si>
    <t>205/65R15 ALVENTI PACE</t>
  </si>
  <si>
    <t>01/04/2025 FC-A-0022-00028882</t>
  </si>
  <si>
    <t>'527763</t>
  </si>
  <si>
    <t>'22828</t>
  </si>
  <si>
    <t>205/65R15 HS52 94V KUMHO</t>
  </si>
  <si>
    <t>'9556</t>
  </si>
  <si>
    <t>'31160</t>
  </si>
  <si>
    <t>205/65R16 95H KH17 KUMHO</t>
  </si>
  <si>
    <t>13/07/2022 REM-R-0009-00000038</t>
  </si>
  <si>
    <t>'88620</t>
  </si>
  <si>
    <t>205/70 R15C FIRESTONE CV5000 106/104R</t>
  </si>
  <si>
    <t>26/10/2023 FC-A-0200-00304085</t>
  </si>
  <si>
    <t>'8346</t>
  </si>
  <si>
    <t>'17140005</t>
  </si>
  <si>
    <t>205/70R14 95T F-700 FIRESTONE</t>
  </si>
  <si>
    <t>22/03/2023 REM-R-0004-00000625</t>
  </si>
  <si>
    <t>'552895</t>
  </si>
  <si>
    <t>205/70R15 106/104 R 8T LANVIGATOR MILEMAX</t>
  </si>
  <si>
    <t>'4878</t>
  </si>
  <si>
    <t>'4513490000</t>
  </si>
  <si>
    <t>205/70R15 106/104R CONTINENTAL VANCOCONTACT AP</t>
  </si>
  <si>
    <t>23/10/2024 REM-X-0002-00040842</t>
  </si>
  <si>
    <t>'553094</t>
  </si>
  <si>
    <t>'553240</t>
  </si>
  <si>
    <t>205/70R15 106/104R TL 8T H188 WEST LAKE</t>
  </si>
  <si>
    <t>'1867</t>
  </si>
  <si>
    <t>'1575800</t>
  </si>
  <si>
    <t>205/70R15 106R CHRONO   PIRELLI</t>
  </si>
  <si>
    <t>21/04/2025 FC-A-0022-00029061</t>
  </si>
  <si>
    <t>'9550</t>
  </si>
  <si>
    <t>'60175</t>
  </si>
  <si>
    <t>205/70R15 96H FM316 FIREMAX</t>
  </si>
  <si>
    <t>16/03/2026 Legajo del Producto...</t>
  </si>
  <si>
    <t>'552651</t>
  </si>
  <si>
    <t>'552981</t>
  </si>
  <si>
    <t>205/70R15 96H TL PR18 WEST LAKE</t>
  </si>
  <si>
    <t>'9953</t>
  </si>
  <si>
    <t>'384463</t>
  </si>
  <si>
    <t>205/70R15 96H WINDFORCE CATCHFORS PCR</t>
  </si>
  <si>
    <t>31/05/2023 REM-R-0009-00000386</t>
  </si>
  <si>
    <t>'8383</t>
  </si>
  <si>
    <t>'16520001</t>
  </si>
  <si>
    <t>205/70R15 96S WINTERFORCE 2 FIRESTONE</t>
  </si>
  <si>
    <t>'528135</t>
  </si>
  <si>
    <t>'DU-350714</t>
  </si>
  <si>
    <t>205/70R15 96T GRANDTREK AT5 DUNLOP</t>
  </si>
  <si>
    <t>'9673</t>
  </si>
  <si>
    <t>'25114</t>
  </si>
  <si>
    <t>205/70R15 96T KR26 KUMHO</t>
  </si>
  <si>
    <t>25/10/2023 REM-R-0006-00000116</t>
  </si>
  <si>
    <t>'1644</t>
  </si>
  <si>
    <t>'2869200</t>
  </si>
  <si>
    <t>205/70R15 96T SCORPION ATR  KS PIRELLI</t>
  </si>
  <si>
    <t>21/01/2023 FC-A-0022-00019713</t>
  </si>
  <si>
    <t>'9938</t>
  </si>
  <si>
    <t>'32248</t>
  </si>
  <si>
    <t>205/70R15 C 106/104R TR652 TRIANGLE</t>
  </si>
  <si>
    <t>'552348</t>
  </si>
  <si>
    <t>'32456</t>
  </si>
  <si>
    <t>205/70R15 TE307 96H TRIANGLE</t>
  </si>
  <si>
    <t>28/03/2025 REM-X-0045-00135442</t>
  </si>
  <si>
    <t>'4900</t>
  </si>
  <si>
    <t>'15482610000</t>
  </si>
  <si>
    <t>205/70R16 96H CONTIPROCONTACT CHEVROLET TRACKER</t>
  </si>
  <si>
    <t>18/02/2023 FC-A-0019-00029416</t>
  </si>
  <si>
    <t>'9018</t>
  </si>
  <si>
    <t>'462388</t>
  </si>
  <si>
    <t>205/70R16 96H NEXEN N PRIZ AH8</t>
  </si>
  <si>
    <t>04/03/2026 FC-A-0022-00031419</t>
  </si>
  <si>
    <t>'553010</t>
  </si>
  <si>
    <t>'14433</t>
  </si>
  <si>
    <t>205/70R16 96H PROCONTACT CONTINENTAL</t>
  </si>
  <si>
    <t>'9674</t>
  </si>
  <si>
    <t>'22473</t>
  </si>
  <si>
    <t>205/75R15 97S AT61 KUMHO</t>
  </si>
  <si>
    <t>08/04/2024 REM-X-0004-00000413</t>
  </si>
  <si>
    <t>'8375</t>
  </si>
  <si>
    <t>'16616001</t>
  </si>
  <si>
    <t>205/75R15 97S WINTERFORCE 2 FIRESTONE</t>
  </si>
  <si>
    <t>04/04/2023 REM-R-0000-00000059</t>
  </si>
  <si>
    <t>'527976</t>
  </si>
  <si>
    <t>'2075R16CONTI</t>
  </si>
  <si>
    <t>205/75R16 110/108R VANCO CONTACT AP CONTINENTAL</t>
  </si>
  <si>
    <t>19/12/2025 REM-X-0004-00001250</t>
  </si>
  <si>
    <t>'1851</t>
  </si>
  <si>
    <t>'2154300</t>
  </si>
  <si>
    <t>205/75R16 110R CHRONO  MO PIRELLI</t>
  </si>
  <si>
    <t>14/11/2025 FC-A-0022-00030670</t>
  </si>
  <si>
    <t>'552498</t>
  </si>
  <si>
    <t>'552926</t>
  </si>
  <si>
    <t>205/75R16 C 110R TL HT COMERCIO SAILUN</t>
  </si>
  <si>
    <t>01/09/2025 FC-A-0022-00030131</t>
  </si>
  <si>
    <t>'552537</t>
  </si>
  <si>
    <t>'60556</t>
  </si>
  <si>
    <t>205/75R16 C FM916 110/108R FIREMAX</t>
  </si>
  <si>
    <t>G1</t>
  </si>
  <si>
    <t>'539788</t>
  </si>
  <si>
    <t>'14488</t>
  </si>
  <si>
    <t>205/75R16C 110/108R APLUS</t>
  </si>
  <si>
    <t>'9671</t>
  </si>
  <si>
    <t>'22106</t>
  </si>
  <si>
    <t>205/75R16C 110/108R KC53 KUMHO</t>
  </si>
  <si>
    <t>30/10/2024 REM-X-0045-00128260</t>
  </si>
  <si>
    <t>'528136</t>
  </si>
  <si>
    <t>'FA-314303</t>
  </si>
  <si>
    <t>205/75R16C 110/108R LINAM R51 DUNLOP</t>
  </si>
  <si>
    <t>15/03/2025 FC-A-0022-00028726</t>
  </si>
  <si>
    <t>'4709</t>
  </si>
  <si>
    <t>'F20675CRAVANDZ</t>
  </si>
  <si>
    <t>205/75R16C 110/108R TL AR-410 AVANTIA FATE</t>
  </si>
  <si>
    <t>'9791</t>
  </si>
  <si>
    <t>'32191</t>
  </si>
  <si>
    <t>205/75R16C 110/108R TR652 TRIANGLE</t>
  </si>
  <si>
    <t>09/03/2026 REM-X-0006-00000859</t>
  </si>
  <si>
    <t>'552766</t>
  </si>
  <si>
    <t>205/75R16C 110/108R WINDFORCE MILE MAX</t>
  </si>
  <si>
    <t>'9454</t>
  </si>
  <si>
    <t>'PC18-2057516C</t>
  </si>
  <si>
    <t>205/75R16C 8PR PC18  PACE</t>
  </si>
  <si>
    <t>11/09/2024 REM-X-0006-00000525</t>
  </si>
  <si>
    <t>'1620</t>
  </si>
  <si>
    <t>'2748300</t>
  </si>
  <si>
    <t>205/80R16 104T SCORPION ATR XL  PIRELLI</t>
  </si>
  <si>
    <t>06/09/2022 FC-A-0022-00017995</t>
  </si>
  <si>
    <t>'539996</t>
  </si>
  <si>
    <t>'15678</t>
  </si>
  <si>
    <t>205R16C 8T LANVIGATOR CATCHFORS A/T</t>
  </si>
  <si>
    <t>11/03/2026 FC-A-0022-00031452</t>
  </si>
  <si>
    <t>'9471</t>
  </si>
  <si>
    <t>'2383800</t>
  </si>
  <si>
    <t>215/40R17 87W XL P-ZERO NERO GT PIRELLI --- 238380</t>
  </si>
  <si>
    <t>18/08/2023 FC-A-0022-00022308</t>
  </si>
  <si>
    <t>'9737</t>
  </si>
  <si>
    <t>'215/40R17PH</t>
  </si>
  <si>
    <t>215/40R17 PHANTOM ROTATION ANO 2011  (4811)</t>
  </si>
  <si>
    <t>'511038</t>
  </si>
  <si>
    <t>'21848</t>
  </si>
  <si>
    <t>215/40R18 89W PS31 XL KUMHO</t>
  </si>
  <si>
    <t>'384502</t>
  </si>
  <si>
    <t>215/45 R16 WINDFORCE CATCHFORS UHP 90W XL</t>
  </si>
  <si>
    <t>20/11/2025 FC-A-0200-00361163</t>
  </si>
  <si>
    <t>'462672</t>
  </si>
  <si>
    <t>215/45 R17 NEXEN NFERA SU4 91W XL</t>
  </si>
  <si>
    <t>'9720</t>
  </si>
  <si>
    <t>'22439</t>
  </si>
  <si>
    <t>215/45R16 86H HS51 KUMHO</t>
  </si>
  <si>
    <t>'1752</t>
  </si>
  <si>
    <t>'2916900</t>
  </si>
  <si>
    <t>215/45R17 91V P1 CINTURATO PLUS XL  PIRELLI --- PR</t>
  </si>
  <si>
    <t>'539769</t>
  </si>
  <si>
    <t>'4095300</t>
  </si>
  <si>
    <t>215/45R17 91V XL PWRGY PIRELLI</t>
  </si>
  <si>
    <t>'1816</t>
  </si>
  <si>
    <t>'2471100</t>
  </si>
  <si>
    <t>215/45R18 89W P7 CINTURATO   PIRELLI</t>
  </si>
  <si>
    <t>29/07/2024 REM-X-0004-00000644</t>
  </si>
  <si>
    <t>'553021</t>
  </si>
  <si>
    <t>'553163</t>
  </si>
  <si>
    <t>215/45R18 93W XL N FERA SU4 NEXEN</t>
  </si>
  <si>
    <t>25/02/2026 FC-A-0022-00031374</t>
  </si>
  <si>
    <t>'47760</t>
  </si>
  <si>
    <t>215/50 R17 BRIDGSTONE TURANZA T001 91V</t>
  </si>
  <si>
    <t>'9772</t>
  </si>
  <si>
    <t>'2620700</t>
  </si>
  <si>
    <t>215/50R17 91V P7 CINTURATO PIRELLI</t>
  </si>
  <si>
    <t>03/07/2024 FC-A-0022-00025965</t>
  </si>
  <si>
    <t>'9602</t>
  </si>
  <si>
    <t>'4062600</t>
  </si>
  <si>
    <t>215/50R17 91V S-I P7 CINTURATO PIRELLI</t>
  </si>
  <si>
    <t>23/09/2025 FC-A-0022-00030278</t>
  </si>
  <si>
    <t>'528137</t>
  </si>
  <si>
    <t>'DU-337478</t>
  </si>
  <si>
    <t>215/50R17 91V SP SPORT FM800 DUNLOP</t>
  </si>
  <si>
    <t>30/04/2025 FC-A-0022-00029166</t>
  </si>
  <si>
    <t>'1724</t>
  </si>
  <si>
    <t>'2165800</t>
  </si>
  <si>
    <t>215/50R17 91W P7 CINTURATO   PIRELLI</t>
  </si>
  <si>
    <t>26/01/2026 FC-A-0022-00031202</t>
  </si>
  <si>
    <t>'539807</t>
  </si>
  <si>
    <t>'15161</t>
  </si>
  <si>
    <t>215/50R17 91W SU4N FERA NEXEN</t>
  </si>
  <si>
    <t>'511071</t>
  </si>
  <si>
    <t>'22810</t>
  </si>
  <si>
    <t>215/50R17 95W HS52 KUMHO</t>
  </si>
  <si>
    <t>27/03/2026 REM-X-0006-00000873</t>
  </si>
  <si>
    <t>'553037</t>
  </si>
  <si>
    <t>'553215</t>
  </si>
  <si>
    <t>215/50R17 95W LANVIGATOR CATCHPOWER PLUS</t>
  </si>
  <si>
    <t>'9668</t>
  </si>
  <si>
    <t>'22616</t>
  </si>
  <si>
    <t>215/50R17 95W PS71 KUMHO</t>
  </si>
  <si>
    <t>'9868</t>
  </si>
  <si>
    <t>'32243</t>
  </si>
  <si>
    <t>215/50R17 95W TA01 TRIANGLE</t>
  </si>
  <si>
    <t>21/04/2025 REM-X-0004-00000946</t>
  </si>
  <si>
    <t>'9782</t>
  </si>
  <si>
    <t>'32273</t>
  </si>
  <si>
    <t>215/50R17 95Y TH201 TRIANGLE</t>
  </si>
  <si>
    <t>16/04/2024 REM-X-0004-00000437</t>
  </si>
  <si>
    <t>'511109</t>
  </si>
  <si>
    <t>'32802</t>
  </si>
  <si>
    <t>215/50R17 95Y TH202 TRIANGLE</t>
  </si>
  <si>
    <t>28/10/2025 REM-X-0004-00001186</t>
  </si>
  <si>
    <t>18/11/2025 Legajo del Producto...</t>
  </si>
  <si>
    <t>'528036</t>
  </si>
  <si>
    <t>'14737</t>
  </si>
  <si>
    <t>215/50R17 NEXEN NFERA PRIMUS V 91V</t>
  </si>
  <si>
    <t>20/12/2024 FC-A-0022-00027720</t>
  </si>
  <si>
    <t>'9497</t>
  </si>
  <si>
    <t>'60275</t>
  </si>
  <si>
    <t>215/50R17 XL 95W FM601 FIREMAX</t>
  </si>
  <si>
    <t>05/05/2026 REM-X-0006-00000897</t>
  </si>
  <si>
    <t>'443200</t>
  </si>
  <si>
    <t>215/55 R16 NEXEN N-FERA SU4 97W XL</t>
  </si>
  <si>
    <t>25/07/2023 FC-A-0200-00297215</t>
  </si>
  <si>
    <t>'46700</t>
  </si>
  <si>
    <t>215/55 R17 BRIDGSTONE TURANZA ER370 94V</t>
  </si>
  <si>
    <t>'384488</t>
  </si>
  <si>
    <t>215/55 R17 WINDFORCE SNOWBLAZER UHP 98V XL</t>
  </si>
  <si>
    <t>'9569</t>
  </si>
  <si>
    <t>'60192</t>
  </si>
  <si>
    <t>215/55R16 93V FM316 FIREMAX</t>
  </si>
  <si>
    <t>celda 1-2</t>
  </si>
  <si>
    <t>'539816</t>
  </si>
  <si>
    <t>'15341</t>
  </si>
  <si>
    <t>215/55R16 93V M+S RP18 WEST LAKE</t>
  </si>
  <si>
    <t>09/01/2025 FC-A-0022-00027940</t>
  </si>
  <si>
    <t>'552333</t>
  </si>
  <si>
    <t>'446919</t>
  </si>
  <si>
    <t>215/55R16 93V NPRIZ GX NEXEN</t>
  </si>
  <si>
    <t>'9947</t>
  </si>
  <si>
    <t>'ALV-2155516</t>
  </si>
  <si>
    <t>215/55R16 97W ALVENTI PACE</t>
  </si>
  <si>
    <t>12/07/2023 FC-A-0022-00021806</t>
  </si>
  <si>
    <t>'1751</t>
  </si>
  <si>
    <t>'2168900</t>
  </si>
  <si>
    <t>215/55R16 97W P7 CINTURATO XL  PIRELLI</t>
  </si>
  <si>
    <t>'9463</t>
  </si>
  <si>
    <t>'21867</t>
  </si>
  <si>
    <t>215/55R16 HS51 93V KHUMO</t>
  </si>
  <si>
    <t>'540010</t>
  </si>
  <si>
    <t>'22836</t>
  </si>
  <si>
    <t>215/55R16 HS52 93V KUMHO</t>
  </si>
  <si>
    <t>29/01/2025 REM-X-0008-00000522</t>
  </si>
  <si>
    <t>'540024</t>
  </si>
  <si>
    <t>'32454</t>
  </si>
  <si>
    <t>215/55R16 TE307 97W TRIANGLE</t>
  </si>
  <si>
    <t>29/08/2025 REM-X-0001-00078571</t>
  </si>
  <si>
    <t>'510994</t>
  </si>
  <si>
    <t>'21559</t>
  </si>
  <si>
    <t>215/55R17 94H KR26 KUMHO</t>
  </si>
  <si>
    <t>'552832</t>
  </si>
  <si>
    <t>'553121</t>
  </si>
  <si>
    <t>215/55R17 94V N FERA PRIMUS NEXEN</t>
  </si>
  <si>
    <t>'1702</t>
  </si>
  <si>
    <t>'3809500</t>
  </si>
  <si>
    <t>215/55R17 94V P1 CINTURATO PLUS  PIRELLI</t>
  </si>
  <si>
    <t>'553101</t>
  </si>
  <si>
    <t>'4434300</t>
  </si>
  <si>
    <t>215/55R17 94V SCORPION PIRELLI</t>
  </si>
  <si>
    <t>'527706</t>
  </si>
  <si>
    <t>'19408</t>
  </si>
  <si>
    <t>215/55R17 94V TA21 KUMHO</t>
  </si>
  <si>
    <t>16/01/2026 REM-X-0006-00000765</t>
  </si>
  <si>
    <t>'552512</t>
  </si>
  <si>
    <t>215/55R17 94W NFERA SU4 NEXEN</t>
  </si>
  <si>
    <t>21/10/2025 NC-A-0019-00001807</t>
  </si>
  <si>
    <t>'22804</t>
  </si>
  <si>
    <t>215/55R17 98W HS52 KUMHO</t>
  </si>
  <si>
    <t>05/03/2026 REM-X-0006-00000849</t>
  </si>
  <si>
    <t>03/03/2026 Legajo del Producto...</t>
  </si>
  <si>
    <t>'9595</t>
  </si>
  <si>
    <t>'4039500</t>
  </si>
  <si>
    <t>215/55R17 98W XL SCORPION S-I PIRELLI</t>
  </si>
  <si>
    <t>25/10/2025 FC-A-0022-00030525</t>
  </si>
  <si>
    <t>'9741</t>
  </si>
  <si>
    <t>'215/55R17GOODYE</t>
  </si>
  <si>
    <t>215/55R17 EFFICIENTGRIP GOODYEAR ANO 2020 (DOT4620</t>
  </si>
  <si>
    <t>17/05/2024 REM-X-0004-00000499</t>
  </si>
  <si>
    <t>'527714</t>
  </si>
  <si>
    <t>215/55R17 NEXEN N-FERA SU4 94W</t>
  </si>
  <si>
    <t>23/07/2024 REM-X-0006-00000459</t>
  </si>
  <si>
    <t>'553158</t>
  </si>
  <si>
    <t>215/55R17 SPORT 2 98W XL FIREMAX</t>
  </si>
  <si>
    <t>'553104</t>
  </si>
  <si>
    <t>'001-100-K9316</t>
  </si>
  <si>
    <t>215/55R17-94V G900A YOKOHAMA</t>
  </si>
  <si>
    <t>'4567</t>
  </si>
  <si>
    <t>'3506940000</t>
  </si>
  <si>
    <t>215/55R18  95H CONTINENTAL PREMICONTACT2 JEEP COMP</t>
  </si>
  <si>
    <t>'9438</t>
  </si>
  <si>
    <t>'3817900</t>
  </si>
  <si>
    <t>215/55R18 95H SCORPION PIRELLI</t>
  </si>
  <si>
    <t>10/12/2025 FC-A-0022-00030869</t>
  </si>
  <si>
    <t>'552896</t>
  </si>
  <si>
    <t>'553103</t>
  </si>
  <si>
    <t>215/55R18 95V F50 GITI COMFORT</t>
  </si>
  <si>
    <t>'511069</t>
  </si>
  <si>
    <t>'60269</t>
  </si>
  <si>
    <t>215/55R18 95V FM518 FIREMAX</t>
  </si>
  <si>
    <t>G2 // S</t>
  </si>
  <si>
    <t>'527780</t>
  </si>
  <si>
    <t>'22304</t>
  </si>
  <si>
    <t>215/55R18 95V HP71 KUMHO</t>
  </si>
  <si>
    <t>26/01/2026 REM-X-0006-00000789</t>
  </si>
  <si>
    <t>'9783</t>
  </si>
  <si>
    <t>'21924</t>
  </si>
  <si>
    <t>215/55R18 95V PA31 KUMHO</t>
  </si>
  <si>
    <t>05/03/2025 REM-X-0004-00000898</t>
  </si>
  <si>
    <t>'552513</t>
  </si>
  <si>
    <t>'552909</t>
  </si>
  <si>
    <t>215/55R18 95V ROADIAN GTX NEXEN</t>
  </si>
  <si>
    <t>'552746</t>
  </si>
  <si>
    <t>'32137</t>
  </si>
  <si>
    <t>215/55R18 95V TR259 TRIANGLE</t>
  </si>
  <si>
    <t>02/09/2025 REM-X-0001-00078649</t>
  </si>
  <si>
    <t>20/11/2025 Legajo del Producto...</t>
  </si>
  <si>
    <t>'552897</t>
  </si>
  <si>
    <t>215/55R18 95V WRL TERRITORY GOOD YEAR</t>
  </si>
  <si>
    <t>'9941</t>
  </si>
  <si>
    <t>'32036</t>
  </si>
  <si>
    <t>215/55R18 99V KL33 KUMHO</t>
  </si>
  <si>
    <t>01/12/2025 REM-X-0006-00000695</t>
  </si>
  <si>
    <t>G9</t>
  </si>
  <si>
    <t>'552681</t>
  </si>
  <si>
    <t>215/55R18 99V XL EXTRA LOAD M+S ONYX</t>
  </si>
  <si>
    <t>celda 6 - 7</t>
  </si>
  <si>
    <t>'39642</t>
  </si>
  <si>
    <t>215/60 R16 BRIDGSTONE EP150HZ 95V</t>
  </si>
  <si>
    <t>'462696</t>
  </si>
  <si>
    <t>215/60 R16 NEXEN N-FERA SU4</t>
  </si>
  <si>
    <t>'552332</t>
  </si>
  <si>
    <t>'462456</t>
  </si>
  <si>
    <t>215/60R16 95H N-PRIZ SH9I NEXEN</t>
  </si>
  <si>
    <t>'8303</t>
  </si>
  <si>
    <t>'19102006</t>
  </si>
  <si>
    <t>215/60R16 95V EP150HZ BRIDGESTONE</t>
  </si>
  <si>
    <t>'1758</t>
  </si>
  <si>
    <t>'3592100</t>
  </si>
  <si>
    <t>215/60R16 95V P7 CINTURATO PIRELLI</t>
  </si>
  <si>
    <t>05/06/2025 FC-A-0022-00029477</t>
  </si>
  <si>
    <t>'8529</t>
  </si>
  <si>
    <t>'10341003</t>
  </si>
  <si>
    <t>215/60R16 95V TURANZA ER300 BRIDGESTONE</t>
  </si>
  <si>
    <t>21/09/2022 FC-A-0019-00027499</t>
  </si>
  <si>
    <t>'1600</t>
  </si>
  <si>
    <t>'3236800</t>
  </si>
  <si>
    <t>215/60R17 100H SCORPION VERDE ALL SEASON XL  PIREL</t>
  </si>
  <si>
    <t>31/05/2022 REM-R-0022-00016894</t>
  </si>
  <si>
    <t>'9603</t>
  </si>
  <si>
    <t>'4062700</t>
  </si>
  <si>
    <t>215/60R17 100H XL S-I SCORPION VERDE ALL SEASON  P</t>
  </si>
  <si>
    <t>15/11/2024 NC-A-0022-00001162</t>
  </si>
  <si>
    <t>'511214</t>
  </si>
  <si>
    <t>'4013500</t>
  </si>
  <si>
    <t>215/60R17 100H XL SCORPION (JP) PIRELLI</t>
  </si>
  <si>
    <t>16/08/2025 FC-A-0022-00030028</t>
  </si>
  <si>
    <t>'511213</t>
  </si>
  <si>
    <t>'4013600</t>
  </si>
  <si>
    <t>215/60R17 100H XL SCORPION HT (JP) PIRELLI</t>
  </si>
  <si>
    <t>18/06/2025 FC-A-0022-00029579</t>
  </si>
  <si>
    <t>'9117</t>
  </si>
  <si>
    <t>'3929200</t>
  </si>
  <si>
    <t>215/60R17 100H XL SCORPION HT PIRELLI</t>
  </si>
  <si>
    <t>23/12/2024 FC-A-0022-00027745</t>
  </si>
  <si>
    <t>'511065</t>
  </si>
  <si>
    <t>'22832</t>
  </si>
  <si>
    <t>215/60R17 100V HS52 XL KUMHO</t>
  </si>
  <si>
    <t>02/03/2026 REM-X-0006-00000838</t>
  </si>
  <si>
    <t>'552340</t>
  </si>
  <si>
    <t>'552780</t>
  </si>
  <si>
    <t>215/60R17 96H CP672 NEXEN</t>
  </si>
  <si>
    <t>30/07/2025 FC-A-0022-00029917</t>
  </si>
  <si>
    <t>'539782</t>
  </si>
  <si>
    <t>'3573270000</t>
  </si>
  <si>
    <t>215/60R17 96H CROSSCONTACT LX 2 CONTINENTAL</t>
  </si>
  <si>
    <t>'9838</t>
  </si>
  <si>
    <t>'FSR-303</t>
  </si>
  <si>
    <t>215/60R17 96H FSR-303 FORTUNE</t>
  </si>
  <si>
    <t>10/10/2023 REM-R-0004-00001159</t>
  </si>
  <si>
    <t>'9834</t>
  </si>
  <si>
    <t>'22037</t>
  </si>
  <si>
    <t>215/60R17 96H KH32 KUMHO</t>
  </si>
  <si>
    <t>05/10/2023 REM-R-0009-00000147</t>
  </si>
  <si>
    <t>'9566</t>
  </si>
  <si>
    <t>'21419</t>
  </si>
  <si>
    <t>215/60R17 96H KL21 KUMHO</t>
  </si>
  <si>
    <t>21/05/2024 REM-X-0006-00000324</t>
  </si>
  <si>
    <t>'9588</t>
  </si>
  <si>
    <t>'3909200</t>
  </si>
  <si>
    <t>215/60R17 96H SCORPION PIRELLI</t>
  </si>
  <si>
    <t>'553031</t>
  </si>
  <si>
    <t>'553187</t>
  </si>
  <si>
    <t>215/60R17 96H SU318 H/T WEST LAKE</t>
  </si>
  <si>
    <t>'9575</t>
  </si>
  <si>
    <t>'33076</t>
  </si>
  <si>
    <t>215/60R17 96H TR259 TRIANGLE</t>
  </si>
  <si>
    <t>06/01/2026 REM-X-0006-00000743</t>
  </si>
  <si>
    <t>'8457</t>
  </si>
  <si>
    <t>'13542200</t>
  </si>
  <si>
    <t>215/60R17 96H TURANZA EL42 BRIDGESTONE</t>
  </si>
  <si>
    <t>'9817</t>
  </si>
  <si>
    <t>'127480</t>
  </si>
  <si>
    <t>215/60R17 BRIDGESTONE DUELER H/P SPORT MO 96V</t>
  </si>
  <si>
    <t>31/01/2023 REM-R-0008-00000120</t>
  </si>
  <si>
    <t>'540018</t>
  </si>
  <si>
    <t>'60277</t>
  </si>
  <si>
    <t>215/60R17 FM518 96V FIREMAX</t>
  </si>
  <si>
    <t>'450380</t>
  </si>
  <si>
    <t>215/65 R15 NEXEN CP661 96H</t>
  </si>
  <si>
    <t>'126160</t>
  </si>
  <si>
    <t>215/65 R16 BRIDGSTONE HT684 II 98T</t>
  </si>
  <si>
    <t>'552767</t>
  </si>
  <si>
    <t>'553049</t>
  </si>
  <si>
    <t>215/65R15C 6T LANVIGATOR MILE MAX</t>
  </si>
  <si>
    <t>'527975</t>
  </si>
  <si>
    <t>'21565R16CONTI</t>
  </si>
  <si>
    <t>215/65R16 102H CROSSCONTACT LX2 CONTINENTAL</t>
  </si>
  <si>
    <t>'528138</t>
  </si>
  <si>
    <t>'DU-331978</t>
  </si>
  <si>
    <t>215/65R16 102H GRANDTREK PT3 DUNLOP</t>
  </si>
  <si>
    <t>07/01/2025 FC-A-0019-00035747</t>
  </si>
  <si>
    <t>'9115</t>
  </si>
  <si>
    <t>'3875600</t>
  </si>
  <si>
    <t>215/65R16 102H SCORPION HT XL PIRELLI</t>
  </si>
  <si>
    <t>03/12/2025 FC-A-0022-00030817</t>
  </si>
  <si>
    <t>'1670</t>
  </si>
  <si>
    <t>'2815100</t>
  </si>
  <si>
    <t>215/65R16 102H SCORPION VERDE ALL SEASON XL PIRELL</t>
  </si>
  <si>
    <t>19/09/2022 REM-R-0006-00000157</t>
  </si>
  <si>
    <t>'552635</t>
  </si>
  <si>
    <t>215/65R16 102H TL AS909 APLUS</t>
  </si>
  <si>
    <t>'9601</t>
  </si>
  <si>
    <t>'4062500</t>
  </si>
  <si>
    <t>215/65R16 102H XL S-I SCORPION VERDE ALL SEASON PI</t>
  </si>
  <si>
    <t>14/02/2025 FC-A-0022-00028398</t>
  </si>
  <si>
    <t>'9928</t>
  </si>
  <si>
    <t>'22072</t>
  </si>
  <si>
    <t>215/65R16 102T AT51 KUMHO</t>
  </si>
  <si>
    <t>27/03/2024 REM-R-0004-00000387</t>
  </si>
  <si>
    <t>'511068</t>
  </si>
  <si>
    <t>'33075</t>
  </si>
  <si>
    <t>215/65R16 102V TR259 XL TRIANGLE</t>
  </si>
  <si>
    <t>05/08/2024 REM-X-0006-10000480</t>
  </si>
  <si>
    <t>G5 // S</t>
  </si>
  <si>
    <t>'9146</t>
  </si>
  <si>
    <t>215/65R16 109/107T NEXEN ROADIAN CT8</t>
  </si>
  <si>
    <t>18/06/2021 FC-A-0200-00253374</t>
  </si>
  <si>
    <t>'10007</t>
  </si>
  <si>
    <t>'14487</t>
  </si>
  <si>
    <t>215/65R16 98H A609 APLUS</t>
  </si>
  <si>
    <t>30/06/2023 REM-R-0017-00002421</t>
  </si>
  <si>
    <t>'4889</t>
  </si>
  <si>
    <t>'15494350000</t>
  </si>
  <si>
    <t>215/65R16 98H CROSSCONTACT LX RENAULT DUSTER</t>
  </si>
  <si>
    <t>'9929</t>
  </si>
  <si>
    <t>'22614</t>
  </si>
  <si>
    <t>215/65R16 98H ES31 KUMHO</t>
  </si>
  <si>
    <t>11/03/2026 REM-X-0004-00001310</t>
  </si>
  <si>
    <t>G4</t>
  </si>
  <si>
    <t>'9483</t>
  </si>
  <si>
    <t>'60191</t>
  </si>
  <si>
    <t>215/65R16 98H FM316 FIREMAX</t>
  </si>
  <si>
    <t>15/01/2024 REM-R-0004-00000300</t>
  </si>
  <si>
    <t>'539796</t>
  </si>
  <si>
    <t>'14649</t>
  </si>
  <si>
    <t>215/65R16 98H NPRIZ SH9 NEXEN</t>
  </si>
  <si>
    <t>10/04/2026 FC-A-0022-00031646</t>
  </si>
  <si>
    <t>'552514</t>
  </si>
  <si>
    <t>'552950</t>
  </si>
  <si>
    <t>215/65R16 98H TL WEST LAKE RP18</t>
  </si>
  <si>
    <t>24/09/2025 FC-A-0022-00030283</t>
  </si>
  <si>
    <t>'9862</t>
  </si>
  <si>
    <t>'14319</t>
  </si>
  <si>
    <t>215/65R16 98H WINDFORCE CATCHFORS PCR</t>
  </si>
  <si>
    <t>22/04/2026 Legajo del Producto...</t>
  </si>
  <si>
    <t>'552314</t>
  </si>
  <si>
    <t>'3484866</t>
  </si>
  <si>
    <t>215/65R16 98V Z-107 WEST LAKE</t>
  </si>
  <si>
    <t>09/01/2026 FC-A-0022-00031097</t>
  </si>
  <si>
    <t>'9150</t>
  </si>
  <si>
    <t>215/65R16 CHAMPIRO VP1 98T</t>
  </si>
  <si>
    <t>30/08/2021 FC-A-0022-00013905</t>
  </si>
  <si>
    <t>'6821</t>
  </si>
  <si>
    <t>215/65R16 ES31</t>
  </si>
  <si>
    <t>'9662</t>
  </si>
  <si>
    <t>'PLENTIA215</t>
  </si>
  <si>
    <t>215/65R16 FATE PLENTIA</t>
  </si>
  <si>
    <t>13/08/2024 REM-X-0029-00065534</t>
  </si>
  <si>
    <t>'10035</t>
  </si>
  <si>
    <t>215/65R16 FIRESTONE ALL SEASON 98T</t>
  </si>
  <si>
    <t>'552664</t>
  </si>
  <si>
    <t>'60702</t>
  </si>
  <si>
    <t>215/65R16 FM601 XL FIREMAX</t>
  </si>
  <si>
    <t>'539819</t>
  </si>
  <si>
    <t>'IMP-2156516</t>
  </si>
  <si>
    <t>215/65R16 PACE IMPERO 102H XL</t>
  </si>
  <si>
    <t>13/05/2025 REM-X-0004-00000994</t>
  </si>
  <si>
    <t>'552904</t>
  </si>
  <si>
    <t>'2896800</t>
  </si>
  <si>
    <t>215/65R16C 109T CARRIE PIRELLI</t>
  </si>
  <si>
    <t>25/02/2026 FC-A-0022-00031375</t>
  </si>
  <si>
    <t>'1581</t>
  </si>
  <si>
    <t>'2518300</t>
  </si>
  <si>
    <t>215/65R17 99V SCORPION VERDE ALL SEASON S-I  PIREL</t>
  </si>
  <si>
    <t>08/09/2025 FC-A-0022-00030182</t>
  </si>
  <si>
    <t>'1596</t>
  </si>
  <si>
    <t>'2520000</t>
  </si>
  <si>
    <t>215/65R17 99V SCORPION VERDE PIRELLI --- PROMO PIR</t>
  </si>
  <si>
    <t>13/11/2023 FC-A-0022-00023415</t>
  </si>
  <si>
    <t>'528139</t>
  </si>
  <si>
    <t>'FA-325353</t>
  </si>
  <si>
    <t>215/65R17 99V ZIEX ZE914 FALKEN</t>
  </si>
  <si>
    <t>25/08/2025 FC-A-0022-00030082</t>
  </si>
  <si>
    <t>'124820</t>
  </si>
  <si>
    <t>215/70 R16 BRIDGSTONE DUELER A/T 697 100S</t>
  </si>
  <si>
    <t>'452000</t>
  </si>
  <si>
    <t>215/70 R16 NEXEN CP671 100H M+S</t>
  </si>
  <si>
    <t>'552692</t>
  </si>
  <si>
    <t>215/70R16 100H GREENMAX 4X4 LINGLONG</t>
  </si>
  <si>
    <t>12/08/2025 REM-X-0004-00001117</t>
  </si>
  <si>
    <t>celda 6 bis-7</t>
  </si>
  <si>
    <t>'9935</t>
  </si>
  <si>
    <t>'21766</t>
  </si>
  <si>
    <t>215/70R16 100H KL33 KUMHO</t>
  </si>
  <si>
    <t>25/09/2024 REM-X-0045-00127108</t>
  </si>
  <si>
    <t>'8560</t>
  </si>
  <si>
    <t>'17857400</t>
  </si>
  <si>
    <t>215/70R16 100S DUELER A/T 697 BRIDGESTONE</t>
  </si>
  <si>
    <t>'510991</t>
  </si>
  <si>
    <t>'21537</t>
  </si>
  <si>
    <t>215/70R16 C 108/106T KC53 KUMHO DE CARGA</t>
  </si>
  <si>
    <t>15/11/2023 REM-R-0009-00000072</t>
  </si>
  <si>
    <t>'553030</t>
  </si>
  <si>
    <t>'553186</t>
  </si>
  <si>
    <t>215/70R16 SU318 H/T 100T TL WEST LAKE</t>
  </si>
  <si>
    <t>'8545</t>
  </si>
  <si>
    <t>'18671200</t>
  </si>
  <si>
    <t>215/70R16C 108/106T DURAVIS R660A BRIDGESTONE</t>
  </si>
  <si>
    <t>'539858</t>
  </si>
  <si>
    <t>'21570R16CNEX</t>
  </si>
  <si>
    <t>215/70R16C 6T 108/106T NEXEN CP521</t>
  </si>
  <si>
    <t>'552515</t>
  </si>
  <si>
    <t>'552934</t>
  </si>
  <si>
    <t>215/70R16C SC328 18/106T WEST LAKE</t>
  </si>
  <si>
    <t>10/07/2025 FC-A-0022-00029756</t>
  </si>
  <si>
    <t>'9554</t>
  </si>
  <si>
    <t>'32199</t>
  </si>
  <si>
    <t>215/75R15 100/97S TR292 TRIANGLE</t>
  </si>
  <si>
    <t>13/05/2022 FC-A-0059-00009030</t>
  </si>
  <si>
    <t>'539951</t>
  </si>
  <si>
    <t>'15745</t>
  </si>
  <si>
    <t>215/75R15 100T A/T WINDFORCE CATCHFORS</t>
  </si>
  <si>
    <t>18/03/2025 FC-A-0022-00028741</t>
  </si>
  <si>
    <t>'552744</t>
  </si>
  <si>
    <t>'60900</t>
  </si>
  <si>
    <t>215/75R15 106Q FM523 FIREMAX</t>
  </si>
  <si>
    <t>'1641</t>
  </si>
  <si>
    <t>'2868600</t>
  </si>
  <si>
    <t>215/75R15 106Q SCORPION MTR   PIRELLI</t>
  </si>
  <si>
    <t>19/03/2022 REM-R-0004-00000102</t>
  </si>
  <si>
    <t>'1640</t>
  </si>
  <si>
    <t>'1762600</t>
  </si>
  <si>
    <t>215/75R15 106T SCORPION ATR  (LETRA BLANCA) PIRELL</t>
  </si>
  <si>
    <t>05/05/2021 FC-A-0022-00012684</t>
  </si>
  <si>
    <t>'552520</t>
  </si>
  <si>
    <t>'552937</t>
  </si>
  <si>
    <t>215/75R15 ROADIAN AT PRO RA8 NEXEN</t>
  </si>
  <si>
    <t>'553032</t>
  </si>
  <si>
    <t>'553198</t>
  </si>
  <si>
    <t>215/75R16C 113R A867 APLUS</t>
  </si>
  <si>
    <t>'1844</t>
  </si>
  <si>
    <t>'2255700</t>
  </si>
  <si>
    <t>215/75R16C 113R CHRONO PIRELLI</t>
  </si>
  <si>
    <t>20/03/2025 FC-A-0022-00028769</t>
  </si>
  <si>
    <t>'528140</t>
  </si>
  <si>
    <t>'DU-329005</t>
  </si>
  <si>
    <t>215/75R17.5 126/124M DUNLOP SP320</t>
  </si>
  <si>
    <t>'86600</t>
  </si>
  <si>
    <t>215/80 R16 FIRESTONE DESTINATION AT 107S</t>
  </si>
  <si>
    <t>'1681</t>
  </si>
  <si>
    <t>'2868500</t>
  </si>
  <si>
    <t>215/80R16 107Q SCORPION MTR XL  PIRELLI</t>
  </si>
  <si>
    <t>21/03/2025 FC-A-0022-00028782</t>
  </si>
  <si>
    <t>'540059</t>
  </si>
  <si>
    <t>215/80R16 107S TL UL XL SL 369 WEST LAKE</t>
  </si>
  <si>
    <t>18/03/2026 FC-A-0022-00031483</t>
  </si>
  <si>
    <t>'1643</t>
  </si>
  <si>
    <t>'3574300</t>
  </si>
  <si>
    <t>215/80R16 107T SCORPION ATR XL  PIRELLI</t>
  </si>
  <si>
    <t>03/11/2025 FC-A-0022-00030579</t>
  </si>
  <si>
    <t>'9530</t>
  </si>
  <si>
    <t>'22308</t>
  </si>
  <si>
    <t>225/35R19 88Y  PS71   KUMHO</t>
  </si>
  <si>
    <t>'1828</t>
  </si>
  <si>
    <t>'2615100</t>
  </si>
  <si>
    <t>225/35R19 88Y P-ZERO XL  PIRELLI</t>
  </si>
  <si>
    <t>'8518</t>
  </si>
  <si>
    <t>'10497200</t>
  </si>
  <si>
    <t>225/35R19 88Y POTENZA RE050A XL RFT BRIDGESTONE</t>
  </si>
  <si>
    <t>'8515</t>
  </si>
  <si>
    <t>'10502200</t>
  </si>
  <si>
    <t>225/40R18 88W POTENZA RE050A RFT BRIDGESTONE</t>
  </si>
  <si>
    <t>'8462</t>
  </si>
  <si>
    <t>'13049200</t>
  </si>
  <si>
    <t>225/40R18 88Y POTENZA RE050A RFT BRIDGESTONE</t>
  </si>
  <si>
    <t>'8430</t>
  </si>
  <si>
    <t>'14963300</t>
  </si>
  <si>
    <t>225/40R18 88Y POTENZA S001 RFT SM BRIDGESTONE</t>
  </si>
  <si>
    <t>'527721</t>
  </si>
  <si>
    <t>'DU-323489</t>
  </si>
  <si>
    <t>225/40R18 92W DUNLOP SP SPORT MAXX 050+</t>
  </si>
  <si>
    <t>'1712</t>
  </si>
  <si>
    <t>'2917400</t>
  </si>
  <si>
    <t>225/40R18 92W P1 CINTURATO PLUS XL  PIRELLI</t>
  </si>
  <si>
    <t>03/04/2024 FC-A-0019-00033159</t>
  </si>
  <si>
    <t>'8427</t>
  </si>
  <si>
    <t>'14978300</t>
  </si>
  <si>
    <t>225/40R18 92W TURANZA T001 EXT MO XL BRIDGESTONE</t>
  </si>
  <si>
    <t>'8314</t>
  </si>
  <si>
    <t>'18554006</t>
  </si>
  <si>
    <t>225/40R18 92W TURANZA T005 BRIDGESTONE</t>
  </si>
  <si>
    <t>'527719</t>
  </si>
  <si>
    <t>'2254018NX</t>
  </si>
  <si>
    <t>225/40R18 92W XL NEXEN NFERA PRIMUS</t>
  </si>
  <si>
    <t>'539760</t>
  </si>
  <si>
    <t>'4095800</t>
  </si>
  <si>
    <t>225/40R18 92W XL PWRGY PIRELLI</t>
  </si>
  <si>
    <t>'1714</t>
  </si>
  <si>
    <t>'1679700</t>
  </si>
  <si>
    <t>225/40R18 92Y P-ZERO XL MO PIRELLI</t>
  </si>
  <si>
    <t>18/12/2023 FC-A-0022-00023958</t>
  </si>
  <si>
    <t>'1716</t>
  </si>
  <si>
    <t>'2462500</t>
  </si>
  <si>
    <t>225/40R18 92Y P7 CINTURATO (*) XL RUN FLAT  PIRELL</t>
  </si>
  <si>
    <t>22/12/2023 FC-A-0008-00025699</t>
  </si>
  <si>
    <t>'8517</t>
  </si>
  <si>
    <t>'10500200</t>
  </si>
  <si>
    <t>225/40R18 92Y POTENZA RE050A XL AO BRIDGESTONE</t>
  </si>
  <si>
    <t>'8516</t>
  </si>
  <si>
    <t>'10500300</t>
  </si>
  <si>
    <t>225/40R18 92Y POTENZA RE050A XL BRIDGESTONE</t>
  </si>
  <si>
    <t>'8466</t>
  </si>
  <si>
    <t>'12591300</t>
  </si>
  <si>
    <t>225/40R18 92Y POTENZA S001 XL BRIDGESTONE</t>
  </si>
  <si>
    <t>'527717</t>
  </si>
  <si>
    <t>'29006</t>
  </si>
  <si>
    <t>225/40R18 92Y PS71 KUMHO</t>
  </si>
  <si>
    <t>'8344</t>
  </si>
  <si>
    <t>'17165300</t>
  </si>
  <si>
    <t>225/40R18 92Y TURANZA T005 XL BRIDGESTONE</t>
  </si>
  <si>
    <t>'552657</t>
  </si>
  <si>
    <t>'3220600</t>
  </si>
  <si>
    <t>225/40R18 92Y XL P-ZERO (AO) PIRELLI</t>
  </si>
  <si>
    <t>'9738</t>
  </si>
  <si>
    <t>'225/40R18PZERO</t>
  </si>
  <si>
    <t>225/40R18 P-ZERO ROSSO ANO 2012 (DOT2512)</t>
  </si>
  <si>
    <t>'9821</t>
  </si>
  <si>
    <t>'225/40R18DRAGON</t>
  </si>
  <si>
    <t>225/40R18 PIRELLI DRAGON</t>
  </si>
  <si>
    <t>'552877</t>
  </si>
  <si>
    <t>'32800</t>
  </si>
  <si>
    <t>225/40R18 TH202 92Y TRIANGLE</t>
  </si>
  <si>
    <t>'8443</t>
  </si>
  <si>
    <t>'14633300</t>
  </si>
  <si>
    <t>225/40R19 89Y POTENZA S001 SM RFT BRIDGESTONE</t>
  </si>
  <si>
    <t>'46401</t>
  </si>
  <si>
    <t>225/45 R17 BRIDGSTONE TURANZA ER300 94W</t>
  </si>
  <si>
    <t>'47794</t>
  </si>
  <si>
    <t>225/45 R17 BRIDGSTONE TURANZA T005 91W</t>
  </si>
  <si>
    <t>'462656</t>
  </si>
  <si>
    <t>225/45 R17 NEXEN NFERA SU4 94W XL</t>
  </si>
  <si>
    <t>'384481</t>
  </si>
  <si>
    <t>225/45 R17 WINDFORCE SNOWBLAZER UHP 94V XL</t>
  </si>
  <si>
    <t>'69270</t>
  </si>
  <si>
    <t>225/45 R18 BRIDGSTONE POTENZA S001 XL 95Y</t>
  </si>
  <si>
    <t>'448000</t>
  </si>
  <si>
    <t>225/45 R18 NEXEN CP643a 91V</t>
  </si>
  <si>
    <t>'9526</t>
  </si>
  <si>
    <t>'29304</t>
  </si>
  <si>
    <t>225/45R17 91W  ES31  KUMHO</t>
  </si>
  <si>
    <t>'539784</t>
  </si>
  <si>
    <t>'14775</t>
  </si>
  <si>
    <t>225/45R17 91W EXTREME CONTACT CONTINENTAL</t>
  </si>
  <si>
    <t>23/12/2024 FC-A-0019-00035579</t>
  </si>
  <si>
    <t>'1762</t>
  </si>
  <si>
    <t>'2005800</t>
  </si>
  <si>
    <t>225/45R17 91W P7 CINTURATO RUN FLAT PIRELLI</t>
  </si>
  <si>
    <t>20/04/2023 FC-A-0022-00020777</t>
  </si>
  <si>
    <t>'8513</t>
  </si>
  <si>
    <t>'10508200</t>
  </si>
  <si>
    <t>225/45R17 91W POTENZA RE050 BRIDGESTONE</t>
  </si>
  <si>
    <t>'8511</t>
  </si>
  <si>
    <t>'10510300</t>
  </si>
  <si>
    <t>225/45R17 91W POTENZA RE050A BRIDGESTONE</t>
  </si>
  <si>
    <t>'8512</t>
  </si>
  <si>
    <t>'10510200</t>
  </si>
  <si>
    <t>225/45R17 91W POTENZA RE050AFZ RFT BRIDGESTONE</t>
  </si>
  <si>
    <t>'8321</t>
  </si>
  <si>
    <t>'18225300</t>
  </si>
  <si>
    <t>225/45R17 91W POTENZA S001 BRIDGESTONE</t>
  </si>
  <si>
    <t>'8432</t>
  </si>
  <si>
    <t>'14958300</t>
  </si>
  <si>
    <t>225/45R17 91W POTENZA S001 RFT BRIDGESTONE</t>
  </si>
  <si>
    <t>'511274</t>
  </si>
  <si>
    <t>'4095600</t>
  </si>
  <si>
    <t>225/45R17 91W POWERGY PIRELLI</t>
  </si>
  <si>
    <t>'9604</t>
  </si>
  <si>
    <t>'4062800</t>
  </si>
  <si>
    <t>225/45R17 91W S-I P7CINTURATO PIRELLI</t>
  </si>
  <si>
    <t>'528141</t>
  </si>
  <si>
    <t>'DU-332308</t>
  </si>
  <si>
    <t>225/45R17 91W SP SPORT MAXX050 DUNLOP</t>
  </si>
  <si>
    <t>'8486</t>
  </si>
  <si>
    <t>'10977300</t>
  </si>
  <si>
    <t>225/45R17 91W TURANZA ER300 BRIDGESTONE</t>
  </si>
  <si>
    <t>'8336</t>
  </si>
  <si>
    <t>'17344300</t>
  </si>
  <si>
    <t>225/45R17 91W TURANZA T001 EVO BRIDGESTONE</t>
  </si>
  <si>
    <t>'8440</t>
  </si>
  <si>
    <t>'14761300</t>
  </si>
  <si>
    <t>225/45R17 91W TURANZA T001 EXT MO BRIDGESTONE</t>
  </si>
  <si>
    <t>'8315</t>
  </si>
  <si>
    <t>'18550006</t>
  </si>
  <si>
    <t>225/45R17 91W TURANZA T005 BRIDGESTONE</t>
  </si>
  <si>
    <t>'10023</t>
  </si>
  <si>
    <t>'2040300</t>
  </si>
  <si>
    <t>225/45R17 91Y P7 CINTURATO RUN FLAT PIRELLI</t>
  </si>
  <si>
    <t>'8341</t>
  </si>
  <si>
    <t>'17229300</t>
  </si>
  <si>
    <t>225/45R17 91Y TURANZA T005 BRIDGESTONE</t>
  </si>
  <si>
    <t>'552941</t>
  </si>
  <si>
    <t>225/45R17 94H XL CP672 NEXEN</t>
  </si>
  <si>
    <t>'9693</t>
  </si>
  <si>
    <t>'32180</t>
  </si>
  <si>
    <t>225/45R17 94V TR968 TRIANGLE</t>
  </si>
  <si>
    <t>01/04/2023 REM-R-0004-00000635</t>
  </si>
  <si>
    <t>'9836</t>
  </si>
  <si>
    <t>'60265</t>
  </si>
  <si>
    <t>225/45R17 94W FM601 FIREMAX</t>
  </si>
  <si>
    <t>'527680</t>
  </si>
  <si>
    <t>'458000</t>
  </si>
  <si>
    <t>225/45R17 94W N6000 XL NEXEN</t>
  </si>
  <si>
    <t>20/09/2024 REM-X-0004-00000741</t>
  </si>
  <si>
    <t>'1749</t>
  </si>
  <si>
    <t>'2916600</t>
  </si>
  <si>
    <t>225/45R17 94W P1 CINTURATO PLUS XL  PIRELLI</t>
  </si>
  <si>
    <t>12/12/2022 FC-A-0022-00019148</t>
  </si>
  <si>
    <t>'1750</t>
  </si>
  <si>
    <t>'3266600</t>
  </si>
  <si>
    <t>225/45R17 94W P7 CINTURATO XL  PIRELLI</t>
  </si>
  <si>
    <t>20/03/2026 FC-A-0022-00031496</t>
  </si>
  <si>
    <t>'528142</t>
  </si>
  <si>
    <t>'DU-337480</t>
  </si>
  <si>
    <t>225/45R17 94W SP SPORT FM800 DUNLOP</t>
  </si>
  <si>
    <t>17/12/2024 FC-A-0022-00027667</t>
  </si>
  <si>
    <t>'10002</t>
  </si>
  <si>
    <t>'32292</t>
  </si>
  <si>
    <t>225/45R17 94W TA01 TRIANGLE</t>
  </si>
  <si>
    <t>12/10/2023 REM-R-0006-00000100</t>
  </si>
  <si>
    <t>'552516</t>
  </si>
  <si>
    <t>'552951</t>
  </si>
  <si>
    <t>225/45R17 94W TL XL SA57 WEST LAKE</t>
  </si>
  <si>
    <t>08/10/2025 FC-A-0022-00030403</t>
  </si>
  <si>
    <t>'8305</t>
  </si>
  <si>
    <t>'18909001</t>
  </si>
  <si>
    <t>225/45R17 94W TURANZA ER300 BRIDGESTONE</t>
  </si>
  <si>
    <t>'8514</t>
  </si>
  <si>
    <t>'10504200</t>
  </si>
  <si>
    <t>225/45R17 94Y POTENZA S001 BRIDGESTONE</t>
  </si>
  <si>
    <t>'511138</t>
  </si>
  <si>
    <t>'32804</t>
  </si>
  <si>
    <t>225/45R17 94Y TH202 XL TRIANGLE</t>
  </si>
  <si>
    <t>'10029</t>
  </si>
  <si>
    <t>'32182</t>
  </si>
  <si>
    <t>225/45R17 94Y TRIANGLE TH201</t>
  </si>
  <si>
    <t>08/09/2023 REM-R-0009-00000133</t>
  </si>
  <si>
    <t>'9757</t>
  </si>
  <si>
    <t>'ALV-2254517</t>
  </si>
  <si>
    <t>225/45R17 PACE ALVENTI</t>
  </si>
  <si>
    <t>04/01/2023 REM-R-0009-00000207</t>
  </si>
  <si>
    <t>'9479</t>
  </si>
  <si>
    <t>'PC10-22545Z17</t>
  </si>
  <si>
    <t>225/45R17 PC10  PACE</t>
  </si>
  <si>
    <t>19/08/2022 FC-A-0301-00020891</t>
  </si>
  <si>
    <t>'553096</t>
  </si>
  <si>
    <t>'553246</t>
  </si>
  <si>
    <t>225/45R17 SPEEDMAX ADAPT S OUA 09 XL 94W</t>
  </si>
  <si>
    <t>'553052</t>
  </si>
  <si>
    <t>'60956</t>
  </si>
  <si>
    <t>225/45R17 SPORT 2 94W FIREMAX</t>
  </si>
  <si>
    <t>05/02/2026 REM-X-0006-00000809</t>
  </si>
  <si>
    <t>26/01/2026 Legajo del Producto...</t>
  </si>
  <si>
    <t>'540049</t>
  </si>
  <si>
    <t>'14670</t>
  </si>
  <si>
    <t>225/45R17 SU4 94W XL NFERA SU4 NEXEN</t>
  </si>
  <si>
    <t>13/06/2025 FC-A-0022-00029553</t>
  </si>
  <si>
    <t>'553108</t>
  </si>
  <si>
    <t>'001-100-R2471</t>
  </si>
  <si>
    <t>225/45R17-94V ES32A YOKOHAMA</t>
  </si>
  <si>
    <t>'1812</t>
  </si>
  <si>
    <t>'2737900</t>
  </si>
  <si>
    <t>225/45R18 91W P7 CINTURATO MO PIRELLI</t>
  </si>
  <si>
    <t>11/12/2025 FC-A-0022-00030898</t>
  </si>
  <si>
    <t>'553084</t>
  </si>
  <si>
    <t>'22687</t>
  </si>
  <si>
    <t>225/45R18 91W PS31 KUMHO</t>
  </si>
  <si>
    <t>'8330</t>
  </si>
  <si>
    <t>'17621300</t>
  </si>
  <si>
    <t>225/45R18 91W TURANZA T005 BRIDGESTONE</t>
  </si>
  <si>
    <t>'8470</t>
  </si>
  <si>
    <t>'12202300</t>
  </si>
  <si>
    <t>225/45R18 91Y POTENZA S001 RFT SM BRIDGESTONE</t>
  </si>
  <si>
    <t>'552517</t>
  </si>
  <si>
    <t>'552907</t>
  </si>
  <si>
    <t>225/45R18 95V XL RF CP662 NEXEN</t>
  </si>
  <si>
    <t>'1822</t>
  </si>
  <si>
    <t>'2917700</t>
  </si>
  <si>
    <t>225/45R18 95W P1 CINTURATO PLUS XL  PIRELLI</t>
  </si>
  <si>
    <t>26/03/2024 REM-R-0008-00000282</t>
  </si>
  <si>
    <t>'539758</t>
  </si>
  <si>
    <t>'4095900</t>
  </si>
  <si>
    <t>225/45R18 95W XL PWRGY PIRELLI</t>
  </si>
  <si>
    <t>05/01/2026 FC-A-0022-00031056</t>
  </si>
  <si>
    <t>'1815</t>
  </si>
  <si>
    <t>'2732900</t>
  </si>
  <si>
    <t>225/45R18 95Y P7 CINTURATO XL RUN FLAT MOE PIRELLI</t>
  </si>
  <si>
    <t>19/08/2024 FC-A-0022-00026459</t>
  </si>
  <si>
    <t>'8426</t>
  </si>
  <si>
    <t>'14987300</t>
  </si>
  <si>
    <t>225/45R18 95Y POTENZA S001 EXT MO RFT XL BRIDGESTO</t>
  </si>
  <si>
    <t>'8447</t>
  </si>
  <si>
    <t>'14180200</t>
  </si>
  <si>
    <t>225/45R18 95Y POTENZA S001 XL BRIDGESTONE</t>
  </si>
  <si>
    <t>'8318</t>
  </si>
  <si>
    <t>'18527006</t>
  </si>
  <si>
    <t>225/45R18 95Y TURANZA T005 BRIDGESTONE</t>
  </si>
  <si>
    <t>'8325</t>
  </si>
  <si>
    <t>'17709300</t>
  </si>
  <si>
    <t>225/45R18 95Y TURANZA T005 XL BRIDGESTONE</t>
  </si>
  <si>
    <t>'1771</t>
  </si>
  <si>
    <t>'2141000</t>
  </si>
  <si>
    <t>225/45R19 92W P-ZERO (*) RUN FLAT  PIRELLI</t>
  </si>
  <si>
    <t>'8358</t>
  </si>
  <si>
    <t>'16821300</t>
  </si>
  <si>
    <t>225/45R19 92W POTENZA S001 RFT BRIDGESTONE</t>
  </si>
  <si>
    <t>'553017</t>
  </si>
  <si>
    <t>'553060</t>
  </si>
  <si>
    <t>225/45R19 96W XL NFERA SU4 NEXEN</t>
  </si>
  <si>
    <t>'1801</t>
  </si>
  <si>
    <t>'2700000</t>
  </si>
  <si>
    <t>225/45R19 96Y P-ZERO (*) XL  PIRELLI</t>
  </si>
  <si>
    <t>'82470</t>
  </si>
  <si>
    <t>225/50 R17 BRIDGSTONE POTENZA RE050 RFT 94Y</t>
  </si>
  <si>
    <t>'69200</t>
  </si>
  <si>
    <t>225/50 R17 BRIDGSTONE POTENZA S001 98Y</t>
  </si>
  <si>
    <t>'8510</t>
  </si>
  <si>
    <t>'10522200</t>
  </si>
  <si>
    <t>225/50R16 92V POTENZA RE050 RFT BRIDGESTONE</t>
  </si>
  <si>
    <t>'1723</t>
  </si>
  <si>
    <t>'2009000</t>
  </si>
  <si>
    <t>225/50R16 92W P7 CINTURATO  MO PIRELLI</t>
  </si>
  <si>
    <t>30/12/2022 FC-A-0022-00019409</t>
  </si>
  <si>
    <t>'8420</t>
  </si>
  <si>
    <t>'15163300</t>
  </si>
  <si>
    <t>225/50R16 92W POTENZA RE050 I RFT BRIDGESTONE</t>
  </si>
  <si>
    <t>'539897</t>
  </si>
  <si>
    <t>'15733</t>
  </si>
  <si>
    <t>225/50R17 94H HP SPORT BRIDGESTONE DUELER</t>
  </si>
  <si>
    <t>11/12/2024 FC-A-0022-00027599</t>
  </si>
  <si>
    <t>'511270</t>
  </si>
  <si>
    <t>'4095700</t>
  </si>
  <si>
    <t>225/50R17 94V POWERGY PIRELLI</t>
  </si>
  <si>
    <t>'8313</t>
  </si>
  <si>
    <t>'18555006</t>
  </si>
  <si>
    <t>225/50R17 94V TURANZA T005 BRIDGESTONE</t>
  </si>
  <si>
    <t>26/12/2024 FC-A-0200-00334750</t>
  </si>
  <si>
    <t>'4863</t>
  </si>
  <si>
    <t>'15481720000</t>
  </si>
  <si>
    <t>225/50R17 94W CONTINENTAL EXTREMECONTACT</t>
  </si>
  <si>
    <t>'1700</t>
  </si>
  <si>
    <t>'2028000</t>
  </si>
  <si>
    <t>225/50R17 94W P7 CINTURATO (*) RUN FLAT PIRELLI</t>
  </si>
  <si>
    <t>17/11/2025 FC-A-0019-00038900</t>
  </si>
  <si>
    <t>'9773</t>
  </si>
  <si>
    <t>'2660100</t>
  </si>
  <si>
    <t>225/50R17 94W P7 CINTURATO (MOE) RUN FLAT PIRELLI</t>
  </si>
  <si>
    <t>'8509</t>
  </si>
  <si>
    <t>'10527200</t>
  </si>
  <si>
    <t>225/50R17 94W POTENZA RE050EZ RFT SM BRIDGESTONE</t>
  </si>
  <si>
    <t>'8382</t>
  </si>
  <si>
    <t>'16525300</t>
  </si>
  <si>
    <t>225/50R17 94W POTENZA S001 BRIDGESTONE</t>
  </si>
  <si>
    <t>'8442</t>
  </si>
  <si>
    <t>'14634300</t>
  </si>
  <si>
    <t>225/50R17 94W POTENZA S001 RFT SM BRIDGESTONE</t>
  </si>
  <si>
    <t>'9828</t>
  </si>
  <si>
    <t>'29004</t>
  </si>
  <si>
    <t>225/50R17 94W PS71 KUMHO RUNFLAT</t>
  </si>
  <si>
    <t>27/09/2023 REM-R-0004-10000143</t>
  </si>
  <si>
    <t>'8433</t>
  </si>
  <si>
    <t>'14938300</t>
  </si>
  <si>
    <t>225/50R17 94W TURANZA T001 RFT EXT MO BRIDGESTONE</t>
  </si>
  <si>
    <t>'8508</t>
  </si>
  <si>
    <t>'10528200</t>
  </si>
  <si>
    <t>225/50R17 94Y POTENZA RE050 RFT BRIDGESTONE</t>
  </si>
  <si>
    <t>'1697</t>
  </si>
  <si>
    <t>'2916700</t>
  </si>
  <si>
    <t>225/50R17 98V P1 CINTURATO PLUS XL  PIRELLI</t>
  </si>
  <si>
    <t>18/01/2023 FC-A-0022-00019679</t>
  </si>
  <si>
    <t>'9611</t>
  </si>
  <si>
    <t>'4063500</t>
  </si>
  <si>
    <t>225/50R17 98V XL S-I P7 CINTURATO PIRELLI</t>
  </si>
  <si>
    <t>21/03/2025 FC-A-0022-00028788</t>
  </si>
  <si>
    <t>'1698</t>
  </si>
  <si>
    <t>'2417900</t>
  </si>
  <si>
    <t>225/50R17 98Y P7 CINTURATO XL AO PIRELLI</t>
  </si>
  <si>
    <t>'8507</t>
  </si>
  <si>
    <t>'10531300</t>
  </si>
  <si>
    <t>225/50R17 98Y POTENZA RE050A AO XL BRIDGESTONE</t>
  </si>
  <si>
    <t>'8473</t>
  </si>
  <si>
    <t>'12090200</t>
  </si>
  <si>
    <t>225/50R17 98Y POTENZA S001 BRIDGESTONE</t>
  </si>
  <si>
    <t>'539927</t>
  </si>
  <si>
    <t>'32806</t>
  </si>
  <si>
    <t>225/50R17 98Y TH202 XL TRIANGLE</t>
  </si>
  <si>
    <t>11/01/2025 REM-X-0045-00131261</t>
  </si>
  <si>
    <t>'8326</t>
  </si>
  <si>
    <t>'17706300</t>
  </si>
  <si>
    <t>225/50R17 98Y TURANZA T005 XL BRIDGESTONE</t>
  </si>
  <si>
    <t>'552782</t>
  </si>
  <si>
    <t>'60684</t>
  </si>
  <si>
    <t>225/50R17 FM601 98W FIREMAX</t>
  </si>
  <si>
    <t>'9519</t>
  </si>
  <si>
    <t>'29131</t>
  </si>
  <si>
    <t>225/50R17 XL 98W ES31 KUMHO</t>
  </si>
  <si>
    <t>'528143</t>
  </si>
  <si>
    <t>'DU-338611</t>
  </si>
  <si>
    <t>225/50R18 95V MXX050 SP SPORT DUNLOP</t>
  </si>
  <si>
    <t>27/05/2025 FC-A-0022-00029389</t>
  </si>
  <si>
    <t>'528144</t>
  </si>
  <si>
    <t>'14808</t>
  </si>
  <si>
    <t>'1813</t>
  </si>
  <si>
    <t>'2245600</t>
  </si>
  <si>
    <t>225/50R18 95W P7 CINTURATO (*) RUN FLAT PIRELLI</t>
  </si>
  <si>
    <t>23/05/2024 REM-X-0006-00000332</t>
  </si>
  <si>
    <t>'8398</t>
  </si>
  <si>
    <t>'16068300</t>
  </si>
  <si>
    <t>225/50R18 95W TURANZA T001 RFT BRIDGESTONE</t>
  </si>
  <si>
    <t>'510939</t>
  </si>
  <si>
    <t>'4134700</t>
  </si>
  <si>
    <t>225/50R18 99V S-I P7 CINTURATO PIRELLI</t>
  </si>
  <si>
    <t>21/07/2023 FC-A-0022-00021964</t>
  </si>
  <si>
    <t>'451100</t>
  </si>
  <si>
    <t>225/55 R16 NEXEN CP661 95V</t>
  </si>
  <si>
    <t>'462688</t>
  </si>
  <si>
    <t>225/55 R16 NEXEN N-FERA SU4 95W</t>
  </si>
  <si>
    <t>'384484</t>
  </si>
  <si>
    <t>225/55 R17 WINDFORCE SNOWBLAZER UHP 101V XL</t>
  </si>
  <si>
    <t>'9520</t>
  </si>
  <si>
    <t>'21769</t>
  </si>
  <si>
    <t>225/55 R18  04 98H KL33  KUMHO</t>
  </si>
  <si>
    <t>06/12/2023 REM-R-0004-00001250</t>
  </si>
  <si>
    <t>'85700</t>
  </si>
  <si>
    <t>225/55 R18 FIRESTONE DESTINATION LE 2 98V</t>
  </si>
  <si>
    <t>'453425</t>
  </si>
  <si>
    <t>225/55 R18 NEXEN CP672 97H</t>
  </si>
  <si>
    <t>'553014</t>
  </si>
  <si>
    <t>'552913</t>
  </si>
  <si>
    <t>225/55 R19 NEXEN N FERA RU1</t>
  </si>
  <si>
    <t>'8506</t>
  </si>
  <si>
    <t>'10539300</t>
  </si>
  <si>
    <t>225/55R16 95W TURANZA ER300 BRIDGESTONE</t>
  </si>
  <si>
    <t>'8403</t>
  </si>
  <si>
    <t>'16056300</t>
  </si>
  <si>
    <t>225/55R16 95W TURANZA ER300A BRIDGESTONE</t>
  </si>
  <si>
    <t>'8478</t>
  </si>
  <si>
    <t>'11785300</t>
  </si>
  <si>
    <t>225/55R16 95W TURANZA ER300A RFT BRIDGESTONE</t>
  </si>
  <si>
    <t>'8468</t>
  </si>
  <si>
    <t>'12463200</t>
  </si>
  <si>
    <t>225/55R16 99W POTENZA S001 XL BRIDGESTONE</t>
  </si>
  <si>
    <t>'8505</t>
  </si>
  <si>
    <t>'10540300</t>
  </si>
  <si>
    <t>225/55R16 99Y TURANZA ER300 AO XL BRIDGESTONE</t>
  </si>
  <si>
    <t>'553091</t>
  </si>
  <si>
    <t>'553225</t>
  </si>
  <si>
    <t>225/55R17 101W XL NEXEN NFER SU4</t>
  </si>
  <si>
    <t>'8472</t>
  </si>
  <si>
    <t>'12092200</t>
  </si>
  <si>
    <t>225/55R17 101Y POTENZA S001 XL BRIDGESTONE</t>
  </si>
  <si>
    <t>'8408</t>
  </si>
  <si>
    <t>'15978300</t>
  </si>
  <si>
    <t>225/55R17 97W TURANZA T001 RFT BRIDGESTONE</t>
  </si>
  <si>
    <t>'1688</t>
  </si>
  <si>
    <t>'2492600</t>
  </si>
  <si>
    <t>225/55R17 97Y P7 CINTURATO  AO PIRELLI</t>
  </si>
  <si>
    <t>22/03/2023 FC-A-0019-00029751</t>
  </si>
  <si>
    <t>'8477</t>
  </si>
  <si>
    <t>'11787300</t>
  </si>
  <si>
    <t>225/55R17 97Y TURANZA ER300 ECOPIA RFT BRIDGESTONE</t>
  </si>
  <si>
    <t>'9878</t>
  </si>
  <si>
    <t>'33177</t>
  </si>
  <si>
    <t>225/55R18 102W TH201 XL TRIANGLE</t>
  </si>
  <si>
    <t>19/10/2023 REM-R-0009-00000152</t>
  </si>
  <si>
    <t>'511152</t>
  </si>
  <si>
    <t>'33077</t>
  </si>
  <si>
    <t>225/55R18 102W TR259 TRIANGLE</t>
  </si>
  <si>
    <t>06/12/2025 REM-X-0004-00001236</t>
  </si>
  <si>
    <t>'422200</t>
  </si>
  <si>
    <t>225/55R18 88V SUV318 H/T WEST LAKE</t>
  </si>
  <si>
    <t>27/07/2023 FC-A-0200-00297446</t>
  </si>
  <si>
    <t>'8578</t>
  </si>
  <si>
    <t>'17226006</t>
  </si>
  <si>
    <t>225/55R18 98H DUELER H/T 684 II BRIDGESTONE</t>
  </si>
  <si>
    <t>'511279</t>
  </si>
  <si>
    <t>'4013300</t>
  </si>
  <si>
    <t>225/55R18 98H SCORPION (JP) PIRELLI</t>
  </si>
  <si>
    <t>29/11/2024 FC-A-0022-00027457</t>
  </si>
  <si>
    <t>'539992</t>
  </si>
  <si>
    <t>'539965</t>
  </si>
  <si>
    <t>225/55R18 98V LTX2 CROSSCONTACT  CONTINENTAL</t>
  </si>
  <si>
    <t>'9607</t>
  </si>
  <si>
    <t>'4063100</t>
  </si>
  <si>
    <t>225/55R18 98V S-I SCORPION VERDE ALL SEASON PIRELL</t>
  </si>
  <si>
    <t>27/09/2024 FC-A-0022-00026848</t>
  </si>
  <si>
    <t>'1612</t>
  </si>
  <si>
    <t>'2332100</t>
  </si>
  <si>
    <t>225/55R18 98V SCORPION VERDE ALL SEASON PIRELLI</t>
  </si>
  <si>
    <t>18/02/2022 REM-R-0022-00015806</t>
  </si>
  <si>
    <t>'540014</t>
  </si>
  <si>
    <t>'22680</t>
  </si>
  <si>
    <t>225/55R18 HP71 98V KUMHO</t>
  </si>
  <si>
    <t>12/05/2025 REM-X-0004-00000988</t>
  </si>
  <si>
    <t>'539987</t>
  </si>
  <si>
    <t>'14831</t>
  </si>
  <si>
    <t>225/55R18 N PRIZ RH7 97H M+S NEXEN</t>
  </si>
  <si>
    <t>23/06/2025 FC-A-0022-00029608</t>
  </si>
  <si>
    <t>'9927</t>
  </si>
  <si>
    <t>'21719</t>
  </si>
  <si>
    <t>225/55R19 99V KL33 KUMHO</t>
  </si>
  <si>
    <t>15/01/2025 REM-X-0045-00131405</t>
  </si>
  <si>
    <t>'539774</t>
  </si>
  <si>
    <t>'2550100</t>
  </si>
  <si>
    <t>225/55R19 99V SCORPION VERDE   PIRELLI --- FL25501</t>
  </si>
  <si>
    <t>'9565</t>
  </si>
  <si>
    <t>'33078</t>
  </si>
  <si>
    <t>225/55R19 99V TR259 TRIANGLE</t>
  </si>
  <si>
    <t>'47788</t>
  </si>
  <si>
    <t>225/60 R17 BRIDGSTONE TURANZA T005 99Y</t>
  </si>
  <si>
    <t>'510937</t>
  </si>
  <si>
    <t>225/60 R17 NEXEN WINGUARD ICE SUV XL 103Q M+S</t>
  </si>
  <si>
    <t>'528145</t>
  </si>
  <si>
    <t>'DU-331981</t>
  </si>
  <si>
    <t>225/60R17 103H GRANDTREK PT3 DUNLOP</t>
  </si>
  <si>
    <t>09/01/2025 FC-A-0022-00027824</t>
  </si>
  <si>
    <t>'1598</t>
  </si>
  <si>
    <t>'3077800</t>
  </si>
  <si>
    <t>225/60R17 103H SCORPION VERDE ALL SEASON XL  PIREL</t>
  </si>
  <si>
    <t>'9605</t>
  </si>
  <si>
    <t>'4062900</t>
  </si>
  <si>
    <t>225/60R17 103H XL S-I SCORPION VERDE ALL SEASON PI</t>
  </si>
  <si>
    <t>07/04/2025 FC-A-0022-00028942</t>
  </si>
  <si>
    <t>'9672</t>
  </si>
  <si>
    <t>'21987</t>
  </si>
  <si>
    <t>225/60R17 99H KL33 KUMHO</t>
  </si>
  <si>
    <t>02/10/2024 REM-X-0004-00000764</t>
  </si>
  <si>
    <t>'1599</t>
  </si>
  <si>
    <t>'2524600</t>
  </si>
  <si>
    <t>225/60R17 99H SCORPION ATR   PIRELLI</t>
  </si>
  <si>
    <t>26/07/2023 FC-A-0022-00022031</t>
  </si>
  <si>
    <t>'552900</t>
  </si>
  <si>
    <t>'553118</t>
  </si>
  <si>
    <t>225/60R17 99T FIRESTONE ALL SEASON</t>
  </si>
  <si>
    <t>'552693</t>
  </si>
  <si>
    <t>225/60R17 99V GREENMAX 4X4 HP LINGLONG</t>
  </si>
  <si>
    <t>'1685</t>
  </si>
  <si>
    <t>'2050300</t>
  </si>
  <si>
    <t>225/60R17 99V P7 CINTURATO (*) RUN FLAT  PIRELLI</t>
  </si>
  <si>
    <t>19/02/2024 FC-A-0022-00024637</t>
  </si>
  <si>
    <t>'8324</t>
  </si>
  <si>
    <t>'17798300</t>
  </si>
  <si>
    <t>225/60R17 99Y TURANZA T005 BRIDGESTONE</t>
  </si>
  <si>
    <t>'10036</t>
  </si>
  <si>
    <t>'9175</t>
  </si>
  <si>
    <t>225/60R17 FIRESTONE ALL SEASON 99T</t>
  </si>
  <si>
    <t>'9490</t>
  </si>
  <si>
    <t>'462760</t>
  </si>
  <si>
    <t>225/60R17 NEXEN NBLUE ECO 99V</t>
  </si>
  <si>
    <t>30/05/2024 REM-X-0004-00000052</t>
  </si>
  <si>
    <t>'9688</t>
  </si>
  <si>
    <t>'32210</t>
  </si>
  <si>
    <t>225/60R17 TR257 99H TRIANGLE</t>
  </si>
  <si>
    <t>23/12/2024 REM-X-0004-00000846</t>
  </si>
  <si>
    <t>'540020</t>
  </si>
  <si>
    <t>'32415</t>
  </si>
  <si>
    <t>225/60R17 TR259 99V TRIANGLE</t>
  </si>
  <si>
    <t>21/03/2026 REM-X-0004-00001327</t>
  </si>
  <si>
    <t>'539993</t>
  </si>
  <si>
    <t>'15743</t>
  </si>
  <si>
    <t>225/60R18 100H RH7 NPRIZ NEXEN</t>
  </si>
  <si>
    <t>12/07/2025 FC-A-0022-00029781</t>
  </si>
  <si>
    <t>'527782</t>
  </si>
  <si>
    <t>'22590</t>
  </si>
  <si>
    <t>225/60R18 104H KUMHO HP91</t>
  </si>
  <si>
    <t>23/08/2024 REM-X-0004-00000687</t>
  </si>
  <si>
    <t>'1931</t>
  </si>
  <si>
    <t>'3119100</t>
  </si>
  <si>
    <t>225/60R18 104H SCORPION VERDE ALL SEASON XL  PIREL</t>
  </si>
  <si>
    <t>24/06/2022 REM-R-0006-00000108</t>
  </si>
  <si>
    <t>'9119</t>
  </si>
  <si>
    <t>'3839200</t>
  </si>
  <si>
    <t>225/60R18 104H XL SCORPION HT PIRELLI</t>
  </si>
  <si>
    <t>03/01/2024 FC-A-0019-00032403</t>
  </si>
  <si>
    <t>'527769</t>
  </si>
  <si>
    <t>'3839300</t>
  </si>
  <si>
    <t>225/60R18 104H XL SCORPION PIRELLI</t>
  </si>
  <si>
    <t>23/02/2026 FC-A-0022-00031355</t>
  </si>
  <si>
    <t>'9670</t>
  </si>
  <si>
    <t>'41561</t>
  </si>
  <si>
    <t>225/65R16 100H KR26 KUMHO</t>
  </si>
  <si>
    <t>08/03/2023 REM-R-0009-00000315</t>
  </si>
  <si>
    <t>'527754</t>
  </si>
  <si>
    <t>'384540</t>
  </si>
  <si>
    <t>225/65R16 8T 112/110T WINDFORCE MILE MAX</t>
  </si>
  <si>
    <t>09/08/2024 REM-X-0004-00000662</t>
  </si>
  <si>
    <t>'540021</t>
  </si>
  <si>
    <t>'22463</t>
  </si>
  <si>
    <t>225/65R16 C KC53 112/110R KUMHO</t>
  </si>
  <si>
    <t>'552538</t>
  </si>
  <si>
    <t>'60550</t>
  </si>
  <si>
    <t>225/65R16 FM916 C 112/110T FIREMAX</t>
  </si>
  <si>
    <t>06/05/2026 REM-X-0004-00001349</t>
  </si>
  <si>
    <t>celda 12</t>
  </si>
  <si>
    <t>'528008</t>
  </si>
  <si>
    <t>225/65R16 WEST LAKE RP18</t>
  </si>
  <si>
    <t>01/10/2024 FC-A-0200-00328039</t>
  </si>
  <si>
    <t>'4873</t>
  </si>
  <si>
    <t>'4515520000</t>
  </si>
  <si>
    <t>225/65R16C  112/110R VANCONTACT AP</t>
  </si>
  <si>
    <t>'8551</t>
  </si>
  <si>
    <t>'18125002</t>
  </si>
  <si>
    <t>225/65R16C 112/110R CV5000 FIRESTONE</t>
  </si>
  <si>
    <t>'9648</t>
  </si>
  <si>
    <t>'R2</t>
  </si>
  <si>
    <t>225/65R16C 112/110R GOODYEAR</t>
  </si>
  <si>
    <t>29/07/2024 REM-X-0004-00000633</t>
  </si>
  <si>
    <t>'1849</t>
  </si>
  <si>
    <t>'2165000</t>
  </si>
  <si>
    <t>225/65R16C 112R CARRIER PIRELLI</t>
  </si>
  <si>
    <t>20/02/2024 NC-A-0022-00001130</t>
  </si>
  <si>
    <t>225/65R16C 8T CT8 112/110T NEXEN</t>
  </si>
  <si>
    <t>'552321</t>
  </si>
  <si>
    <t>'378875</t>
  </si>
  <si>
    <t>225/65R16C 8T LANVIGATOR MILE MAX</t>
  </si>
  <si>
    <t>10/04/2025 FC-A-0022-00028972</t>
  </si>
  <si>
    <t>'9578</t>
  </si>
  <si>
    <t>'32267</t>
  </si>
  <si>
    <t>225/65R16C TR652 112/110R TRIANGLE</t>
  </si>
  <si>
    <t>28/02/2023 REM-R-0006-00000340</t>
  </si>
  <si>
    <t>'539786</t>
  </si>
  <si>
    <t>'14810</t>
  </si>
  <si>
    <t>225/65R17 102H CROSSCONTACT 2 LX CONTINENTAL</t>
  </si>
  <si>
    <t>06/10/2025 FC-A-0022-00030391</t>
  </si>
  <si>
    <t>'553109</t>
  </si>
  <si>
    <t>'001-100-S0355</t>
  </si>
  <si>
    <t>225/65R17 102H G018 YOKOHAMA</t>
  </si>
  <si>
    <t>'1582</t>
  </si>
  <si>
    <t>'2724900</t>
  </si>
  <si>
    <t>225/65R17 102H SCORPION ALL TERRAIN PLUS   PIRELLI</t>
  </si>
  <si>
    <t>06/02/2025 FC-A-0022-00028314</t>
  </si>
  <si>
    <t>'1606</t>
  </si>
  <si>
    <t>'2169200</t>
  </si>
  <si>
    <t>225/65R17 102H SCORPION VERDE ALL SEASON   PIRELLI</t>
  </si>
  <si>
    <t>25/08/2021 FC-A-0022-00013838</t>
  </si>
  <si>
    <t>'9846</t>
  </si>
  <si>
    <t>'127463</t>
  </si>
  <si>
    <t>225/65R17 102T BRIDGESTONE DUELER HP SPORT</t>
  </si>
  <si>
    <t>31/03/2023 REM-R-0004-00000054</t>
  </si>
  <si>
    <t>'8556</t>
  </si>
  <si>
    <t>'17909001</t>
  </si>
  <si>
    <t>225/65R17 102T DUELER H/P SPORT AS BRIDGESTONE</t>
  </si>
  <si>
    <t>'539928</t>
  </si>
  <si>
    <t>'32264</t>
  </si>
  <si>
    <t>225/65R17 102T TR257 TRIANGLE</t>
  </si>
  <si>
    <t>14/01/2025 REM-X-0004-00000866</t>
  </si>
  <si>
    <t>'528146</t>
  </si>
  <si>
    <t>'DU-324308</t>
  </si>
  <si>
    <t>225/65R17 102V GRANDTREK PT3 DUNLOP</t>
  </si>
  <si>
    <t>19/11/2024 FC-A-0022-00027352</t>
  </si>
  <si>
    <t>'1594</t>
  </si>
  <si>
    <t>'2678300</t>
  </si>
  <si>
    <t>225/65R17 106H SCORPION ATR XL  PIRELLI</t>
  </si>
  <si>
    <t>25/10/2022 REM-R-0006-00000193</t>
  </si>
  <si>
    <t>'9606</t>
  </si>
  <si>
    <t>'4063000</t>
  </si>
  <si>
    <t>225/65R17 106H XL S-I SCORPION ATR PIRELLI</t>
  </si>
  <si>
    <t>01/10/2025 FC-A-0019-00038412</t>
  </si>
  <si>
    <t>'9598</t>
  </si>
  <si>
    <t>'4056800</t>
  </si>
  <si>
    <t>225/65R17 106H XL SCORPION ALL TERRAIN (LETRA BLAN</t>
  </si>
  <si>
    <t>'9118</t>
  </si>
  <si>
    <t>'3929000</t>
  </si>
  <si>
    <t>225/65R17 106H XL SCORPION HT PIRELLI</t>
  </si>
  <si>
    <t>23/05/2025 FC-A-0022-00029360</t>
  </si>
  <si>
    <t>'540050</t>
  </si>
  <si>
    <t>225/65R17 106V XL N FERA RU5 NEXEN</t>
  </si>
  <si>
    <t>09/04/2026 FC-A-0022-00031644</t>
  </si>
  <si>
    <t>'60271</t>
  </si>
  <si>
    <t>225/65R17 FM518 102H FIREMAX</t>
  </si>
  <si>
    <t>celda 3-Patio</t>
  </si>
  <si>
    <t>'552870</t>
  </si>
  <si>
    <t>'21579</t>
  </si>
  <si>
    <t>225/65R17 KL21 102H KUMHO</t>
  </si>
  <si>
    <t>12/11/2025 REM-X-0004-00001204</t>
  </si>
  <si>
    <t>07/11/2025 Legajo del Producto...</t>
  </si>
  <si>
    <t>'33074</t>
  </si>
  <si>
    <t>225/65R17 TR259 106V TRIANGLE</t>
  </si>
  <si>
    <t>06/01/2026 REM-X-0006-00000746</t>
  </si>
  <si>
    <t>08/11/2025 Legajo del Producto...</t>
  </si>
  <si>
    <t>'9826</t>
  </si>
  <si>
    <t>'32195</t>
  </si>
  <si>
    <t>225/70R15 112/110R TRIANGLE TR652</t>
  </si>
  <si>
    <t>08/02/2024 FC-A-0059-00034984</t>
  </si>
  <si>
    <t>'1845</t>
  </si>
  <si>
    <t>'2002000</t>
  </si>
  <si>
    <t>225/70R15C 112S CHRONO PIRELLI</t>
  </si>
  <si>
    <t>20/05/2024 REM-X-0004-00000503</t>
  </si>
  <si>
    <t>'9833</t>
  </si>
  <si>
    <t>'31798</t>
  </si>
  <si>
    <t>225/70R16 103H KH27 KUMHO</t>
  </si>
  <si>
    <t>02/06/2023 REM-R-0010-00000034</t>
  </si>
  <si>
    <t>'1678</t>
  </si>
  <si>
    <t>'2678500</t>
  </si>
  <si>
    <t>225/70R16 107H SCORPION VERDE ALL SEASON XL  PIREL</t>
  </si>
  <si>
    <t>20/08/2021 FC-A-0022-00013785</t>
  </si>
  <si>
    <t>'9323</t>
  </si>
  <si>
    <t>'3955800</t>
  </si>
  <si>
    <t>225/70R16 107H XL SCORPION HT PIRELLI</t>
  </si>
  <si>
    <t>'552874</t>
  </si>
  <si>
    <t>'19412</t>
  </si>
  <si>
    <t>225/70R16 TA21 103S KUMHO</t>
  </si>
  <si>
    <t>09/12/2025 REM-X-0045-00145080</t>
  </si>
  <si>
    <t>'552499</t>
  </si>
  <si>
    <t>'552899</t>
  </si>
  <si>
    <t>225/70R16 TL 103H HT RA2000 ROADCRUZA</t>
  </si>
  <si>
    <t>'527983</t>
  </si>
  <si>
    <t>'22570R17FATE</t>
  </si>
  <si>
    <t>225/70R17 108/106 S  RR MTP C FATE</t>
  </si>
  <si>
    <t>'552770</t>
  </si>
  <si>
    <t>'553007</t>
  </si>
  <si>
    <t>225/70R17 108/106S AT52 KHUMO</t>
  </si>
  <si>
    <t>'527708</t>
  </si>
  <si>
    <t>'19352</t>
  </si>
  <si>
    <t>225/70R17 108/106S AT52 KUMHO</t>
  </si>
  <si>
    <t>20/12/2024 REM-X-0004-00000845</t>
  </si>
  <si>
    <t>'511254</t>
  </si>
  <si>
    <t>'22570R17FTATR</t>
  </si>
  <si>
    <t>225/70R17 108/106S RR AT/R SERIE 4 FATE</t>
  </si>
  <si>
    <t>06/06/2024 FC-A-0022-00025609</t>
  </si>
  <si>
    <t>'552687</t>
  </si>
  <si>
    <t>225/70R17 108H GREEN MAX HP200 LINGLONG</t>
  </si>
  <si>
    <t>'553013</t>
  </si>
  <si>
    <t>'401602</t>
  </si>
  <si>
    <t>225/70R17 108S XL M+S WEST LAKE SL 369</t>
  </si>
  <si>
    <t>'552472</t>
  </si>
  <si>
    <t>'22570R17GY</t>
  </si>
  <si>
    <t>225/70R17 108T WRANGLER WORKHORSE AT XL GOODYEAR</t>
  </si>
  <si>
    <t>'8568</t>
  </si>
  <si>
    <t>'17722400</t>
  </si>
  <si>
    <t>225/70R17 110/107Q DUELER M/T 674 BRIDGESTONE</t>
  </si>
  <si>
    <t>'1624</t>
  </si>
  <si>
    <t>'3809700</t>
  </si>
  <si>
    <t>225/70R17 110Q SCORPION MTR PIRELLI</t>
  </si>
  <si>
    <t>10/06/2024 REM-X-0006-00000541</t>
  </si>
  <si>
    <t>'552706</t>
  </si>
  <si>
    <t>'4539600</t>
  </si>
  <si>
    <t>225/70R17 110T SCORPION ALL TERRAIN PLUS PIRELLI</t>
  </si>
  <si>
    <t>'9976</t>
  </si>
  <si>
    <t>'14530</t>
  </si>
  <si>
    <t>225/70R17 DUELER A/T REV2 108T BRIDGESTONE</t>
  </si>
  <si>
    <t>23/12/2023 FC-A-0022-00024070</t>
  </si>
  <si>
    <t>'553105</t>
  </si>
  <si>
    <t>'001-100-R2244</t>
  </si>
  <si>
    <t>225/70R17-108T G015 YOKOHAMA</t>
  </si>
  <si>
    <t>'527910</t>
  </si>
  <si>
    <t>225/70R17C 108/106S DUNLOP</t>
  </si>
  <si>
    <t>28/09/2024 FC-A-0022-00026861</t>
  </si>
  <si>
    <t>'528147</t>
  </si>
  <si>
    <t>'DU-324807</t>
  </si>
  <si>
    <t>225/70R17C 108/106S GRANDTREK AT20 DUNLOP</t>
  </si>
  <si>
    <t>'124823</t>
  </si>
  <si>
    <t>225/75 R16 BRIDGSTONE DUELER A/T 697 103/100S LT</t>
  </si>
  <si>
    <t>'9930</t>
  </si>
  <si>
    <t>'22464</t>
  </si>
  <si>
    <t>225/75 R16C KC53 118/116R KUMHO DE CARGA</t>
  </si>
  <si>
    <t>03/09/2025 REM-X-0004-00001144</t>
  </si>
  <si>
    <t>'527663</t>
  </si>
  <si>
    <t>'22575R15FATE</t>
  </si>
  <si>
    <t>225/75R15 108/104T RR H/T SERIE 2 TL FATE</t>
  </si>
  <si>
    <t>'552320</t>
  </si>
  <si>
    <t>'503150</t>
  </si>
  <si>
    <t>225/75R15 ROADIAN AT PRO RA8 102S NEXEN</t>
  </si>
  <si>
    <t>'4898</t>
  </si>
  <si>
    <t>'4713600000</t>
  </si>
  <si>
    <t>225/75R16  118/116R VANCO 8 MB SPRINTER</t>
  </si>
  <si>
    <t>'1663</t>
  </si>
  <si>
    <t>'1617500</t>
  </si>
  <si>
    <t>225/75R16 110S SCORPION ATR   PIRELLI</t>
  </si>
  <si>
    <t>'552319</t>
  </si>
  <si>
    <t>'378816</t>
  </si>
  <si>
    <t>225/75R16C 10T LANVIGATOR CARCHFORS VAN</t>
  </si>
  <si>
    <t>16/04/2025 FC-A-0022-00029033</t>
  </si>
  <si>
    <t>'1853</t>
  </si>
  <si>
    <t>'2291600</t>
  </si>
  <si>
    <t>225/75R16C 118R CHRONO PIRELLI</t>
  </si>
  <si>
    <t>11/03/2025 FC-A-0022-00028659</t>
  </si>
  <si>
    <t>A1</t>
  </si>
  <si>
    <t>'553026</t>
  </si>
  <si>
    <t>'553182</t>
  </si>
  <si>
    <t>225/75R16C 121/120S ROADIAN CT8 NEXEN</t>
  </si>
  <si>
    <t>'1825</t>
  </si>
  <si>
    <t>'1737700</t>
  </si>
  <si>
    <t>235/35R19 87Y P-ZERO  N2 PIRELLI</t>
  </si>
  <si>
    <t>'8504</t>
  </si>
  <si>
    <t>'10564200</t>
  </si>
  <si>
    <t>235/35R19 87Y POTENZA RE050A BRIDGESTONE</t>
  </si>
  <si>
    <t>'1826</t>
  </si>
  <si>
    <t>'2914000</t>
  </si>
  <si>
    <t>235/35R19 91Y P-ZERO XL AO1 PIRELLI</t>
  </si>
  <si>
    <t>'1802</t>
  </si>
  <si>
    <t>'2501700</t>
  </si>
  <si>
    <t>235/35R20 88Y P-ZERO  N1 PIRELLI</t>
  </si>
  <si>
    <t>'9474</t>
  </si>
  <si>
    <t>'3609600</t>
  </si>
  <si>
    <t>235/35R20 88Y P-ZERO(N1) PIRELLI --- 3609600</t>
  </si>
  <si>
    <t>'1722</t>
  </si>
  <si>
    <t>'1723000</t>
  </si>
  <si>
    <t>235/40R18 95Y P-ZERO XL MO PIRELLI</t>
  </si>
  <si>
    <t>23/04/2025 FC-A-0019-00036914</t>
  </si>
  <si>
    <t>'8503</t>
  </si>
  <si>
    <t>'10569300</t>
  </si>
  <si>
    <t>235/40R18 95Y POTENZA S001 XL BRIDGESTONE</t>
  </si>
  <si>
    <t>'9675</t>
  </si>
  <si>
    <t>'29007</t>
  </si>
  <si>
    <t>235/40R18 PS71 95Y XL KUMHO</t>
  </si>
  <si>
    <t>04/12/2023 REM-R-0009-00000421</t>
  </si>
  <si>
    <t>'1763</t>
  </si>
  <si>
    <t>'2501900</t>
  </si>
  <si>
    <t>235/40R19 92Y P-ZERO  N1 PIRELLI</t>
  </si>
  <si>
    <t>'1774</t>
  </si>
  <si>
    <t>'2419200</t>
  </si>
  <si>
    <t>235/40R19 96W P7 CINTURATO XL S-I  PIRELLI</t>
  </si>
  <si>
    <t>'8435</t>
  </si>
  <si>
    <t>'14800300</t>
  </si>
  <si>
    <t>235/40R19 96W POTENZA S001 XL BRIDGESTONE</t>
  </si>
  <si>
    <t>'462684</t>
  </si>
  <si>
    <t>235/45 R17 NEXEN NFERA SU4 97W XL</t>
  </si>
  <si>
    <t>'462642</t>
  </si>
  <si>
    <t>235/45 R18 NEXEN NFERA SU1 XL 98Y</t>
  </si>
  <si>
    <t>'401675</t>
  </si>
  <si>
    <t>235/45 R18 WEST LAKE SA07 94Y</t>
  </si>
  <si>
    <t>'1748</t>
  </si>
  <si>
    <t>'2001700</t>
  </si>
  <si>
    <t>235/45R17 94W P7 CINTURATO S-I  PIRELLI</t>
  </si>
  <si>
    <t>22/03/2024 FC-A-0022-00024935</t>
  </si>
  <si>
    <t>'8456</t>
  </si>
  <si>
    <t>'13604200</t>
  </si>
  <si>
    <t>235/45R17 94W POTENZA RE050A EXT BRIDGESTONE</t>
  </si>
  <si>
    <t>'4856</t>
  </si>
  <si>
    <t>'15481730000</t>
  </si>
  <si>
    <t>235/45R17 97W EXTREMECONTACT DW</t>
  </si>
  <si>
    <t>'552658</t>
  </si>
  <si>
    <t>'2413900</t>
  </si>
  <si>
    <t>235/45R17 97W P7 CINTURATO XL  PIRELLI --- FL24139</t>
  </si>
  <si>
    <t>'8455</t>
  </si>
  <si>
    <t>'13605200</t>
  </si>
  <si>
    <t>235/45R17 97Y POTENZA S001 BRIDGESTONE</t>
  </si>
  <si>
    <t>'527684</t>
  </si>
  <si>
    <t>'29005</t>
  </si>
  <si>
    <t>235/45R17 97Y PS71 KUMHO</t>
  </si>
  <si>
    <t>16/04/2024 FC-A-0059-00036130</t>
  </si>
  <si>
    <t>'8331</t>
  </si>
  <si>
    <t>'17571300</t>
  </si>
  <si>
    <t>235/45R17 97Y TURANZA T005 XL BRIDGESTONE</t>
  </si>
  <si>
    <t>'9823</t>
  </si>
  <si>
    <t>'235/45R17PHANTO</t>
  </si>
  <si>
    <t>235/45R17 PHANTOM PIRELLI</t>
  </si>
  <si>
    <t>'9707</t>
  </si>
  <si>
    <t>'22544</t>
  </si>
  <si>
    <t>235/45R18 94V HS51 KUMHO</t>
  </si>
  <si>
    <t>05/03/2026 REM-X-0006-00000848</t>
  </si>
  <si>
    <t>'8316</t>
  </si>
  <si>
    <t>'18546006</t>
  </si>
  <si>
    <t>235/45R18 94V TURANZA T005 BRIDGESTONE</t>
  </si>
  <si>
    <t>'1810</t>
  </si>
  <si>
    <t>'2419300</t>
  </si>
  <si>
    <t>235/45R18 94W P7 CINTURATO S-I  PIRELLI</t>
  </si>
  <si>
    <t>18/09/2023 FC-A-0019-00031410</t>
  </si>
  <si>
    <t>'9597</t>
  </si>
  <si>
    <t>'4039700</t>
  </si>
  <si>
    <t>235/45R18 94W S-I P7 CINTURATO (KS) PIRELLI</t>
  </si>
  <si>
    <t>05/05/2023 FC-A-0022-00021020</t>
  </si>
  <si>
    <t>'8368</t>
  </si>
  <si>
    <t>'16741003</t>
  </si>
  <si>
    <t>235/45R18 94W TURANZA T005A BRIDGESTONE</t>
  </si>
  <si>
    <t>'8395</t>
  </si>
  <si>
    <t>'16114200</t>
  </si>
  <si>
    <t>235/45R18 94Y TURANZA ER33 BRIDGESTONE</t>
  </si>
  <si>
    <t>'527800</t>
  </si>
  <si>
    <t>'469508</t>
  </si>
  <si>
    <t>235/45R18 98W NEXEN NFERA XL</t>
  </si>
  <si>
    <t>25/06/2024 FC-A-0200-00321150</t>
  </si>
  <si>
    <t>'552771</t>
  </si>
  <si>
    <t>'15335</t>
  </si>
  <si>
    <t>235/45R18 98W SA57 WEST LAKE</t>
  </si>
  <si>
    <t>12/01/2026 FC-A-0019-00039479</t>
  </si>
  <si>
    <t>'540051</t>
  </si>
  <si>
    <t>'552778</t>
  </si>
  <si>
    <t>235/45R18 98W XL N FERA RU1 NEXEN</t>
  </si>
  <si>
    <t>'8338</t>
  </si>
  <si>
    <t>'17302300</t>
  </si>
  <si>
    <t>235/45R18 98Y POTENZA RE050A XL BRIDGESTONE</t>
  </si>
  <si>
    <t>'9591</t>
  </si>
  <si>
    <t>'4013400</t>
  </si>
  <si>
    <t>235/45R19 95H SCORPION PIRELLI</t>
  </si>
  <si>
    <t>09/02/2024 FC-A-0022-00024561</t>
  </si>
  <si>
    <t>'539764</t>
  </si>
  <si>
    <t>'4491700</t>
  </si>
  <si>
    <t>235/45R19 95V S-I SCORPION (JP)</t>
  </si>
  <si>
    <t>26/07/2025 FC-A-0022-00029894</t>
  </si>
  <si>
    <t>'553089</t>
  </si>
  <si>
    <t>235/45R19 95W NFERA RU1 NEXEN</t>
  </si>
  <si>
    <t>'511037</t>
  </si>
  <si>
    <t>'31682</t>
  </si>
  <si>
    <t>235/50R18 101W PS31 KUMHO</t>
  </si>
  <si>
    <t>24/04/2025 REM-X-0004-00000949</t>
  </si>
  <si>
    <t>'8502</t>
  </si>
  <si>
    <t>'10574200</t>
  </si>
  <si>
    <t>235/50R18 97H TURANZA EL42 BRIDGESTONE</t>
  </si>
  <si>
    <t>'9608</t>
  </si>
  <si>
    <t>'4063200</t>
  </si>
  <si>
    <t>235/50R18 97V S-I SCORPION VERDE PIRELLI</t>
  </si>
  <si>
    <t>14/10/2025 FC-A-0022-00030436</t>
  </si>
  <si>
    <t>'1615</t>
  </si>
  <si>
    <t>'2713900</t>
  </si>
  <si>
    <t>235/50R18 97V SCORPION VERDE RUN FLAT MOE PIRELLI</t>
  </si>
  <si>
    <t>16/04/2025 FC-A-0019-00036856</t>
  </si>
  <si>
    <t>'552449</t>
  </si>
  <si>
    <t>'13850</t>
  </si>
  <si>
    <t>235/50R18 97V SPORTCONTACT 5 SUV SSR (RUN FLAT) MO</t>
  </si>
  <si>
    <t>14/10/2025 FC-A-0019-00038562</t>
  </si>
  <si>
    <t>'9587</t>
  </si>
  <si>
    <t>'3907000</t>
  </si>
  <si>
    <t>235/50R19 99H SCORPION (JP) PIRELLI</t>
  </si>
  <si>
    <t>'9774</t>
  </si>
  <si>
    <t>'4059500</t>
  </si>
  <si>
    <t>235/50R19 99H SCORPION SEAL INSIDE (JP) PIRELLI</t>
  </si>
  <si>
    <t>13/02/2026 FC-A-0022-00031329</t>
  </si>
  <si>
    <t>'8694</t>
  </si>
  <si>
    <t>'10575200</t>
  </si>
  <si>
    <t>235/50R19 99V DUELER H/P SPORT MO BRIDGESTONE</t>
  </si>
  <si>
    <t>'1917</t>
  </si>
  <si>
    <t>'1767100</t>
  </si>
  <si>
    <t>235/50R19 99W P-ZERO  MO PIRELLI</t>
  </si>
  <si>
    <t>30/03/2023 FC-A-0022-00020546</t>
  </si>
  <si>
    <t>'384585</t>
  </si>
  <si>
    <t>235/55 R18 WINDFORCE SNOWBLAZER UHP 104V XL</t>
  </si>
  <si>
    <t>'127499</t>
  </si>
  <si>
    <t>235/55 R19 BRIDGSTONE DUELER H/P SPORT RFT 101V MO</t>
  </si>
  <si>
    <t>'511070</t>
  </si>
  <si>
    <t>'32184</t>
  </si>
  <si>
    <t>235/55R17 103H TR257 XL TRIANGLE</t>
  </si>
  <si>
    <t>23/03/2024 REM-X-0008-00000281</t>
  </si>
  <si>
    <t>'553041</t>
  </si>
  <si>
    <t>235/55R17 103V RU1 NFERA NEXEN</t>
  </si>
  <si>
    <t>26/01/2026 FC-A-0022-00031199</t>
  </si>
  <si>
    <t>'539804</t>
  </si>
  <si>
    <t>'15158</t>
  </si>
  <si>
    <t>235/55R17 103W M+S XL N FERA AU5 NEXEN</t>
  </si>
  <si>
    <t>07/07/2025 FC-A-0022-00029725</t>
  </si>
  <si>
    <t>'8653</t>
  </si>
  <si>
    <t>'13157300</t>
  </si>
  <si>
    <t>235/55R17 99V DUELER H/P SPORT AO BRIDGESTONE</t>
  </si>
  <si>
    <t>'1603</t>
  </si>
  <si>
    <t>'2697800</t>
  </si>
  <si>
    <t>235/55R17 99V SCORPION VERDE  AO PIRELLI</t>
  </si>
  <si>
    <t>'1686</t>
  </si>
  <si>
    <t>'2256300</t>
  </si>
  <si>
    <t>235/55R17 99W P7 CINTURATO J PIRELLI</t>
  </si>
  <si>
    <t>'8596</t>
  </si>
  <si>
    <t>'16691200</t>
  </si>
  <si>
    <t>235/55R18 100V DUELER H/L 33 BRIDGESTONE</t>
  </si>
  <si>
    <t>'539765</t>
  </si>
  <si>
    <t>'3275800</t>
  </si>
  <si>
    <t>235/55R18 100V S-I SCORPION PIRELLI</t>
  </si>
  <si>
    <t>03/04/2025 FC-A-0022-00028906</t>
  </si>
  <si>
    <t>'9775</t>
  </si>
  <si>
    <t>'3928800</t>
  </si>
  <si>
    <t>235/55R18 104V SCORPION VERDE ALL SEASON (KS) XL P</t>
  </si>
  <si>
    <t>26/06/2025 FC-A-0019-00037535</t>
  </si>
  <si>
    <t>'540052</t>
  </si>
  <si>
    <t>235/55R18 104V XL ROADIAN HTX RH5 NEXEN</t>
  </si>
  <si>
    <t>21/08/2025 FC-A-0022-00030060</t>
  </si>
  <si>
    <t>'1835</t>
  </si>
  <si>
    <t>'2065500</t>
  </si>
  <si>
    <t>235/55R18 104Y P-ZERO XL AO PIRELLI</t>
  </si>
  <si>
    <t>'1952</t>
  </si>
  <si>
    <t>'2489700</t>
  </si>
  <si>
    <t>235/55R19 101V SCORPION VERDE RUN FLAT MOE PIRELLI</t>
  </si>
  <si>
    <t>24/10/2025 FC-A-0200-00359033</t>
  </si>
  <si>
    <t>'8693</t>
  </si>
  <si>
    <t>'10579300</t>
  </si>
  <si>
    <t>235/55R19 101W DUELER H/P SPORT AO BRIDGESTONE</t>
  </si>
  <si>
    <t>'552653</t>
  </si>
  <si>
    <t>'3408000</t>
  </si>
  <si>
    <t>235/55R19 105V SCORPION VERDE ALL SEASON PIRELLI</t>
  </si>
  <si>
    <t>'552654</t>
  </si>
  <si>
    <t>'2753500</t>
  </si>
  <si>
    <t>235/55R19 105V SCORPION VERDE XL VOL PIRELLI --- F</t>
  </si>
  <si>
    <t>'539986</t>
  </si>
  <si>
    <t>'4430400</t>
  </si>
  <si>
    <t>235/55R19 105V XL SCORPION (JP)</t>
  </si>
  <si>
    <t>'552518</t>
  </si>
  <si>
    <t>'552908</t>
  </si>
  <si>
    <t>235/55R19 105W XL NFERA SU1 NEXEN</t>
  </si>
  <si>
    <t>'9610</t>
  </si>
  <si>
    <t>'4063400</t>
  </si>
  <si>
    <t>235/55R19 105W XL S-I SCORPION VERDE ALL SEASON PI</t>
  </si>
  <si>
    <t>'553147</t>
  </si>
  <si>
    <t>'60282</t>
  </si>
  <si>
    <t>235/55R19 FM518 105V FIREMAX</t>
  </si>
  <si>
    <t>'001-100-F2355</t>
  </si>
  <si>
    <t>235/55R19-101V PA02 YOKOHAMA</t>
  </si>
  <si>
    <t>'86563</t>
  </si>
  <si>
    <t>235/60 R16 FIRESTONE DESTINATION A/T 99S P</t>
  </si>
  <si>
    <t>'384591</t>
  </si>
  <si>
    <t>235/60 R18 WINDFORCE SNOWBLAZER UHP 107H XL</t>
  </si>
  <si>
    <t>'8692</t>
  </si>
  <si>
    <t>'10581001</t>
  </si>
  <si>
    <t>235/60R16 100H DUELER H/T 687 BRIDGESTONE</t>
  </si>
  <si>
    <t>'9557</t>
  </si>
  <si>
    <t>'60195</t>
  </si>
  <si>
    <t>235/60R16 100H FM316 FIREMAX</t>
  </si>
  <si>
    <t>14/04/2026 Legajo del Producto...</t>
  </si>
  <si>
    <t>'1668</t>
  </si>
  <si>
    <t>'3778800</t>
  </si>
  <si>
    <t>235/60R16 100H FORMULA S/T</t>
  </si>
  <si>
    <t>14/01/2021 FC-A-0022-00011563</t>
  </si>
  <si>
    <t>'9808</t>
  </si>
  <si>
    <t>'399951</t>
  </si>
  <si>
    <t>235/60R16 100H M+S WEST LAKE RP28</t>
  </si>
  <si>
    <t>23/01/2023 REM-R-0008-00000113</t>
  </si>
  <si>
    <t>'1633</t>
  </si>
  <si>
    <t>'2268200</t>
  </si>
  <si>
    <t>235/60R16 100H SCORPION VERDE ALL SEASON PIRELLI</t>
  </si>
  <si>
    <t>21/08/2024 FC-A-0019-00034389</t>
  </si>
  <si>
    <t>'511039</t>
  </si>
  <si>
    <t>'32251</t>
  </si>
  <si>
    <t>235/60R16 100H TE301 TRIANGLE</t>
  </si>
  <si>
    <t>06/06/2024 REM-X-0004-00000536</t>
  </si>
  <si>
    <t>'552505</t>
  </si>
  <si>
    <t>'14482</t>
  </si>
  <si>
    <t>235/60R16 WEST LAKE RP28</t>
  </si>
  <si>
    <t>'9719</t>
  </si>
  <si>
    <t>'60279</t>
  </si>
  <si>
    <t>235/60R17 102H FM518 FIREMAX</t>
  </si>
  <si>
    <t>'4604</t>
  </si>
  <si>
    <t>'3549030000</t>
  </si>
  <si>
    <t>235/60R17 102V CONTINENTAL 4X4CONTACT XL FR MB GLK</t>
  </si>
  <si>
    <t>'8629</t>
  </si>
  <si>
    <t>'15090200</t>
  </si>
  <si>
    <t>235/60R17 102V DUELER H/L 400 MO BRIDGESTONE</t>
  </si>
  <si>
    <t>'9827</t>
  </si>
  <si>
    <t>'33073</t>
  </si>
  <si>
    <t>235/60R17 102V TRIANGLE TR259</t>
  </si>
  <si>
    <t>02/05/2023 REM-R-0004-00000696</t>
  </si>
  <si>
    <t>'9820</t>
  </si>
  <si>
    <t>'OVER235/60R18PZ</t>
  </si>
  <si>
    <t>235/60R18 103V P-ZERO ROSSO</t>
  </si>
  <si>
    <t>'539777</t>
  </si>
  <si>
    <t>'1780200</t>
  </si>
  <si>
    <t>235/60R18 103V SCORPION ZERO PIRELLI --- FL1780200</t>
  </si>
  <si>
    <t>'8691</t>
  </si>
  <si>
    <t>'10583300</t>
  </si>
  <si>
    <t>235/60R18 103W DUELER H/P SPORT AO BRIDGESTONE</t>
  </si>
  <si>
    <t>02/05/2023 REM-R-0008-00000166</t>
  </si>
  <si>
    <t>'9584</t>
  </si>
  <si>
    <t>'3102200</t>
  </si>
  <si>
    <t>235/60R18 107V SCORPION VERDE ALL SEASON (LR5) XL</t>
  </si>
  <si>
    <t>09/03/2026 FC-A-0022-00031443</t>
  </si>
  <si>
    <t>'9609</t>
  </si>
  <si>
    <t>'4063300</t>
  </si>
  <si>
    <t>235/60R18 107V XL S-I SCORPION VERDE ALL SEASON PI</t>
  </si>
  <si>
    <t>18/06/2025 FC-A-0019-00037464</t>
  </si>
  <si>
    <t>'553151</t>
  </si>
  <si>
    <t>'60272</t>
  </si>
  <si>
    <t>235/60R18 FM518 XL 107V FIREMAX</t>
  </si>
  <si>
    <t>'32216</t>
  </si>
  <si>
    <t>235/60R18 TR257 13V TRIANGLE</t>
  </si>
  <si>
    <t>22/01/2026 REM-X-0006-00000782</t>
  </si>
  <si>
    <t>'47815</t>
  </si>
  <si>
    <t>235/65 R17 BRIDGSTONE TURANZA T005 XL 108V</t>
  </si>
  <si>
    <t>'469614</t>
  </si>
  <si>
    <t>'6890</t>
  </si>
  <si>
    <t>235/65 R17 NEXEN N-FERA RU5 108V</t>
  </si>
  <si>
    <t>30/06/2025 FC-A-0022-00029669</t>
  </si>
  <si>
    <t>'469615</t>
  </si>
  <si>
    <t>235/65 R17 NEXEN NFERA RU5 XL 108V</t>
  </si>
  <si>
    <t>'539988</t>
  </si>
  <si>
    <t>'14089</t>
  </si>
  <si>
    <t>235/65R16C 1151/113R GREENMAX VAN HP LING LONG</t>
  </si>
  <si>
    <t>16/12/2025 REM-X-0006-00000708</t>
  </si>
  <si>
    <t>'9736</t>
  </si>
  <si>
    <t>'235/65R16CNEXEN</t>
  </si>
  <si>
    <t>235/65R16C NEXEN ROADIAN CT8</t>
  </si>
  <si>
    <t>04/12/2024 FC-A-0200-00332414</t>
  </si>
  <si>
    <t>'1591</t>
  </si>
  <si>
    <t>'2722100</t>
  </si>
  <si>
    <t>235/65R17 108H SCORPION ALL TERRAIN PLUS XL PIRELL</t>
  </si>
  <si>
    <t>26/03/2026 FC-A-0022-00031537</t>
  </si>
  <si>
    <t>'511277</t>
  </si>
  <si>
    <t>'4230900</t>
  </si>
  <si>
    <t>235/65R17 108H XL SCORPION ALL TERRAIN PLUS WL PIR</t>
  </si>
  <si>
    <t>'511278</t>
  </si>
  <si>
    <t>'4232700</t>
  </si>
  <si>
    <t>235/65R17 108H XL SCORPION HT WL PIRELLI</t>
  </si>
  <si>
    <t>11/06/2024 FC-A-0022-00025719</t>
  </si>
  <si>
    <t>'539994</t>
  </si>
  <si>
    <t>'4231000</t>
  </si>
  <si>
    <t>235/65R17 108H XL SCORPION PIRELLI</t>
  </si>
  <si>
    <t>27/05/2025 FC-A-0022-00029400</t>
  </si>
  <si>
    <t>'552690</t>
  </si>
  <si>
    <t>235/65R17 108V CROSSWING 4X4 HP LINGLONG</t>
  </si>
  <si>
    <t>05/08/2025 REM-X-0055-00354737</t>
  </si>
  <si>
    <t>'8683</t>
  </si>
  <si>
    <t>'10958003</t>
  </si>
  <si>
    <t>235/65R17 108V DUELER H/P SPORT AS BRIDGESTONE</t>
  </si>
  <si>
    <t>'8630</t>
  </si>
  <si>
    <t>'15078300</t>
  </si>
  <si>
    <t>235/65R17 108V DUELER H/P SPORT XL TL BRIDGESTONE</t>
  </si>
  <si>
    <t>'539778</t>
  </si>
  <si>
    <t>'2369200</t>
  </si>
  <si>
    <t>235/65R17 108V SCORPION VERDE ALL SEASON XL PIRELL</t>
  </si>
  <si>
    <t>'1589</t>
  </si>
  <si>
    <t>'1805900</t>
  </si>
  <si>
    <t>235/65R17 108V SCORPION VERDE XL PIRELLI</t>
  </si>
  <si>
    <t>23/05/2023 FC-A-0019-00030364</t>
  </si>
  <si>
    <t>'553146</t>
  </si>
  <si>
    <t>'60268</t>
  </si>
  <si>
    <t>235/65R17 FM518 XL 108H FIREMAX</t>
  </si>
  <si>
    <t>'539980</t>
  </si>
  <si>
    <t>'21721</t>
  </si>
  <si>
    <t>235/65R17 KUMHO KL33</t>
  </si>
  <si>
    <t>'9579</t>
  </si>
  <si>
    <t>'32214</t>
  </si>
  <si>
    <t>235/65R17 TR257 104T TRIANGLE</t>
  </si>
  <si>
    <t>29/12/2022 REM-R-0006-00000281</t>
  </si>
  <si>
    <t>'540019</t>
  </si>
  <si>
    <t>'32293</t>
  </si>
  <si>
    <t>235/65R17 TR259 108V TRIANGLE</t>
  </si>
  <si>
    <t>09/04/2025 REM-X-0045-00136069</t>
  </si>
  <si>
    <t>'9690</t>
  </si>
  <si>
    <t>'32213</t>
  </si>
  <si>
    <t>235/65R17 TR292 104T TRIANGLE</t>
  </si>
  <si>
    <t>30/03/2026 REM-X-0004-00001332</t>
  </si>
  <si>
    <t>'8649</t>
  </si>
  <si>
    <t>'13624200</t>
  </si>
  <si>
    <t>235/65R18 106H DUELER H/P SPORT BRIDGESTONE</t>
  </si>
  <si>
    <t>'499200</t>
  </si>
  <si>
    <t>235/70 R16 NEXEN ROADIAN HT SUV 106S M+S</t>
  </si>
  <si>
    <t>'8674</t>
  </si>
  <si>
    <t>'11370002</t>
  </si>
  <si>
    <t>235/70R16 104/101S DESTINATION A/T FIRESTONE</t>
  </si>
  <si>
    <t>'9324</t>
  </si>
  <si>
    <t>'3955500</t>
  </si>
  <si>
    <t>235/70R16 104T SCORPION HT PIRELLI</t>
  </si>
  <si>
    <t>22/09/2023 FC-A-0022-00022723</t>
  </si>
  <si>
    <t>'553090</t>
  </si>
  <si>
    <t>'553224</t>
  </si>
  <si>
    <t>235/70R16 104T TL A929 AT APLUS</t>
  </si>
  <si>
    <t>'1676</t>
  </si>
  <si>
    <t>'1731400</t>
  </si>
  <si>
    <t>235/70R16 105T SCORPION ATR PIRELLI</t>
  </si>
  <si>
    <t>08/06/2024 FC-A-0022-00025650</t>
  </si>
  <si>
    <t>'540042</t>
  </si>
  <si>
    <t>235/70R16 106H LANVIGATOR PERFORMAX</t>
  </si>
  <si>
    <t>14/10/2025 FC-A-0022-00030441</t>
  </si>
  <si>
    <t>'552682</t>
  </si>
  <si>
    <t>235/70R16 106H ZMAX GPRO</t>
  </si>
  <si>
    <t>13/02/2026 REM-X-0004-00001296</t>
  </si>
  <si>
    <t>'32201</t>
  </si>
  <si>
    <t>235/70R16 106S TR292 TRIANGLE</t>
  </si>
  <si>
    <t>27/01/2026 REM-X-0006-00000793</t>
  </si>
  <si>
    <t>'527977</t>
  </si>
  <si>
    <t>'23570R16CONTI</t>
  </si>
  <si>
    <t>235/70R16 106T CROSSCONTACT ATR  FR CONTINENTAL</t>
  </si>
  <si>
    <t>'8622</t>
  </si>
  <si>
    <t>'16031002</t>
  </si>
  <si>
    <t>235/70R16 106T DUELER A/T REVO 2 BRIDGESTONE</t>
  </si>
  <si>
    <t>'1677</t>
  </si>
  <si>
    <t>'2721300</t>
  </si>
  <si>
    <t>235/70R16 106T SCORPION ALL TERRAIN PLUS PIRELLI</t>
  </si>
  <si>
    <t>03/06/2024 REM-X-0004-00000527</t>
  </si>
  <si>
    <t>'9801</t>
  </si>
  <si>
    <t>'PC2357016109T</t>
  </si>
  <si>
    <t>235/70R16 109T PACE</t>
  </si>
  <si>
    <t>25/10/2024 FC-A-0022-00027120</t>
  </si>
  <si>
    <t>'4734</t>
  </si>
  <si>
    <t>'F23670LTRHT2DZ</t>
  </si>
  <si>
    <t>235/70R16 110/107T TL RR H/T SERIE 2 FATE</t>
  </si>
  <si>
    <t>'9521</t>
  </si>
  <si>
    <t>'415046</t>
  </si>
  <si>
    <t>235/70R16 WEST LAKE SW606 106T M+S</t>
  </si>
  <si>
    <t>30/04/2022 FC-A-0200-00268868</t>
  </si>
  <si>
    <t>'1636</t>
  </si>
  <si>
    <t>'3820900</t>
  </si>
  <si>
    <t>235/75R15 104S FORMULA S/T</t>
  </si>
  <si>
    <t>23/09/2025 FC-A-0022-00030273</t>
  </si>
  <si>
    <t>'528148</t>
  </si>
  <si>
    <t>'DU-350717</t>
  </si>
  <si>
    <t>235/75R15 105S GRANDTREK AT5 DUNLOP</t>
  </si>
  <si>
    <t>'528046</t>
  </si>
  <si>
    <t>'14760</t>
  </si>
  <si>
    <t>235/75R15 105S LANVIGATOR PRIMETOUR</t>
  </si>
  <si>
    <t>31/01/2025 FC-A-0022-00028238</t>
  </si>
  <si>
    <t>'553099</t>
  </si>
  <si>
    <t>'553252</t>
  </si>
  <si>
    <t>235/75R15 109S /TL VERSANT A/T COMPASAL</t>
  </si>
  <si>
    <t>'552988</t>
  </si>
  <si>
    <t>235/75R15 109S TL A929 AT APLUS</t>
  </si>
  <si>
    <t>'511139</t>
  </si>
  <si>
    <t>'32207</t>
  </si>
  <si>
    <t>235/75R15 109S TR292 TRIANGLE</t>
  </si>
  <si>
    <t>02/05/2026 REM-X-0006-00000895</t>
  </si>
  <si>
    <t>'510996</t>
  </si>
  <si>
    <t>'60715</t>
  </si>
  <si>
    <t>235/75R15 109T FM501 FIREMAX</t>
  </si>
  <si>
    <t>'527827</t>
  </si>
  <si>
    <t>'17835</t>
  </si>
  <si>
    <t>235/75R15 110/107Q ROAD VENTURE MT51 KUMHO</t>
  </si>
  <si>
    <t>'9680</t>
  </si>
  <si>
    <t>'PC2357515107S</t>
  </si>
  <si>
    <t>235/75R15 110/107S 8PR TOLEDO PACE</t>
  </si>
  <si>
    <t>29/07/2025 REM-X-0004-00001099</t>
  </si>
  <si>
    <t>'527982</t>
  </si>
  <si>
    <t>'23575R15FATE</t>
  </si>
  <si>
    <t>235/75R15 110/109Q RR MT SERIE2 S/C FATE</t>
  </si>
  <si>
    <t>'1637</t>
  </si>
  <si>
    <t>'2633900</t>
  </si>
  <si>
    <t>235/75R15 110T SCORPION ATR STREET   PIRELLI</t>
  </si>
  <si>
    <t>19/07/2022 FC-A-0022-00017433</t>
  </si>
  <si>
    <t>'9114</t>
  </si>
  <si>
    <t>'3955300</t>
  </si>
  <si>
    <t>235/75R15 110T SCORPION HT PIRELLI</t>
  </si>
  <si>
    <t>05/05/2026 FC-A-0022-00031802</t>
  </si>
  <si>
    <t>'528042</t>
  </si>
  <si>
    <t>'14761</t>
  </si>
  <si>
    <t>235/75R15 6T AT LANVIGATOR CATCHFORS</t>
  </si>
  <si>
    <t>20/01/2025 FC-A-0022-00028074</t>
  </si>
  <si>
    <t>'528038</t>
  </si>
  <si>
    <t>'14804</t>
  </si>
  <si>
    <t>235/75R15 ROADIAN AT PRO RA8 NEXEN</t>
  </si>
  <si>
    <t>02/09/2025 FC-A-0022-00030143</t>
  </si>
  <si>
    <t>'552500</t>
  </si>
  <si>
    <t>'552898</t>
  </si>
  <si>
    <t>235/75R15 TL 104R RA7000 X/T AT ROADCRUZA</t>
  </si>
  <si>
    <t>01/07/2025 FC-A-0022-00029684</t>
  </si>
  <si>
    <t>'539952</t>
  </si>
  <si>
    <t>235/75R15 WINDFORCE CATCHFORS AT</t>
  </si>
  <si>
    <t>25/09/2025 FC-A-0022-00030293</t>
  </si>
  <si>
    <t>'552471</t>
  </si>
  <si>
    <t>'23575R15GY</t>
  </si>
  <si>
    <t>235/75R15 WRANGLER WORKHORSE AT 1095 XL GOODYEAR</t>
  </si>
  <si>
    <t>'540060</t>
  </si>
  <si>
    <t>'552776</t>
  </si>
  <si>
    <t>235/75R15C 6T SL366 MT ( TIPO MUD) WEST LAKE</t>
  </si>
  <si>
    <t>14/04/2025 FC-A-0022-00029005</t>
  </si>
  <si>
    <t>'528149</t>
  </si>
  <si>
    <t>'DU-329028</t>
  </si>
  <si>
    <t>235/75R17.5 132/130 M DUNLOP SP320</t>
  </si>
  <si>
    <t>'8564</t>
  </si>
  <si>
    <t>'17853200</t>
  </si>
  <si>
    <t>235/85R16 114/111R DUELER A/T 697 BRIDGESTONE</t>
  </si>
  <si>
    <t>01/03/2021 FC-A-0022-00011999</t>
  </si>
  <si>
    <t>'539953</t>
  </si>
  <si>
    <t>'13751</t>
  </si>
  <si>
    <t>235/85R16 WINDFORCE CATCHFORS MT 120/116Q</t>
  </si>
  <si>
    <t>'462678</t>
  </si>
  <si>
    <t>245/35 R20 NEXEN NFERA SU1 XL 95Y</t>
  </si>
  <si>
    <t>'1691</t>
  </si>
  <si>
    <t>'1992500</t>
  </si>
  <si>
    <t>245/35R18 88Y P-ZERO (*) RUN FLAT  PIRELLI</t>
  </si>
  <si>
    <t>24/02/2022 REM-R-0022-00015866</t>
  </si>
  <si>
    <t>'1790</t>
  </si>
  <si>
    <t>'2617400</t>
  </si>
  <si>
    <t>245/35R20 91Y P-ZERO (N1) PIRELLI --- 2617400</t>
  </si>
  <si>
    <t>13/07/2023 FC-A-0022-00021844</t>
  </si>
  <si>
    <t>'460467</t>
  </si>
  <si>
    <t>245/40 R17 NEXEN N8000 95W XL</t>
  </si>
  <si>
    <t>'75500</t>
  </si>
  <si>
    <t>245/40 R20 BRIDGSTONE POTENZA S001 XL RFT 99Y</t>
  </si>
  <si>
    <t>'9951</t>
  </si>
  <si>
    <t>'OVER245/40R17 9</t>
  </si>
  <si>
    <t>245/40R17 91W P-ZERO ROSSO PIRELLI</t>
  </si>
  <si>
    <t>'1756</t>
  </si>
  <si>
    <t>'2153700</t>
  </si>
  <si>
    <t>245/40R17 91W P7 CINTURATO  MO PIRELLI</t>
  </si>
  <si>
    <t>'1707</t>
  </si>
  <si>
    <t>'1949400</t>
  </si>
  <si>
    <t>245/40R18 97Y P-ZERO XL MO PIRELLI</t>
  </si>
  <si>
    <t>04/04/2025 FC-A-0019-00036718</t>
  </si>
  <si>
    <t>'1708</t>
  </si>
  <si>
    <t>'2714100</t>
  </si>
  <si>
    <t>245/40R18 97Y P7 CINTURATO XL RUN FLAT MOE PIRELLI</t>
  </si>
  <si>
    <t>30/08/2024 FC-A-0022-00026598</t>
  </si>
  <si>
    <t>'1770</t>
  </si>
  <si>
    <t>'2505900</t>
  </si>
  <si>
    <t>245/40R19 94W P7 CINTURATO S-I  PIRELLI</t>
  </si>
  <si>
    <t>'1782</t>
  </si>
  <si>
    <t>'2478700</t>
  </si>
  <si>
    <t>245/40R19 98Y P7 CINTURATO(*) XL RUN FLAT MOE PIRE</t>
  </si>
  <si>
    <t>'8976</t>
  </si>
  <si>
    <t>'2979800</t>
  </si>
  <si>
    <t>245/40R20 99Y P-ZERO XL RUN FLAT  PIRELLI</t>
  </si>
  <si>
    <t>'8583</t>
  </si>
  <si>
    <t>'17134300</t>
  </si>
  <si>
    <t>245/40R21 100Y ALENZA 001 XL RFT BRIDGESTONE</t>
  </si>
  <si>
    <t>'460510</t>
  </si>
  <si>
    <t>245/45 R17 NEXEN N8000 XL 99W</t>
  </si>
  <si>
    <t>'82900</t>
  </si>
  <si>
    <t>245/45 R18 BRIDGSTONE POTENZA RE050A RFT 96W</t>
  </si>
  <si>
    <t>'47817</t>
  </si>
  <si>
    <t>245/45 R20 BRIDGSTONE TURANZA T005 AD XL 103Y</t>
  </si>
  <si>
    <t>'1745</t>
  </si>
  <si>
    <t>'1830000</t>
  </si>
  <si>
    <t>245/45R17 99Y P7 CINTURATO XL MO PIRELLI</t>
  </si>
  <si>
    <t>30/07/2025 FC-A-0022-00029910</t>
  </si>
  <si>
    <t>'8978</t>
  </si>
  <si>
    <t>'3573400</t>
  </si>
  <si>
    <t>245/45R18 100Y XL P7 CINTURATO (MO) PIRELLI</t>
  </si>
  <si>
    <t>'8476</t>
  </si>
  <si>
    <t>'11798300</t>
  </si>
  <si>
    <t>245/45R18 96W POTENZA RE050A ECOPIA BRIDGESTONE</t>
  </si>
  <si>
    <t>'1807</t>
  </si>
  <si>
    <t>'2074800</t>
  </si>
  <si>
    <t>245/45R18 96Y P7 CINTURATO (*) RUN FLAT  PIRELLI</t>
  </si>
  <si>
    <t>15/12/2025 FC-A-0022-00030930</t>
  </si>
  <si>
    <t>'511043</t>
  </si>
  <si>
    <t>'21476</t>
  </si>
  <si>
    <t>245/45R19 98H KL33 KUMHO</t>
  </si>
  <si>
    <t>'1800</t>
  </si>
  <si>
    <t>'2544300</t>
  </si>
  <si>
    <t>245/45R19 98Y P-ZERO (*) RUN FLAT  PIRELLI</t>
  </si>
  <si>
    <t>21/05/2024 REM-X-0004-00000507</t>
  </si>
  <si>
    <t>'9689</t>
  </si>
  <si>
    <t>'29014</t>
  </si>
  <si>
    <t>245/45R19 PS71 102Y KUMHO</t>
  </si>
  <si>
    <t>16/03/2023 REM-R-0006-00000363</t>
  </si>
  <si>
    <t>'1973</t>
  </si>
  <si>
    <t>'3407900</t>
  </si>
  <si>
    <t>245/45R20 103W SCORPION VERDE ALL SEASON XL LR3 PI</t>
  </si>
  <si>
    <t>'1972</t>
  </si>
  <si>
    <t>'1791700</t>
  </si>
  <si>
    <t>245/45R20 103Y P-ZERO XL PIRELLI</t>
  </si>
  <si>
    <t>28/02/2024 FC-A-0022-00024745</t>
  </si>
  <si>
    <t>'45180</t>
  </si>
  <si>
    <t>245/50 R18 BRIDGSTONE TURANZA ER30 100W</t>
  </si>
  <si>
    <t>'1837</t>
  </si>
  <si>
    <t>'2136900</t>
  </si>
  <si>
    <t>245/50R18 100W P7 CINTURATO (*) RUN FLAT  PIRELLI</t>
  </si>
  <si>
    <t>28/12/2022 FC-A-0022-00019362</t>
  </si>
  <si>
    <t>'9865</t>
  </si>
  <si>
    <t>'69581</t>
  </si>
  <si>
    <t>245/50R18 100Y BRIDGESTONE POTENZA S001 RUN FLAT</t>
  </si>
  <si>
    <t>16/05/2023 REM-R-0009-00000369</t>
  </si>
  <si>
    <t>'1838</t>
  </si>
  <si>
    <t>'2315700</t>
  </si>
  <si>
    <t>245/50R18 100Y P-ZERO  N1 PIRELLI</t>
  </si>
  <si>
    <t>'1840</t>
  </si>
  <si>
    <t>'1789000</t>
  </si>
  <si>
    <t>245/50R18 100Y P-ZERO (*) RUN FLAT  PIRELLI</t>
  </si>
  <si>
    <t>'1836</t>
  </si>
  <si>
    <t>'2467700</t>
  </si>
  <si>
    <t>245/50R18 100Y P7 CINTURATO (*)  PIRELLI</t>
  </si>
  <si>
    <t>'2332000</t>
  </si>
  <si>
    <t>245/50R18 100Y P7 CINTURATO RUN FLAT PIRELLI</t>
  </si>
  <si>
    <t>'422100</t>
  </si>
  <si>
    <t>245/60 R18 GOODRIDE SW606 105T</t>
  </si>
  <si>
    <t>'422110</t>
  </si>
  <si>
    <t>245/60 R18 WEST LAKE SW606 105T</t>
  </si>
  <si>
    <t>'124700</t>
  </si>
  <si>
    <t>245/65 R17 BRIDGSTONE DUELER A/T REVO 2 111T</t>
  </si>
  <si>
    <t>'126150</t>
  </si>
  <si>
    <t>245/65 R17 BRIDGSTONE HT684 III 111T</t>
  </si>
  <si>
    <t>'8635</t>
  </si>
  <si>
    <t>'14946005</t>
  </si>
  <si>
    <t>245/65R17 105S DUELER A/T REVO 2 OWL BRIDGESTONE</t>
  </si>
  <si>
    <t>'510993</t>
  </si>
  <si>
    <t>'21694</t>
  </si>
  <si>
    <t>245/65R17 105T AT51 KUMHO</t>
  </si>
  <si>
    <t>30/11/2023 REM-R-0009-00000081</t>
  </si>
  <si>
    <t>'540041</t>
  </si>
  <si>
    <t>245/65R17 107H CATCHPOWER LANVIGATOR</t>
  </si>
  <si>
    <t>'552891</t>
  </si>
  <si>
    <t>'378455</t>
  </si>
  <si>
    <t>245/65R17 107H PERFORMAX M+S LANVIGATOR</t>
  </si>
  <si>
    <t>'540001</t>
  </si>
  <si>
    <t>245/65R17 107S ROADIAN HT NEXEN</t>
  </si>
  <si>
    <t>28/01/2025 FC-A-0022-00028179</t>
  </si>
  <si>
    <t>'552775</t>
  </si>
  <si>
    <t>245/65R17 107T WINDFORCE CATCHFORS A/T</t>
  </si>
  <si>
    <t>'1585</t>
  </si>
  <si>
    <t>'2340900</t>
  </si>
  <si>
    <t>245/65R17 111H SCORPION VERDE ALL SEASON XL PIRELL</t>
  </si>
  <si>
    <t>07/01/2026 FC-A-0019-00039425</t>
  </si>
  <si>
    <t>'552521</t>
  </si>
  <si>
    <t>'552910</t>
  </si>
  <si>
    <t>245/65R17 111S ROADIAN AT PRO NEXEN</t>
  </si>
  <si>
    <t>'8662</t>
  </si>
  <si>
    <t>'12810001</t>
  </si>
  <si>
    <t>245/65R17 111T DUELER H/T 684 III BRIDGESTONE</t>
  </si>
  <si>
    <t>'1587</t>
  </si>
  <si>
    <t>'2722200</t>
  </si>
  <si>
    <t>245/65R17 111T SCORPION ALL TERRAIN PLUS XL  PIREL</t>
  </si>
  <si>
    <t>12/08/2024 REM-X-0006-00000491</t>
  </si>
  <si>
    <t>'528100</t>
  </si>
  <si>
    <t>'4467200</t>
  </si>
  <si>
    <t>245/65R17 111T SCORPION ALL TERRAIN PLUS XL PIRELL</t>
  </si>
  <si>
    <t>'1586</t>
  </si>
  <si>
    <t>'2713800</t>
  </si>
  <si>
    <t>245/65R17 111T SCORPION ATR XL PIRELLI</t>
  </si>
  <si>
    <t>23/12/2024 REM-X-0008-00000513</t>
  </si>
  <si>
    <t>'9694</t>
  </si>
  <si>
    <t>'32270</t>
  </si>
  <si>
    <t>245/65R17 111T TR257 XL TRIANGLE</t>
  </si>
  <si>
    <t>'511142</t>
  </si>
  <si>
    <t>'32219</t>
  </si>
  <si>
    <t>245/65R17 111T TR292 XL TRIANGLE</t>
  </si>
  <si>
    <t>18/02/2026 REM-X-0006-00000828</t>
  </si>
  <si>
    <t>G5</t>
  </si>
  <si>
    <t>'9585</t>
  </si>
  <si>
    <t>'3820700</t>
  </si>
  <si>
    <t>245/65R17 111T XL SCORPION ATR PIRELLI</t>
  </si>
  <si>
    <t>21/10/2025 FC-A-0022-00030487</t>
  </si>
  <si>
    <t>'553040</t>
  </si>
  <si>
    <t>'4586800</t>
  </si>
  <si>
    <t>'527828</t>
  </si>
  <si>
    <t>'19345</t>
  </si>
  <si>
    <t>245/65R17 AT52 KUMHO</t>
  </si>
  <si>
    <t>'553009</t>
  </si>
  <si>
    <t>'3216</t>
  </si>
  <si>
    <t>245/65R17 CROSSCONTACT LX CONTINENTAL</t>
  </si>
  <si>
    <t>05/05/2026 FC-A-0022-00031811</t>
  </si>
  <si>
    <t>'552536</t>
  </si>
  <si>
    <t>'60725</t>
  </si>
  <si>
    <t>245/65R17 FM501 107T FIREMAX</t>
  </si>
  <si>
    <t>'553150</t>
  </si>
  <si>
    <t>'60286</t>
  </si>
  <si>
    <t>245/65R17 FM518 111H XL  FIREMAX</t>
  </si>
  <si>
    <t>'552481</t>
  </si>
  <si>
    <t>245/65R17 TL 111S RA1100 ROADCRUZA</t>
  </si>
  <si>
    <t>30/04/2025 FC-A-0022-00029165</t>
  </si>
  <si>
    <t>'4731</t>
  </si>
  <si>
    <t>'F24670LTRAT4DZ</t>
  </si>
  <si>
    <t>245/70 R16 113/110T RR AT SERIE 4 FATE</t>
  </si>
  <si>
    <t>'123900</t>
  </si>
  <si>
    <t>245/70 R16 BRIDGSTONE DUELER A/T REVO2 111T</t>
  </si>
  <si>
    <t>'125900</t>
  </si>
  <si>
    <t>245/70 R16 BRIDGSTONE HT684 III 111T ECOPIA</t>
  </si>
  <si>
    <t>'415045</t>
  </si>
  <si>
    <t>245/70 R16 WEST LAKE SW606 107T</t>
  </si>
  <si>
    <t>'4572</t>
  </si>
  <si>
    <t>'3544190000</t>
  </si>
  <si>
    <t>245/70R16  111T CONTICROSSCONTACT LX 2 VW AMAROK</t>
  </si>
  <si>
    <t>'511147</t>
  </si>
  <si>
    <t>'22305</t>
  </si>
  <si>
    <t>245/70R16 107H HP71 KUMHO</t>
  </si>
  <si>
    <t>19/08/2024 REM-X-0045-00125556</t>
  </si>
  <si>
    <t>'552540</t>
  </si>
  <si>
    <t>'60720</t>
  </si>
  <si>
    <t>245/70R16 107T FIREMAX FM501</t>
  </si>
  <si>
    <t>07/02/2026 REM-X-0006-00000814</t>
  </si>
  <si>
    <t>09/02/2026 Legajo del Producto...</t>
  </si>
  <si>
    <t>'553114</t>
  </si>
  <si>
    <t>245/70R16 107T LANVIGATOR CATCHFORS</t>
  </si>
  <si>
    <t>'553016</t>
  </si>
  <si>
    <t>245/70R16 107T WINDFORCE CATCHFORS A/T</t>
  </si>
  <si>
    <t>'553110</t>
  </si>
  <si>
    <t>'001-100-S0358</t>
  </si>
  <si>
    <t>245/70R16 111H G018 YOKOHAMA</t>
  </si>
  <si>
    <t>'527927</t>
  </si>
  <si>
    <t>'32203</t>
  </si>
  <si>
    <t>245/70R16 111S TR292 TRIANGLE</t>
  </si>
  <si>
    <t>'511150</t>
  </si>
  <si>
    <t>'19315</t>
  </si>
  <si>
    <t>245/70R16 111T AT52 KUMHO</t>
  </si>
  <si>
    <t>'8615</t>
  </si>
  <si>
    <t>'16138001</t>
  </si>
  <si>
    <t>245/70R16 111T DUELER A/T 696 BRIDGESTONE</t>
  </si>
  <si>
    <t>17/03/2023 REM-R-0006-00000364</t>
  </si>
  <si>
    <t>'8661</t>
  </si>
  <si>
    <t>'12811006</t>
  </si>
  <si>
    <t>245/70R16 111T DUELER H/T 684 III ECOPIA BRIDGESTO</t>
  </si>
  <si>
    <t>'9936</t>
  </si>
  <si>
    <t>'21812</t>
  </si>
  <si>
    <t>245/70R16 111T HT51 XL KUMHO</t>
  </si>
  <si>
    <t>04/03/2024 REM-R-0004-00000344</t>
  </si>
  <si>
    <t>'1674</t>
  </si>
  <si>
    <t>'1864000</t>
  </si>
  <si>
    <t>245/70R16 111T SCORPION ATR XL  PIRELLI</t>
  </si>
  <si>
    <t>26/01/2026 FC-A-0022-00031204</t>
  </si>
  <si>
    <t>'527707</t>
  </si>
  <si>
    <t>'32004</t>
  </si>
  <si>
    <t>245/70R16 111T TR257 TRIANGLE</t>
  </si>
  <si>
    <t>15/08/2024 REM-X-0004-00000670</t>
  </si>
  <si>
    <t>'8575</t>
  </si>
  <si>
    <t>'17247400</t>
  </si>
  <si>
    <t>245/70R16 113/110Q DUELER M/T 674 8 TELAS BRIDGEST</t>
  </si>
  <si>
    <t>'510998</t>
  </si>
  <si>
    <t>'60910</t>
  </si>
  <si>
    <t>245/70R16 113/110Q FM523 FIREMAX</t>
  </si>
  <si>
    <t>'6805</t>
  </si>
  <si>
    <t>'2825400</t>
  </si>
  <si>
    <t>245/70R16 113T FORMULA S/T</t>
  </si>
  <si>
    <t>11/04/2025 FC-A-0022-00028989</t>
  </si>
  <si>
    <t>'9583</t>
  </si>
  <si>
    <t>'2723300</t>
  </si>
  <si>
    <t>245/70R16 113T SCORPION ALL TERRAIN PLUS PIRELLI</t>
  </si>
  <si>
    <t>30/10/2023 FC-A-0022-00023222</t>
  </si>
  <si>
    <t>'539989</t>
  </si>
  <si>
    <t>'2721400</t>
  </si>
  <si>
    <t>245/70R16 113T SCORPION ALL TERRAIN PLUS XL</t>
  </si>
  <si>
    <t>29/01/2026 FC-A-0022-00031223</t>
  </si>
  <si>
    <t>'9325</t>
  </si>
  <si>
    <t>'3929500</t>
  </si>
  <si>
    <t>245/70R16 113T SCORPION HT PIRELLI</t>
  </si>
  <si>
    <t>26/02/2026 FC-A-0022-00031385</t>
  </si>
  <si>
    <t>'552470</t>
  </si>
  <si>
    <t>'24570R16GY</t>
  </si>
  <si>
    <t>245/70R16 113T WRANGLER WORKHORSE AT GOODYEAR</t>
  </si>
  <si>
    <t>'528039</t>
  </si>
  <si>
    <t>'14773</t>
  </si>
  <si>
    <t>245/70R16 HT 107S ROADIAN HT NEXEN</t>
  </si>
  <si>
    <t>'552421</t>
  </si>
  <si>
    <t>'24570R16LANVIG</t>
  </si>
  <si>
    <t>245/70R16 LANVIGATOR PERFOMAX</t>
  </si>
  <si>
    <t>'552871</t>
  </si>
  <si>
    <t>'31784</t>
  </si>
  <si>
    <t>245/70R16 MT51 118/115 KUMHO</t>
  </si>
  <si>
    <t>'528150</t>
  </si>
  <si>
    <t>'DU-350722</t>
  </si>
  <si>
    <t>245/70R16 REINF 111T GRANSDTREK AT5 DUNLOP</t>
  </si>
  <si>
    <t>17/01/2025 FC-A-0022-00028057</t>
  </si>
  <si>
    <t>'528040</t>
  </si>
  <si>
    <t>'14766</t>
  </si>
  <si>
    <t>245/70R16 ROADIAN AT PRO RA8 107S NEXEN</t>
  </si>
  <si>
    <t>'528099</t>
  </si>
  <si>
    <t>'PC2457016111T</t>
  </si>
  <si>
    <t>245/70R16 TOLEDO PACE</t>
  </si>
  <si>
    <t>'9796</t>
  </si>
  <si>
    <t>245/70R16 WINDFORCE CATCHFORS A/T 107T</t>
  </si>
  <si>
    <t>28/02/2023 REM-R-0006-00000339</t>
  </si>
  <si>
    <t>'539830</t>
  </si>
  <si>
    <t>'SZV-2457016</t>
  </si>
  <si>
    <t>245/70R16 ZIVARO PACE</t>
  </si>
  <si>
    <t>'8979</t>
  </si>
  <si>
    <t>'2721900</t>
  </si>
  <si>
    <t>245/70R17 110T SCORPION ALL TERRAIN PLUS PIRELLI</t>
  </si>
  <si>
    <t>20/10/2023 FC-A-0022-00023089</t>
  </si>
  <si>
    <t>'9681</t>
  </si>
  <si>
    <t>'SZV-2457017</t>
  </si>
  <si>
    <t>245/70R17 119/116S 10PR PACE ZIVARO A/T</t>
  </si>
  <si>
    <t>07/08/2024 REM-X-0004-00000655</t>
  </si>
  <si>
    <t>'1623</t>
  </si>
  <si>
    <t>'2742100</t>
  </si>
  <si>
    <t>245/70R17 119Q SCORPION MTR   PIRELLI</t>
  </si>
  <si>
    <t>'21683</t>
  </si>
  <si>
    <t>245/70R17 MT51 119/116Q KUMHO</t>
  </si>
  <si>
    <t>'124828</t>
  </si>
  <si>
    <t>245/75 R16 BRIDGSTONE DUELER A/T 697 114/111S LT</t>
  </si>
  <si>
    <t>'9487</t>
  </si>
  <si>
    <t>'18542</t>
  </si>
  <si>
    <t>245/75R16  10 120Q  KL71  KUMHO</t>
  </si>
  <si>
    <t>15/08/2023 REM-R-0006-00000052</t>
  </si>
  <si>
    <t>'8561</t>
  </si>
  <si>
    <t>'17856400</t>
  </si>
  <si>
    <t>245/75R16 114/111S DUELER A/T 697 BRIDGESTONE</t>
  </si>
  <si>
    <t>'527920</t>
  </si>
  <si>
    <t>'60940</t>
  </si>
  <si>
    <t>245/75R16 120/116Q FM523 FIREMAX EQV 235/75R16</t>
  </si>
  <si>
    <t>'1662</t>
  </si>
  <si>
    <t>'2723100</t>
  </si>
  <si>
    <t>245/75R16 120R SCORPION ALL TERRAIN PLUS   PIRELLI</t>
  </si>
  <si>
    <t>'539772</t>
  </si>
  <si>
    <t>'1925000</t>
  </si>
  <si>
    <t>255/30R19 91Y P-ZERO (*) XL RUN FLAT  PIRELLI ---</t>
  </si>
  <si>
    <t>'1833</t>
  </si>
  <si>
    <t>'2683500</t>
  </si>
  <si>
    <t>255/30R19 91Y P-ZERO XL NCS RO2 PIRELLI</t>
  </si>
  <si>
    <t>'8494</t>
  </si>
  <si>
    <t>'10624200</t>
  </si>
  <si>
    <t>255/30R19 91Y POTENZA RE050A SM RFT XL BRIDGESTONE</t>
  </si>
  <si>
    <t>'539773</t>
  </si>
  <si>
    <t>'2074500</t>
  </si>
  <si>
    <t>255/30R20 92Y P-ZERO (*) XL RUN FLAT  PIRELLI ---</t>
  </si>
  <si>
    <t>'9473</t>
  </si>
  <si>
    <t>'2644500</t>
  </si>
  <si>
    <t>255/30R20 92Y XL P-ZERO (L) PIRELLI --- 2644500</t>
  </si>
  <si>
    <t>'470226</t>
  </si>
  <si>
    <t>255/35 R19 NEXEN NFERA SU1 XL 96W</t>
  </si>
  <si>
    <t>'462682</t>
  </si>
  <si>
    <t>255/35 R20 NEXEN N FERA SU1 97Y XL</t>
  </si>
  <si>
    <t>'8493</t>
  </si>
  <si>
    <t>'10625200</t>
  </si>
  <si>
    <t>255/35R18 90W POTENZA RE050A RFT BRIDGESTONE</t>
  </si>
  <si>
    <t>'1720</t>
  </si>
  <si>
    <t>'1800400</t>
  </si>
  <si>
    <t>255/35R18 94Y P-ZERO XL MO RO1 PIRELLI</t>
  </si>
  <si>
    <t>27/09/2022 FC-A-0022-00018286</t>
  </si>
  <si>
    <t>'1842</t>
  </si>
  <si>
    <t>'2331800</t>
  </si>
  <si>
    <t>255/35R19 92W P-ZERO RUN FLAT  PIRELLI</t>
  </si>
  <si>
    <t>29/06/2022 FC-A-0022-00017236</t>
  </si>
  <si>
    <t>'8444</t>
  </si>
  <si>
    <t>'14632300</t>
  </si>
  <si>
    <t>255/35R19 92Y POTENZA S001 SM RFT BRIDGESTONE</t>
  </si>
  <si>
    <t>'1701</t>
  </si>
  <si>
    <t>'1997500</t>
  </si>
  <si>
    <t>255/35R19 96Y P-ZERO XL MO PIRELLI</t>
  </si>
  <si>
    <t>09/02/2023 FC-A-0019-00029313</t>
  </si>
  <si>
    <t>'511042</t>
  </si>
  <si>
    <t>'22474</t>
  </si>
  <si>
    <t>255/35R19 96Y PS71 KUMHO</t>
  </si>
  <si>
    <t>04/06/2024 REM-X-0004-00000531</t>
  </si>
  <si>
    <t>'1755</t>
  </si>
  <si>
    <t>'1738600</t>
  </si>
  <si>
    <t>255/40R17 94W P-ZERO (*) RUN FLAT PIRELLI --- 1738</t>
  </si>
  <si>
    <t>28/03/2023 FC-A-0022-00020512</t>
  </si>
  <si>
    <t>'8492</t>
  </si>
  <si>
    <t>'10630200</t>
  </si>
  <si>
    <t>255/40R17 94W POTENZA RE050A A1 RFT BRIDGESTONE</t>
  </si>
  <si>
    <t>'511040</t>
  </si>
  <si>
    <t>'22347</t>
  </si>
  <si>
    <t>255/40R17 94W PS71 KUMHO RUN FLAT</t>
  </si>
  <si>
    <t>'1764</t>
  </si>
  <si>
    <t>'1990600</t>
  </si>
  <si>
    <t>255/40R18 95Y P7 CINTURATO (*) RUN FLAT  PIRELLI</t>
  </si>
  <si>
    <t>17/09/2025 FC-A-0019-00038283</t>
  </si>
  <si>
    <t>'8469</t>
  </si>
  <si>
    <t>'12203300</t>
  </si>
  <si>
    <t>255/40R18 95Y POTENZA S001 RFT BRIDGESTONE</t>
  </si>
  <si>
    <t>'1768</t>
  </si>
  <si>
    <t>'1996400</t>
  </si>
  <si>
    <t>255/40R19 100Y P-ZERO XL AO PIRELLI</t>
  </si>
  <si>
    <t>'527753</t>
  </si>
  <si>
    <t>'22477</t>
  </si>
  <si>
    <t>255/40R19 100Y PS71 KUMHO</t>
  </si>
  <si>
    <t>29/05/2024 REM-X-0008-00000438</t>
  </si>
  <si>
    <t>'1769</t>
  </si>
  <si>
    <t>'2141100</t>
  </si>
  <si>
    <t>255/40R19 96W P-ZERO (*) RUN FLAT  PIRELLI</t>
  </si>
  <si>
    <t>27/01/2023 FC-A-0022-00019772</t>
  </si>
  <si>
    <t>'462649</t>
  </si>
  <si>
    <t>255/45 R19 NEXEN NFERA SU1 XL 104Y</t>
  </si>
  <si>
    <t>'8697</t>
  </si>
  <si>
    <t>'10521200</t>
  </si>
  <si>
    <t>255/45R19 100V DUELER H/P SPORT MO BRIDGESTONE</t>
  </si>
  <si>
    <t>'511283</t>
  </si>
  <si>
    <t>'3275700</t>
  </si>
  <si>
    <t>255/45R19 100V S-I SCORPION PIRELLI</t>
  </si>
  <si>
    <t>'1914</t>
  </si>
  <si>
    <t>'1767200</t>
  </si>
  <si>
    <t>255/45R19 100W P-ZERO  MO PIRELLI</t>
  </si>
  <si>
    <t>07/05/2026 FC-A-0022-00031824</t>
  </si>
  <si>
    <t>'8679</t>
  </si>
  <si>
    <t>'11309200</t>
  </si>
  <si>
    <t>255/45R20 101W DUELER HP SPORT BRIDGESTONE</t>
  </si>
  <si>
    <t>'1974</t>
  </si>
  <si>
    <t>'1825300</t>
  </si>
  <si>
    <t>255/45R20 105V SCORPION ZERO XL  PIRELLI</t>
  </si>
  <si>
    <t>10/05/2025 FC-A-0022-00029243</t>
  </si>
  <si>
    <t>'8491</t>
  </si>
  <si>
    <t>'10641200</t>
  </si>
  <si>
    <t>255/50R19 103V TURANZA ER30 BRIDGESTONE</t>
  </si>
  <si>
    <t>'8452</t>
  </si>
  <si>
    <t>'13762200</t>
  </si>
  <si>
    <t>255/50R19 103W TURANZA ER30 BRIDGESTONE</t>
  </si>
  <si>
    <t>'1921</t>
  </si>
  <si>
    <t>'1953900</t>
  </si>
  <si>
    <t>255/50R19 107H SCORPION VERDE ALL SEASON  MO PIREL</t>
  </si>
  <si>
    <t>'8647</t>
  </si>
  <si>
    <t>'13764200</t>
  </si>
  <si>
    <t>255/50R19 107W DUELER H/P SPORT RFT XL BRIDGESTONE</t>
  </si>
  <si>
    <t>'9797</t>
  </si>
  <si>
    <t>'2298100</t>
  </si>
  <si>
    <t>255/50R19 107W SCORPION VERDE XL RUN FLAT PIRELLI</t>
  </si>
  <si>
    <t>26/12/2022 FC-A-0022-00019319</t>
  </si>
  <si>
    <t>'1911</t>
  </si>
  <si>
    <t>'1619700</t>
  </si>
  <si>
    <t>255/50R19 107Y SCORPION ZERO XL  PIRELLI</t>
  </si>
  <si>
    <t>01/04/2026 FC-A-0022-00031586</t>
  </si>
  <si>
    <t>'8600</t>
  </si>
  <si>
    <t>'16632300</t>
  </si>
  <si>
    <t>255/50R20 109H DUELER H/P SPORT XL BRIDGESTONE</t>
  </si>
  <si>
    <t>'539817</t>
  </si>
  <si>
    <t>'15368</t>
  </si>
  <si>
    <t>255/50R20 109V XL ROADIAN HP NEXEN</t>
  </si>
  <si>
    <t>24/05/2025 FC-A-0022-00029369</t>
  </si>
  <si>
    <t>'1951</t>
  </si>
  <si>
    <t>'2523500</t>
  </si>
  <si>
    <t>255/50R20 109W SCORPION VERDE ALL SEASON XL J LR P</t>
  </si>
  <si>
    <t>'552872</t>
  </si>
  <si>
    <t>'22280</t>
  </si>
  <si>
    <t>255/50R20 HP71 109V KUMHO</t>
  </si>
  <si>
    <t>16/12/2025 REM-X-0006-00000707</t>
  </si>
  <si>
    <t>'552652</t>
  </si>
  <si>
    <t>'1767000</t>
  </si>
  <si>
    <t>255/55R17 104V SCORPION ZERO  MO PIRELLI --- OV176</t>
  </si>
  <si>
    <t>'511272</t>
  </si>
  <si>
    <t>'2205100</t>
  </si>
  <si>
    <t>255/55R18 105V SCORPION VERDE ALL SEASON (N0) PIRE</t>
  </si>
  <si>
    <t>'8689</t>
  </si>
  <si>
    <t>'10643200</t>
  </si>
  <si>
    <t>255/55R18 109H DUELER H/L 400 SM RFT XL BRIDGESTON</t>
  </si>
  <si>
    <t>'1929</t>
  </si>
  <si>
    <t>'2244000</t>
  </si>
  <si>
    <t>255/55R18 109V SCORPION VERDE ALL SEASON XL  PIREL</t>
  </si>
  <si>
    <t>'1608</t>
  </si>
  <si>
    <t>'1417600</t>
  </si>
  <si>
    <t>255/55R18 109V XL SCORPION ZERO (N0) PIRELLI --- 1</t>
  </si>
  <si>
    <t>05/11/2025 REM-X-0004-00001196</t>
  </si>
  <si>
    <t>'8616</t>
  </si>
  <si>
    <t>'16136300</t>
  </si>
  <si>
    <t>255/55R18 109W DUELER H/P SPORT XL BRIDGESTONE</t>
  </si>
  <si>
    <t>'8688</t>
  </si>
  <si>
    <t>'10644200</t>
  </si>
  <si>
    <t>255/55R18 109Y DUELER H/P SPORT PZ XL BRIDGESTONE</t>
  </si>
  <si>
    <t>'8490</t>
  </si>
  <si>
    <t>'10645200</t>
  </si>
  <si>
    <t>255/55R18 109Y TURANZA ER30 BRIDGESTONE</t>
  </si>
  <si>
    <t>'8587</t>
  </si>
  <si>
    <t>'17111300</t>
  </si>
  <si>
    <t>255/55R19 111H DUELER H/P SPORT XL BRIDGESTONE</t>
  </si>
  <si>
    <t>'1963</t>
  </si>
  <si>
    <t>'2725400</t>
  </si>
  <si>
    <t>255/55R19 111H SCORPION ALL TERRAIN PLUS XL  PIREL</t>
  </si>
  <si>
    <t>25/03/2024 NC-A-0019-00001568</t>
  </si>
  <si>
    <t>'1965</t>
  </si>
  <si>
    <t>'1862500</t>
  </si>
  <si>
    <t>255/55R19 111H SCORPION VERDE ALL SEASON XL  PIREL</t>
  </si>
  <si>
    <t>16/12/2025 FC-A-0022-00030940</t>
  </si>
  <si>
    <t>'552494</t>
  </si>
  <si>
    <t>'4467900</t>
  </si>
  <si>
    <t>255/55R19 111H XL SCORPION ALL TERRAIN PLUS</t>
  </si>
  <si>
    <t>02/10/2025 FC-A-0022-00030352</t>
  </si>
  <si>
    <t>'527998</t>
  </si>
  <si>
    <t>'21876</t>
  </si>
  <si>
    <t>255/55R19 111T ROAD VENTURE AT51 KUMHO</t>
  </si>
  <si>
    <t>06/06/2025 REM-X-0006-00000651</t>
  </si>
  <si>
    <t>'9934</t>
  </si>
  <si>
    <t>'21473</t>
  </si>
  <si>
    <t>255/55R19 111V KL33 KUMHO</t>
  </si>
  <si>
    <t>07/03/2025 REM-X-0008-00000540</t>
  </si>
  <si>
    <t>'552318</t>
  </si>
  <si>
    <t>'469605</t>
  </si>
  <si>
    <t>255/55R19 111V XL NEXEN NFERA RU1</t>
  </si>
  <si>
    <t>'527979</t>
  </si>
  <si>
    <t>'25555R19MICHE</t>
  </si>
  <si>
    <t>255/55R19 111V XL TL PRIMACY SUV+  MICHELIN</t>
  </si>
  <si>
    <t>'8588</t>
  </si>
  <si>
    <t>'17063300</t>
  </si>
  <si>
    <t>255/55R19 111Y DUELER H/P SPORT XL BRIDGESTONE</t>
  </si>
  <si>
    <t>'539822</t>
  </si>
  <si>
    <t>'IMP-2555519</t>
  </si>
  <si>
    <t>255/55R19 IMPERIO PACE</t>
  </si>
  <si>
    <t>'552501</t>
  </si>
  <si>
    <t>255/55R19 TL 111S RA1100 AT ROADCRUZA</t>
  </si>
  <si>
    <t>'511286</t>
  </si>
  <si>
    <t>'4171100</t>
  </si>
  <si>
    <t>255/55R20 XL  110 T  SCORPION HT A/S PIRELLI</t>
  </si>
  <si>
    <t>'100000</t>
  </si>
  <si>
    <t>255/60 R18 BRIDGSTONE ALENZA 001 108H</t>
  </si>
  <si>
    <t>'126230</t>
  </si>
  <si>
    <t>255/60 R18 BRIDGSTONE DUELER HT684 II 108H</t>
  </si>
  <si>
    <t>'469635</t>
  </si>
  <si>
    <t>255/60 R18 NEXEN NFERA RU5 112V M+S</t>
  </si>
  <si>
    <t>'1597</t>
  </si>
  <si>
    <t>'2244100</t>
  </si>
  <si>
    <t>255/60R17 106V SCORPION VERDE ALL SEASON   PIRELLI</t>
  </si>
  <si>
    <t>'552655</t>
  </si>
  <si>
    <t>'1804900</t>
  </si>
  <si>
    <t>255/60R17 106V SCORPION VERDE PIRELLI (2014)</t>
  </si>
  <si>
    <t>'8304</t>
  </si>
  <si>
    <t>'19054300</t>
  </si>
  <si>
    <t>255/60R17 106V TURANZA T005 BRIDGESTONE</t>
  </si>
  <si>
    <t>'8566</t>
  </si>
  <si>
    <t>'17845001</t>
  </si>
  <si>
    <t>255/60R18 108H ALENZA 001 BRIDGESTONE</t>
  </si>
  <si>
    <t>'8573</t>
  </si>
  <si>
    <t>'17585001</t>
  </si>
  <si>
    <t>255/60R18 108H DUELER H/T 684 II BRIDGESTONE</t>
  </si>
  <si>
    <t>'511280</t>
  </si>
  <si>
    <t>'3629900</t>
  </si>
  <si>
    <t>255/60R18 108H SCORPION ZERO AS PIRELLI</t>
  </si>
  <si>
    <t>29/08/2025 FC-A-0022-00030113</t>
  </si>
  <si>
    <t>'9815</t>
  </si>
  <si>
    <t>'22300</t>
  </si>
  <si>
    <t>255/60R18 108V HP71 KUMHO</t>
  </si>
  <si>
    <t>11/02/2026 REM-X-0004-00001294</t>
  </si>
  <si>
    <t>'8569</t>
  </si>
  <si>
    <t>'17695300</t>
  </si>
  <si>
    <t>255/60R18 112H DUELER H/P SPORT BRIDGESTONE</t>
  </si>
  <si>
    <t>'1936</t>
  </si>
  <si>
    <t>'2725200</t>
  </si>
  <si>
    <t>255/60R18 112H SCORPION ALL TERRAIN PLUS XL  PIREL</t>
  </si>
  <si>
    <t>'1938</t>
  </si>
  <si>
    <t>'1862400</t>
  </si>
  <si>
    <t>255/60R18 112H SCORPION VERDE ALL SEASON XL  PIREL</t>
  </si>
  <si>
    <t>10/02/2021 FC-A-0022-00011830</t>
  </si>
  <si>
    <t>'9328</t>
  </si>
  <si>
    <t>'3956100</t>
  </si>
  <si>
    <t>255/60R18 112H XL SCORPION HT PIRELLI</t>
  </si>
  <si>
    <t>'527980</t>
  </si>
  <si>
    <t>'15106</t>
  </si>
  <si>
    <t>255/60R18 112T CROSSCONTACT XL  CONTINENTAL</t>
  </si>
  <si>
    <t>'8659</t>
  </si>
  <si>
    <t>'12835006</t>
  </si>
  <si>
    <t>255/60R18 112T DUELER H/T 684 III ECOPIA BRIDGESTO</t>
  </si>
  <si>
    <t>'527664</t>
  </si>
  <si>
    <t>'25560R18FATE</t>
  </si>
  <si>
    <t>255/60R18 112T RR AT/R SERIE 4 REFORZADA FATE</t>
  </si>
  <si>
    <t>'1928</t>
  </si>
  <si>
    <t>'2135800</t>
  </si>
  <si>
    <t>255/60R18 112T SCORPION ATR XL  PIRELLI</t>
  </si>
  <si>
    <t>26/07/2025 FC-A-0022-00029895</t>
  </si>
  <si>
    <t>'553117</t>
  </si>
  <si>
    <t>255/60R18 112V M+S NFERA RU5 NEXEN</t>
  </si>
  <si>
    <t>'9643</t>
  </si>
  <si>
    <t>'33079</t>
  </si>
  <si>
    <t>255/60R18 112V TR259 TRIANGLE</t>
  </si>
  <si>
    <t>'9742</t>
  </si>
  <si>
    <t>'255/60R18 SCOPR</t>
  </si>
  <si>
    <t>255/60R18 SCORPION ATR ANO 2018</t>
  </si>
  <si>
    <t>'552502</t>
  </si>
  <si>
    <t>'552901</t>
  </si>
  <si>
    <t>255/60R18 TL 112S AT RA1100 ROADCRUZA</t>
  </si>
  <si>
    <t>'8565</t>
  </si>
  <si>
    <t>'17846001</t>
  </si>
  <si>
    <t>255/65R17 110H ALENZA 001 BRIDGESTONE</t>
  </si>
  <si>
    <t>'9592</t>
  </si>
  <si>
    <t>'4025100</t>
  </si>
  <si>
    <t>255/65R17 110H SCORPION ATR PIRELLI</t>
  </si>
  <si>
    <t>11/12/2025 FC-A-0022-00030899</t>
  </si>
  <si>
    <t>'539771</t>
  </si>
  <si>
    <t>'4025000</t>
  </si>
  <si>
    <t>255/65R17 110H SCORPION ZERO ALL SEASON (KS) PIREL</t>
  </si>
  <si>
    <t>11/11/2025 FC-A-0022-00030642</t>
  </si>
  <si>
    <t>'8668</t>
  </si>
  <si>
    <t>'12487006</t>
  </si>
  <si>
    <t>255/65R17 110T DUELER H/T 684 II ECOPIA BRIDGESTON</t>
  </si>
  <si>
    <t>'1584</t>
  </si>
  <si>
    <t>'1727300</t>
  </si>
  <si>
    <t>255/65R17 110T SCORPION ATR   PIRELLI --- PROMO PI</t>
  </si>
  <si>
    <t>'552316</t>
  </si>
  <si>
    <t>'552825</t>
  </si>
  <si>
    <t>255/65R17 114H XL ROADIAN HP NEXEN</t>
  </si>
  <si>
    <t>'527929</t>
  </si>
  <si>
    <t>'21818</t>
  </si>
  <si>
    <t>255/65R17 HT51 110T KUMHO</t>
  </si>
  <si>
    <t>27/03/2025 REM-X-0014-00000055</t>
  </si>
  <si>
    <t>'511281</t>
  </si>
  <si>
    <t>'3923200</t>
  </si>
  <si>
    <t>255/65R18 111T SCORPION ATR PIRELLI</t>
  </si>
  <si>
    <t>'118500</t>
  </si>
  <si>
    <t>255/70 R16 BRIDGSTONE AT693 111T</t>
  </si>
  <si>
    <t>'124100</t>
  </si>
  <si>
    <t>255/70 R16 BRIDGSTONE DUELER A/T REVO2 111H</t>
  </si>
  <si>
    <t>'126000</t>
  </si>
  <si>
    <t>255/70 R16 BRIDGSTONE DUELER HT684 II 111H</t>
  </si>
  <si>
    <t>'118800</t>
  </si>
  <si>
    <t>255/70 R17 BRIDGSTONE DUELER A/T 693 112T</t>
  </si>
  <si>
    <t>'126330</t>
  </si>
  <si>
    <t>255/70 R17 BRIDGSTONE DUELER H/T 685 112T</t>
  </si>
  <si>
    <t>'9781</t>
  </si>
  <si>
    <t>'32173</t>
  </si>
  <si>
    <t>255/70R15 108T TR257 TRIANGLE</t>
  </si>
  <si>
    <t>'8687</t>
  </si>
  <si>
    <t>'10647001</t>
  </si>
  <si>
    <t>255/70R15C 112/110S DUELER H/T 840 BRIDGESTONE</t>
  </si>
  <si>
    <t>'1673</t>
  </si>
  <si>
    <t>'2371400</t>
  </si>
  <si>
    <t>255/70R16 108Q SCORPION-MTR PIRELLI</t>
  </si>
  <si>
    <t>25/10/2023 FC-A-0022-00023163</t>
  </si>
  <si>
    <t>'1669</t>
  </si>
  <si>
    <t>'2862500</t>
  </si>
  <si>
    <t>255/70R16 109H SCORPION STR   PIRELLI</t>
  </si>
  <si>
    <t>03/01/2024 REM-R-0006-10000180</t>
  </si>
  <si>
    <t>'9326</t>
  </si>
  <si>
    <t>'3955900</t>
  </si>
  <si>
    <t>255/70R16 109T SCORPION HT PIRELLI</t>
  </si>
  <si>
    <t>03/10/2025 FC-A-0022-00030373</t>
  </si>
  <si>
    <t>'8574</t>
  </si>
  <si>
    <t>'17584001</t>
  </si>
  <si>
    <t>255/70R16 111H DUELER A/T REVO 2 BRIDGESTONE</t>
  </si>
  <si>
    <t>'8572</t>
  </si>
  <si>
    <t>'17586001</t>
  </si>
  <si>
    <t>255/70R16 111H DUELER H/T 684 II BRIDGESTONE</t>
  </si>
  <si>
    <t>08/01/2025 FC-A-0022-00027942</t>
  </si>
  <si>
    <t>'539902</t>
  </si>
  <si>
    <t>'15369</t>
  </si>
  <si>
    <t>255/70R16 111H M+S PERFORMAX LANVIGATOR</t>
  </si>
  <si>
    <t>08/08/2025 FC-A-0022-00029981</t>
  </si>
  <si>
    <t>'511072</t>
  </si>
  <si>
    <t>'32600</t>
  </si>
  <si>
    <t>255/70R16 111H TR257 XL TRIANGLE</t>
  </si>
  <si>
    <t>05/03/2026 REM-R-0004-00001307</t>
  </si>
  <si>
    <t>'8657</t>
  </si>
  <si>
    <t>'12954002</t>
  </si>
  <si>
    <t>255/70R16 111S DUELER A/T REVO 2 BRIDGESTONE</t>
  </si>
  <si>
    <t>'8670</t>
  </si>
  <si>
    <t>'12397001</t>
  </si>
  <si>
    <t>255/70R16 111T DUELER A/T 693 BRIDGESTONE</t>
  </si>
  <si>
    <t>31/10/2022 REM-R-0006-00000416</t>
  </si>
  <si>
    <t>'511151</t>
  </si>
  <si>
    <t>'21823</t>
  </si>
  <si>
    <t>255/70R16 111T HT51 KUMHO</t>
  </si>
  <si>
    <t>09/04/2024 REM-X-0045-00120662</t>
  </si>
  <si>
    <t>'553125</t>
  </si>
  <si>
    <t>255/70R16 111T LANVIGATOR CATHFORS A/T</t>
  </si>
  <si>
    <t>'539901</t>
  </si>
  <si>
    <t>'19305</t>
  </si>
  <si>
    <t>255/70R16 111T ROAD VENTURE AT52 KUMHO</t>
  </si>
  <si>
    <t>20/01/2025 REM-X-0004-00000871</t>
  </si>
  <si>
    <t>'1671</t>
  </si>
  <si>
    <t>'2721600</t>
  </si>
  <si>
    <t>255/70R16 111T SCORPION ALL TERRAIN PLUS   PIRELLI</t>
  </si>
  <si>
    <t>05/03/2026 FC-A-0022-00031430</t>
  </si>
  <si>
    <t>'552503</t>
  </si>
  <si>
    <t>'552927</t>
  </si>
  <si>
    <t>255/70R16 111T TL TERRAMAX HT SAILUN</t>
  </si>
  <si>
    <t>11/11/2025 FC-A-0022-00030635</t>
  </si>
  <si>
    <t>'552533</t>
  </si>
  <si>
    <t>'25570R16OV</t>
  </si>
  <si>
    <t>255/70R16 111T VI 286AT ECOVISION OVATION</t>
  </si>
  <si>
    <t>'528026</t>
  </si>
  <si>
    <t>'31782</t>
  </si>
  <si>
    <t>255/70R16 115/112Q ROAD VENTURE MT51 KUMHO</t>
  </si>
  <si>
    <t>'539837</t>
  </si>
  <si>
    <t>'25570R16ATRFATE</t>
  </si>
  <si>
    <t>255/70R16 115/112T RR AT/R SERIE 4 FATE</t>
  </si>
  <si>
    <t>04/11/2024 REM-X-0029-00069519</t>
  </si>
  <si>
    <t>'8580</t>
  </si>
  <si>
    <t>'17212400</t>
  </si>
  <si>
    <t>255/70R16 120/117Q DUELER M/T 674 10 TELAS BRIDGES</t>
  </si>
  <si>
    <t>'553027</t>
  </si>
  <si>
    <t>'553183</t>
  </si>
  <si>
    <t>255/70R16 ROADIAN AT PRO RA8 111S NEXEN</t>
  </si>
  <si>
    <t>'553067</t>
  </si>
  <si>
    <t>'98876</t>
  </si>
  <si>
    <t>255/70R16-111H G015 YOKOHAMA</t>
  </si>
  <si>
    <t>'539990</t>
  </si>
  <si>
    <t>'15746</t>
  </si>
  <si>
    <t>255/70R17 DUELER H/T 685 112T BRIDGESTONE</t>
  </si>
  <si>
    <t>06/10/2025 FC-A-0022-00030265</t>
  </si>
  <si>
    <t>'552317</t>
  </si>
  <si>
    <t>'500379</t>
  </si>
  <si>
    <t>255/70R17 ROADIAN HTX 112T NEXEN</t>
  </si>
  <si>
    <t>'1638</t>
  </si>
  <si>
    <t>'2291800</t>
  </si>
  <si>
    <t>255/75R15 109S SCORPION ATR   PIRELLI</t>
  </si>
  <si>
    <t>03/06/2024 REM-X-0006-00000351</t>
  </si>
  <si>
    <t>'511275</t>
  </si>
  <si>
    <t>'1949500</t>
  </si>
  <si>
    <t>265/35R18 97Y XL P-ZERO (MO) PIRELLI</t>
  </si>
  <si>
    <t>'8489</t>
  </si>
  <si>
    <t>'10667200</t>
  </si>
  <si>
    <t>265/35R19 94Y POTENZA RE050A BRIDGESTONE</t>
  </si>
  <si>
    <t>'478000</t>
  </si>
  <si>
    <t>265/45 R20 NEXEN ROADIAN HP XL 108V M+S</t>
  </si>
  <si>
    <t>'1970</t>
  </si>
  <si>
    <t>'2733400</t>
  </si>
  <si>
    <t>265/45R20 104Y SCORPION VERDE ALL SEASON  MO PIREL</t>
  </si>
  <si>
    <t>'483000</t>
  </si>
  <si>
    <t>265/50 R20 NEXEN ROADIAN HP XL 111V</t>
  </si>
  <si>
    <t>'539775</t>
  </si>
  <si>
    <t>'1805000</t>
  </si>
  <si>
    <t>265/50R19 110V SCORPION VERDE ALL SEASON XL N0 PIR</t>
  </si>
  <si>
    <t>'1922</t>
  </si>
  <si>
    <t>'1804000</t>
  </si>
  <si>
    <t>265/50R19 110Y P-ZERO XL N0 PIRELLI</t>
  </si>
  <si>
    <t>13/03/2023 FC-A-0022-00020295</t>
  </si>
  <si>
    <t>'9728</t>
  </si>
  <si>
    <t>'31193</t>
  </si>
  <si>
    <t>265/50R20 107V KL21 KUMHO</t>
  </si>
  <si>
    <t>'9715</t>
  </si>
  <si>
    <t>265/50R20 107V SCORPION STR PIRELLI</t>
  </si>
  <si>
    <t>'1953</t>
  </si>
  <si>
    <t>'2354200</t>
  </si>
  <si>
    <t>265/50R20 107V SCORPION VERDE ALL SEASON   PIRELLI</t>
  </si>
  <si>
    <t>'528151</t>
  </si>
  <si>
    <t>'FA-350270</t>
  </si>
  <si>
    <t>265/50R20 111V DUNLOP WILDPEAK A / T TRAIL</t>
  </si>
  <si>
    <t>'540053</t>
  </si>
  <si>
    <t>'15370</t>
  </si>
  <si>
    <t>265/50R20 111V ROADIAN HP XL NEXEN</t>
  </si>
  <si>
    <t>29/12/2025 FC-A-2222-00031006</t>
  </si>
  <si>
    <t>'552504</t>
  </si>
  <si>
    <t>265/50R20 TL 107T RA1100 AT ROADCRUZA</t>
  </si>
  <si>
    <t>20/03/2026 FC-A-0022-00031490</t>
  </si>
  <si>
    <t>'9677</t>
  </si>
  <si>
    <t>'33080</t>
  </si>
  <si>
    <t>265/60 R18 114V TR259 XL  TRIANGLE</t>
  </si>
  <si>
    <t>'124900</t>
  </si>
  <si>
    <t>'15627</t>
  </si>
  <si>
    <t>265/60 R18 BRIDGSTONE DUELER A/T 697 110T</t>
  </si>
  <si>
    <t>'126240</t>
  </si>
  <si>
    <t>265/60 R18 BRIDGSTONE DUELER HT684 II 110T</t>
  </si>
  <si>
    <t>'126270</t>
  </si>
  <si>
    <t>265/60 R18 BRIDGSTONE HT684 II 110H</t>
  </si>
  <si>
    <t>'422150</t>
  </si>
  <si>
    <t>265/60 R18 WEST LAKE SU318 HT 114V</t>
  </si>
  <si>
    <t>'552688</t>
  </si>
  <si>
    <t>265/60R18 110H CROSSWING 4X4 HP LINGLONG</t>
  </si>
  <si>
    <t>'528152</t>
  </si>
  <si>
    <t>'FA-332962</t>
  </si>
  <si>
    <t>265/60R18 110H DUNLOP WILDPEAK AT3WA</t>
  </si>
  <si>
    <t>'528154</t>
  </si>
  <si>
    <t>'DU-313645</t>
  </si>
  <si>
    <t>265/60R18 110H GRANDTREK AT25 DUNLOP</t>
  </si>
  <si>
    <t>'528153</t>
  </si>
  <si>
    <t>'DU-350729</t>
  </si>
  <si>
    <t>265/60R18 110H GRANDTREK AT5 DUNLOP</t>
  </si>
  <si>
    <t>'539802</t>
  </si>
  <si>
    <t>'14907</t>
  </si>
  <si>
    <t>265/60R18 110H HT684 BRIDGESTONE</t>
  </si>
  <si>
    <t>'527783</t>
  </si>
  <si>
    <t>'21193</t>
  </si>
  <si>
    <t>265/60R18 110H KL21 KUMHO</t>
  </si>
  <si>
    <t>31/03/2025 FC-A-0006-00007679</t>
  </si>
  <si>
    <t>'9816</t>
  </si>
  <si>
    <t>'21585</t>
  </si>
  <si>
    <t>265/60R18 110H KL33 KUMHO</t>
  </si>
  <si>
    <t>'527984</t>
  </si>
  <si>
    <t>'26560R18FATE</t>
  </si>
  <si>
    <t>265/60R18 110H RR AT/R SERIE 4 FATE</t>
  </si>
  <si>
    <t>'1939</t>
  </si>
  <si>
    <t>'2725300</t>
  </si>
  <si>
    <t>265/60R18 110H SCORPION ALL TERRAIN PLUS  (LETRA B</t>
  </si>
  <si>
    <t>29/09/2025 FC-A-0022-00030332</t>
  </si>
  <si>
    <t>'539991</t>
  </si>
  <si>
    <t>'4467600</t>
  </si>
  <si>
    <t>265/60R18 110H SCORPION ALL TERRAIN PLUS WL</t>
  </si>
  <si>
    <t>21/03/2025 FC-A-0022-00028789</t>
  </si>
  <si>
    <t>'1940</t>
  </si>
  <si>
    <t>'1831200</t>
  </si>
  <si>
    <t>265/60R18 110H SCORPION ATR  (LETRA BLANCA) PIRELL</t>
  </si>
  <si>
    <t>24/11/2022 FC-A-0019-00028324</t>
  </si>
  <si>
    <t>'9590</t>
  </si>
  <si>
    <t>'3956200</t>
  </si>
  <si>
    <t>265/60R18 110H SCORPION HT PIRELLI</t>
  </si>
  <si>
    <t>20/02/2026 FC-A-0022-00031345</t>
  </si>
  <si>
    <t>'552831</t>
  </si>
  <si>
    <t>'LT645645</t>
  </si>
  <si>
    <t>265/60R18 110H TL FRV PRIMACY SUV+ MICHELIN</t>
  </si>
  <si>
    <t>31/10/2025 REM-X-0029-00081626</t>
  </si>
  <si>
    <t>'8570</t>
  </si>
  <si>
    <t>265/60R18 110T DUELER A/T 697 BRIDGESTONE</t>
  </si>
  <si>
    <t>'511041</t>
  </si>
  <si>
    <t>'60730</t>
  </si>
  <si>
    <t>265/60R18 110T FM501 FIREMAX</t>
  </si>
  <si>
    <t>'9154</t>
  </si>
  <si>
    <t>'3991800</t>
  </si>
  <si>
    <t>265/60R18 110T SCORPION ATR (KS) PIRELLI</t>
  </si>
  <si>
    <t>17/03/2026 FC-A-0022-00031478</t>
  </si>
  <si>
    <t>'552350</t>
  </si>
  <si>
    <t>'19320</t>
  </si>
  <si>
    <t>265/60R18 AT52 110T KUMHO</t>
  </si>
  <si>
    <t>'4719</t>
  </si>
  <si>
    <t>'F26765TRAT4XZ</t>
  </si>
  <si>
    <t>265/65 R17 116T RR AT SERIE 4 REINFORC FATE</t>
  </si>
  <si>
    <t>'127598</t>
  </si>
  <si>
    <t>265/65 R17 BRIDGSTONE 10T DUELER MT 674 120Q</t>
  </si>
  <si>
    <t>'124800</t>
  </si>
  <si>
    <t>265/65 R17 BRIDGSTONE DUELER A/T REVO2 112T</t>
  </si>
  <si>
    <t>'119000</t>
  </si>
  <si>
    <t>265/65 R17 BRIDGSTONE DUELER AT693 III 112S</t>
  </si>
  <si>
    <t>'126200</t>
  </si>
  <si>
    <t>265/65 R17 BRIDGSTONE HT684 II 112S</t>
  </si>
  <si>
    <t>'126220</t>
  </si>
  <si>
    <t>265/65 R17 BRIDGSTONE HT684 II 112T</t>
  </si>
  <si>
    <t>'503460</t>
  </si>
  <si>
    <t>265/65 R17 NEXEN RO-AT PRO RA8 112T</t>
  </si>
  <si>
    <t>'527789</t>
  </si>
  <si>
    <t>'26565R17 CONTI</t>
  </si>
  <si>
    <t>265/65R17 112H CROSSCONTACT LX 2 CONTI</t>
  </si>
  <si>
    <t>01/07/2024 REM-X-0002-00038364</t>
  </si>
  <si>
    <t>'539824</t>
  </si>
  <si>
    <t>'ON1T-2656517</t>
  </si>
  <si>
    <t>265/65R17 112H M+S ONYX</t>
  </si>
  <si>
    <t>'1627</t>
  </si>
  <si>
    <t>'2190300</t>
  </si>
  <si>
    <t>265/65R17 112H SCORPION VERDE ALL SEASON   PIRELLI</t>
  </si>
  <si>
    <t>08/07/2021 REM-R-0006-00000010</t>
  </si>
  <si>
    <t>'511017</t>
  </si>
  <si>
    <t>'32217</t>
  </si>
  <si>
    <t>265/65R17 112H TR257 TRIANGLE</t>
  </si>
  <si>
    <t>'528155</t>
  </si>
  <si>
    <t>'DU-313647</t>
  </si>
  <si>
    <t>265/65R17 112S GRANDTREK AT25 DUNLOP</t>
  </si>
  <si>
    <t>'528041</t>
  </si>
  <si>
    <t>'14769</t>
  </si>
  <si>
    <t>265/65R17 112S ROADIAN HT SUV NEXEN</t>
  </si>
  <si>
    <t>'1630</t>
  </si>
  <si>
    <t>'3964200</t>
  </si>
  <si>
    <t>265/65R17 112S SCORPION ATR KS PIRELLI</t>
  </si>
  <si>
    <t>11/05/2026 FC-A-0022-00031833</t>
  </si>
  <si>
    <t>'511141</t>
  </si>
  <si>
    <t>'32272</t>
  </si>
  <si>
    <t>265/65R17 112S TR292 TRIANGLE</t>
  </si>
  <si>
    <t>07/01/2026 REM-X-0006-00000749</t>
  </si>
  <si>
    <t>21/02/2026 Legajo del Producto...</t>
  </si>
  <si>
    <t>'528024</t>
  </si>
  <si>
    <t>'21824</t>
  </si>
  <si>
    <t>265/65R17 112T CRUGEN HT51 KUMHO</t>
  </si>
  <si>
    <t>'552535</t>
  </si>
  <si>
    <t>'60754</t>
  </si>
  <si>
    <t>265/65R17 112T FM501 FIREMAX</t>
  </si>
  <si>
    <t>'539814</t>
  </si>
  <si>
    <t>'15168</t>
  </si>
  <si>
    <t>265/65R17 112T ROADIAN AT RA8 NEXEN</t>
  </si>
  <si>
    <t>04/09/2025 FC-A-0022-00030160</t>
  </si>
  <si>
    <t>'539766</t>
  </si>
  <si>
    <t>'4467500</t>
  </si>
  <si>
    <t>265/65R17 112T SCORPION ALL TERRAIN PLUS</t>
  </si>
  <si>
    <t>17/12/2025 FC-A-0022-00030942</t>
  </si>
  <si>
    <t>'1618</t>
  </si>
  <si>
    <t>'3796700</t>
  </si>
  <si>
    <t>265/65R17 112T SCORPION ALL TERRAIN PLUS  (LETRA B</t>
  </si>
  <si>
    <t>10/02/2026 FC-A-0022-00031301</t>
  </si>
  <si>
    <t>'1595</t>
  </si>
  <si>
    <t>'2862000</t>
  </si>
  <si>
    <t>265/65R17 112T SCORPION ATR   PIRELLI</t>
  </si>
  <si>
    <t>28/03/2025 FC-A-0022-00028854</t>
  </si>
  <si>
    <t>'9319</t>
  </si>
  <si>
    <t>'3956000</t>
  </si>
  <si>
    <t>265/65R17 112T SCORPION HT PIRELLI</t>
  </si>
  <si>
    <t>04/11/2025 REM-X-0004-00001193</t>
  </si>
  <si>
    <t>'553097</t>
  </si>
  <si>
    <t>'553247</t>
  </si>
  <si>
    <t>265/65R17 112T SPEEDMAX SOLDIER AT</t>
  </si>
  <si>
    <t>'553080</t>
  </si>
  <si>
    <t>265/65R17 112T WINDFORCE CATCHFORS A/T</t>
  </si>
  <si>
    <t>'527999</t>
  </si>
  <si>
    <t>'19355</t>
  </si>
  <si>
    <t>265/65R17 115T ROAD VENTURE AT52 KUMHO</t>
  </si>
  <si>
    <t>'1593</t>
  </si>
  <si>
    <t>'3809600</t>
  </si>
  <si>
    <t>265/65R17 116S SCORPION MTR   PIRELLI</t>
  </si>
  <si>
    <t>11/01/2024 REM-R-0004-00000298</t>
  </si>
  <si>
    <t>'553143</t>
  </si>
  <si>
    <t>'60920</t>
  </si>
  <si>
    <t>265/65R17 FM523 120/117Q-FIREMAX</t>
  </si>
  <si>
    <t>'528156</t>
  </si>
  <si>
    <t>'14871</t>
  </si>
  <si>
    <t>265/65R17 GRANDETREK HT DUNLOP</t>
  </si>
  <si>
    <t>'4718</t>
  </si>
  <si>
    <t>'F26765TRTR4XZ</t>
  </si>
  <si>
    <t>265/65R17 RR AT/R SERIE 4 (116T) REINFORC FATE</t>
  </si>
  <si>
    <t>'540054</t>
  </si>
  <si>
    <t>'552777</t>
  </si>
  <si>
    <t>265/65R18 114S ROADIAN AT PRO RA8 NEXEN</t>
  </si>
  <si>
    <t>'1918</t>
  </si>
  <si>
    <t>'2722600</t>
  </si>
  <si>
    <t>265/65R18 114T SCORPION ALL TERRAIN PLUS WL PIRELL</t>
  </si>
  <si>
    <t>'124400</t>
  </si>
  <si>
    <t>265/70 R16 BRIDGSTONE DUELER A/T REVO2 112T</t>
  </si>
  <si>
    <t>'9708</t>
  </si>
  <si>
    <t>'18612</t>
  </si>
  <si>
    <t>265/70R15 112T KL51 KUMHO</t>
  </si>
  <si>
    <t>'539770</t>
  </si>
  <si>
    <t>'2825600</t>
  </si>
  <si>
    <t>265/70R16 110T FORMULA S/T</t>
  </si>
  <si>
    <t>25/07/2025 FC-A-0022-00029887</t>
  </si>
  <si>
    <t>'553195</t>
  </si>
  <si>
    <t>265/70R16 112 ROADIAN HT SUV NEXEN</t>
  </si>
  <si>
    <t>'527928</t>
  </si>
  <si>
    <t>'32274</t>
  </si>
  <si>
    <t>265/70R16 112 TR292 TRIANGLE</t>
  </si>
  <si>
    <t>20/03/2026 REM-X-0004-00001324</t>
  </si>
  <si>
    <t>'552689</t>
  </si>
  <si>
    <t>265/70R16 112H GRIP MASTER LINGLONG</t>
  </si>
  <si>
    <t>'9714</t>
  </si>
  <si>
    <t>'PC2657016112H</t>
  </si>
  <si>
    <t>265/70R16 112H TOLEDO PACE</t>
  </si>
  <si>
    <t>06/09/2024 REM-X-0004-00000723</t>
  </si>
  <si>
    <t>'553050</t>
  </si>
  <si>
    <t>265/70R16 112T A/T WINDFORCE CATCHFORS</t>
  </si>
  <si>
    <t>'9937</t>
  </si>
  <si>
    <t>'22054</t>
  </si>
  <si>
    <t>265/70R16 112T AT51 KUMHO</t>
  </si>
  <si>
    <t>05/12/2023 REM-R-0004-00001246</t>
  </si>
  <si>
    <t>'528157</t>
  </si>
  <si>
    <t>'DU-350719</t>
  </si>
  <si>
    <t>265/70R16 112T GRANDTREK AT5 DUNLOP</t>
  </si>
  <si>
    <t>05/07/2025 FC-A-0022-00029720</t>
  </si>
  <si>
    <t>'1682</t>
  </si>
  <si>
    <t>'2721700</t>
  </si>
  <si>
    <t>265/70R16 112T SCORPION ALL TERRAIN PLUS   PIRELLI</t>
  </si>
  <si>
    <t>17/03/2025 FC-A-0022-00028739</t>
  </si>
  <si>
    <t>'9116</t>
  </si>
  <si>
    <t>'3955600</t>
  </si>
  <si>
    <t>265/70R16 112T SCORPION HT PIRELLI</t>
  </si>
  <si>
    <t>01/11/2025 FC-A-0022-00030573</t>
  </si>
  <si>
    <t>'511145</t>
  </si>
  <si>
    <t>'21550</t>
  </si>
  <si>
    <t>265/70R16 112V HP91 KUMHO</t>
  </si>
  <si>
    <t>08/08/2025 REM-X-0004-00001113</t>
  </si>
  <si>
    <t>G5/ S</t>
  </si>
  <si>
    <t>'539813</t>
  </si>
  <si>
    <t>'15167</t>
  </si>
  <si>
    <t>265/70R16 ROADIAN AT PRO RA8 NEXEN</t>
  </si>
  <si>
    <t>'9740</t>
  </si>
  <si>
    <t>'265/70R16 STR</t>
  </si>
  <si>
    <t>265/70R16 SCORPION STR ANO 2011 (DOT 3911)</t>
  </si>
  <si>
    <t>'539779</t>
  </si>
  <si>
    <t>'3779300</t>
  </si>
  <si>
    <t>265/70R17 112S FORMULA S/T --- FL3779300</t>
  </si>
  <si>
    <t>'511110</t>
  </si>
  <si>
    <t>'21819</t>
  </si>
  <si>
    <t>265/70R17 113T HT51 KUMHO</t>
  </si>
  <si>
    <t>'1622</t>
  </si>
  <si>
    <t>'2722000</t>
  </si>
  <si>
    <t>265/70R17 115T SCORPION ALL TERRAIN PLUS   PIRELLI</t>
  </si>
  <si>
    <t>13/11/2025 FC-A-0022-00030659</t>
  </si>
  <si>
    <t>'552873</t>
  </si>
  <si>
    <t>'22053</t>
  </si>
  <si>
    <t>265/70R17 MT51 121/118 KUMHO</t>
  </si>
  <si>
    <t>'1660</t>
  </si>
  <si>
    <t>'1961700</t>
  </si>
  <si>
    <t>265/75R16 112Q SCORPION MTR   PIRELLI</t>
  </si>
  <si>
    <t>'528158</t>
  </si>
  <si>
    <t>'DU-350721</t>
  </si>
  <si>
    <t>265/75R16 112S AT5 GRANDTREK DUNLOP</t>
  </si>
  <si>
    <t>15/11/2024 FC-A-0022-00027331</t>
  </si>
  <si>
    <t>'9318</t>
  </si>
  <si>
    <t>'3955700</t>
  </si>
  <si>
    <t>265/75R16 112S SCORPION HT PIRELLI</t>
  </si>
  <si>
    <t>31/10/2022 FC-A-0022-00018663</t>
  </si>
  <si>
    <t>'511019</t>
  </si>
  <si>
    <t>'21820</t>
  </si>
  <si>
    <t>265/75R16 114T HT51 KUMHO</t>
  </si>
  <si>
    <t>11/03/2024 REM-R-0004-00000355</t>
  </si>
  <si>
    <t>'1661</t>
  </si>
  <si>
    <t>'2726000</t>
  </si>
  <si>
    <t>265/75R16 123S SCORPION ALL TERRAIN PLUS   PIRELLI</t>
  </si>
  <si>
    <t>18/08/2022 FC-A-0022-00017742</t>
  </si>
  <si>
    <t>'60722</t>
  </si>
  <si>
    <t>265/75R16 FM501 123/120 FIREMAX</t>
  </si>
  <si>
    <t>'539829</t>
  </si>
  <si>
    <t>'PC2657516120Q</t>
  </si>
  <si>
    <t>265/75R16-10RP TOLEDO</t>
  </si>
  <si>
    <t>'462677</t>
  </si>
  <si>
    <t>275/30 R20 NEXEN NFERA SU1 XL 97Y</t>
  </si>
  <si>
    <t>'8404</t>
  </si>
  <si>
    <t>'16052200</t>
  </si>
  <si>
    <t>275/30R20 97Y POTENZA RE050A RFT BRIDGESTONE</t>
  </si>
  <si>
    <t>'78100</t>
  </si>
  <si>
    <t>275/35 R20 BRIDGSTONE POTENZA S001 XL RFT 102Y</t>
  </si>
  <si>
    <t>'8463</t>
  </si>
  <si>
    <t>'12991200</t>
  </si>
  <si>
    <t>275/35R18 95Y POTENZA RE050A RFT SM BRIDGESTONE</t>
  </si>
  <si>
    <t>'1778</t>
  </si>
  <si>
    <t>'2478800</t>
  </si>
  <si>
    <t>275/35R19 100Y P7 CINTURATO (*) XL RUN FLAT MOE PI</t>
  </si>
  <si>
    <t>'8488</t>
  </si>
  <si>
    <t>'10681200</t>
  </si>
  <si>
    <t>275/35R19 96W POTENZA RE050A SM RFT BRIDGESTONE</t>
  </si>
  <si>
    <t>'1779</t>
  </si>
  <si>
    <t>'1921100</t>
  </si>
  <si>
    <t>275/35R19 96Y P-ZERO (*) RUN FLAT  PIRELLI</t>
  </si>
  <si>
    <t>14/11/2024 FC-A-0022-00027322</t>
  </si>
  <si>
    <t>'8418</t>
  </si>
  <si>
    <t>'15274300</t>
  </si>
  <si>
    <t>275/35R19 96Y TURANZA ER300 RFT BRIDGESTONE</t>
  </si>
  <si>
    <t>'1786</t>
  </si>
  <si>
    <t>'2979700</t>
  </si>
  <si>
    <t>275/35R20 102Y P-ZERO RUN FLAT  PIRELLI</t>
  </si>
  <si>
    <t>'8400</t>
  </si>
  <si>
    <t>'16061300</t>
  </si>
  <si>
    <t>275/35R20 102Y POTENZA S001 XL RFT BRIDGESTONE</t>
  </si>
  <si>
    <t>'511276</t>
  </si>
  <si>
    <t>'2632200</t>
  </si>
  <si>
    <t>275/35R20 102Y XL RUN FLAT P-ZERO (MOE) PIRELLI</t>
  </si>
  <si>
    <t>'462643</t>
  </si>
  <si>
    <t>275/40 R20 NEXEN NFERA SU1 XL 106Y</t>
  </si>
  <si>
    <t>'8451</t>
  </si>
  <si>
    <t>'13806200</t>
  </si>
  <si>
    <t>275/40R18 99W POTENZA RE050A RFT BRIDGESTONE</t>
  </si>
  <si>
    <t>'1753</t>
  </si>
  <si>
    <t>'2593600</t>
  </si>
  <si>
    <t>275/40R18 99Y P-ZEROA (F) PIRELLI --- 2593600</t>
  </si>
  <si>
    <t>02/01/2024 FC-A-0022-00024218</t>
  </si>
  <si>
    <t>'1820</t>
  </si>
  <si>
    <t>'2074700</t>
  </si>
  <si>
    <t>275/40R18 99Y P7 CINTURATO (*) RUN FLAT PIRELLI --</t>
  </si>
  <si>
    <t>26/04/2022 REM-R-0022-00016596</t>
  </si>
  <si>
    <t>'8437</t>
  </si>
  <si>
    <t>'14765300</t>
  </si>
  <si>
    <t>275/40R18 99Y TURANZA ER300 RFT SM BRIDGESTONE</t>
  </si>
  <si>
    <t>'1765</t>
  </si>
  <si>
    <t>'2153200</t>
  </si>
  <si>
    <t>275/40R19 101Y P-ZERO (*) RUN FLAT  PIRELLI</t>
  </si>
  <si>
    <t>27/01/2022 REM-R-0022-00015594</t>
  </si>
  <si>
    <t>'1791</t>
  </si>
  <si>
    <t>'2648100</t>
  </si>
  <si>
    <t>275/40R19 101Y P-ZERO PIRELLI --- 2648100</t>
  </si>
  <si>
    <t>02/08/2024 FC-A-0022-00026294</t>
  </si>
  <si>
    <t>'8396</t>
  </si>
  <si>
    <t>'16071300</t>
  </si>
  <si>
    <t>275/40R19 101Y POTENZA S001 BRIDGESTONE</t>
  </si>
  <si>
    <t>'511044</t>
  </si>
  <si>
    <t>'29015</t>
  </si>
  <si>
    <t>275/40R19 105Y PS71 KUMHO</t>
  </si>
  <si>
    <t>'8312</t>
  </si>
  <si>
    <t>'18564200</t>
  </si>
  <si>
    <t>275/40R20 102Y TURANZA T005 RFT BRIDGESTONE</t>
  </si>
  <si>
    <t>'8576</t>
  </si>
  <si>
    <t>'17236300</t>
  </si>
  <si>
    <t>275/40R20 106W ALENZA 001 XL RFT BRIDGESTONE</t>
  </si>
  <si>
    <t>'1969</t>
  </si>
  <si>
    <t>'1791600</t>
  </si>
  <si>
    <t>275/40R20 106Y P-ZERO XL  PIRELLI</t>
  </si>
  <si>
    <t>07/06/2024 FC-A-0022-00025643</t>
  </si>
  <si>
    <t>'480000</t>
  </si>
  <si>
    <t>275/45 R20 NEXEN ROADIAN HP XL 110V M+S</t>
  </si>
  <si>
    <t>24/07/2023 FC-A-0200-00297070</t>
  </si>
  <si>
    <t>'1947</t>
  </si>
  <si>
    <t>'1806100</t>
  </si>
  <si>
    <t>275/45R20 110V SCORPION VERDE ALL SEASON XL N0 PIR</t>
  </si>
  <si>
    <t>'1946</t>
  </si>
  <si>
    <t>'2765100</t>
  </si>
  <si>
    <t>275/45R20 110V SCORPION VERDE ALL SEASON XL VOL PI</t>
  </si>
  <si>
    <t>'511066</t>
  </si>
  <si>
    <t>'31555</t>
  </si>
  <si>
    <t>275/45R20 110Y HP91 XL KUMHO</t>
  </si>
  <si>
    <t>06/11/2024 REM-X-0006-00000564</t>
  </si>
  <si>
    <t>'9542</t>
  </si>
  <si>
    <t>'32364</t>
  </si>
  <si>
    <t>275/45R20 110Y TH201 TRIANGLE</t>
  </si>
  <si>
    <t>'8983</t>
  </si>
  <si>
    <t>'2710000</t>
  </si>
  <si>
    <t>275/45R21 107Y P-ZERO (MO) PIRELLI</t>
  </si>
  <si>
    <t>'1876</t>
  </si>
  <si>
    <t>'2166800</t>
  </si>
  <si>
    <t>275/45R21 110Y SCORPION VERDE ALL SEASON XL LR PIR</t>
  </si>
  <si>
    <t>'474000</t>
  </si>
  <si>
    <t>275/55 R17 NEXEN ROADIAN HP 109V M+S</t>
  </si>
  <si>
    <t>'511284</t>
  </si>
  <si>
    <t>'2858100</t>
  </si>
  <si>
    <t>275/55R19 111V SCORPION ZERO AS (MO) PIRELLI</t>
  </si>
  <si>
    <t>'9709</t>
  </si>
  <si>
    <t>275/55R19 111V SCORPION ZERO PIRELLI</t>
  </si>
  <si>
    <t>'552656</t>
  </si>
  <si>
    <t>'1555300</t>
  </si>
  <si>
    <t>275/55R20 111H SCORPION STR   PIRELLI --- FL155530</t>
  </si>
  <si>
    <t>'539780</t>
  </si>
  <si>
    <t>'1852000</t>
  </si>
  <si>
    <t>275/55R20 111S SCORPION ATR  (LETRA BLANCA) PIRELL</t>
  </si>
  <si>
    <t>'1955</t>
  </si>
  <si>
    <t>'2722900</t>
  </si>
  <si>
    <t>275/55R20 113T SCORPION ALL TERRAIN PLUS  (LETRA B</t>
  </si>
  <si>
    <t>09/10/2025 FC-A-0022-00030414</t>
  </si>
  <si>
    <t>'9746</t>
  </si>
  <si>
    <t>'21692</t>
  </si>
  <si>
    <t>275/60R20 114T AT51 KUMHO</t>
  </si>
  <si>
    <t>23/11/2023 REM-R-0004-00000222</t>
  </si>
  <si>
    <t>'9855</t>
  </si>
  <si>
    <t>'22073</t>
  </si>
  <si>
    <t>275/60R20 114T HT51 KUMHO</t>
  </si>
  <si>
    <t>03/07/2025 REM-X-0006-00000655</t>
  </si>
  <si>
    <t>'1958</t>
  </si>
  <si>
    <t>'2722800</t>
  </si>
  <si>
    <t>275/60R20 115T SCORPION ALL TERRAIN PLUS  (LETRA B</t>
  </si>
  <si>
    <t>'9612</t>
  </si>
  <si>
    <t>'4128500</t>
  </si>
  <si>
    <t>275/60R20 115T SCORPION ATR PIRELLI</t>
  </si>
  <si>
    <t>03/01/2024 FC-A-0022-00024232</t>
  </si>
  <si>
    <t>'511143</t>
  </si>
  <si>
    <t>'60735</t>
  </si>
  <si>
    <t>275/60R20 FM501 115T FIREMAX</t>
  </si>
  <si>
    <t>'124887</t>
  </si>
  <si>
    <t>275/65 R17 BRIDGSTONE DUELER A/T 697 115T</t>
  </si>
  <si>
    <t>'8610</t>
  </si>
  <si>
    <t>'16407400</t>
  </si>
  <si>
    <t>275/65R17 115T DUELER A/T 697 BRIDGESTONE</t>
  </si>
  <si>
    <t>'1625</t>
  </si>
  <si>
    <t>'2725100</t>
  </si>
  <si>
    <t>275/65R17 115T SCORPION ALL TERRAIN PLUS   PIRELLI</t>
  </si>
  <si>
    <t>31/05/2024 FC-A-0022-00025536</t>
  </si>
  <si>
    <t>'511273</t>
  </si>
  <si>
    <t>'2722700</t>
  </si>
  <si>
    <t>275/65R18 116T SCORPION ALL TERRAIN PLUS WL PIRELL</t>
  </si>
  <si>
    <t>'124846</t>
  </si>
  <si>
    <t>275/70 R16 BRIDGSTONE DUELER A/T 697 119/116S LT</t>
  </si>
  <si>
    <t>'503625</t>
  </si>
  <si>
    <t>275/70 R18 NEXEN ROADIAN AT PRO RA8 125/122R</t>
  </si>
  <si>
    <t>'1664</t>
  </si>
  <si>
    <t>'2724600</t>
  </si>
  <si>
    <t>275/70R16 114T SCORPION ALL TERRAIN PLUS   PIRELLI</t>
  </si>
  <si>
    <t>'511282</t>
  </si>
  <si>
    <t>'2726400</t>
  </si>
  <si>
    <t>275/70R18 125S SCORPION ALL TERRAIN PLUS WL PIRELL</t>
  </si>
  <si>
    <t>'528159</t>
  </si>
  <si>
    <t>'DU-329019</t>
  </si>
  <si>
    <t>275/80R22.5 149L SP320 DUNLOP</t>
  </si>
  <si>
    <t>'1777</t>
  </si>
  <si>
    <t>'1907000</t>
  </si>
  <si>
    <t>285/35R19 103Y XL P-ZERO PIRELLI --- 1907000</t>
  </si>
  <si>
    <t>27/05/2022 REM-R-0022-00016911</t>
  </si>
  <si>
    <t>'1785</t>
  </si>
  <si>
    <t>'2166200</t>
  </si>
  <si>
    <t>285/35R20 100Y P-ZERO (MGT) PIRELLI --- 2166200</t>
  </si>
  <si>
    <t>08/01/2024 FC-A-0022-00024266</t>
  </si>
  <si>
    <t>'9470</t>
  </si>
  <si>
    <t>'1723300</t>
  </si>
  <si>
    <t>285/40R19 103Y P-ZERO PIRELLI --- 1723300</t>
  </si>
  <si>
    <t>'8548</t>
  </si>
  <si>
    <t>'18449300</t>
  </si>
  <si>
    <t>285/40R21 109Y DUELER H/P SPORT BRIDGESTONE</t>
  </si>
  <si>
    <t>'1654</t>
  </si>
  <si>
    <t>'2728200</t>
  </si>
  <si>
    <t>285/40R21 109Y XL P-ZERO PIRELLI --- 2728200</t>
  </si>
  <si>
    <t>23/09/2024 FC-A-0022-00026814</t>
  </si>
  <si>
    <t>'9472</t>
  </si>
  <si>
    <t>'2423000</t>
  </si>
  <si>
    <t>285/40R21 109Y XL SCORPION VERD (AO) PIRELLI --- 2</t>
  </si>
  <si>
    <t>'8487</t>
  </si>
  <si>
    <t>'10698200</t>
  </si>
  <si>
    <t>285/45R19 107V TURANZA ER30 BRIDGESTONE</t>
  </si>
  <si>
    <t>'8329</t>
  </si>
  <si>
    <t>'17634200</t>
  </si>
  <si>
    <t>285/45R19 107W TURANZA ER30 MO BRIDGESTONE</t>
  </si>
  <si>
    <t>'539781</t>
  </si>
  <si>
    <t>'2728400</t>
  </si>
  <si>
    <t>285/45R20 108W P-ZERO   PIRELLI --- FL2728400</t>
  </si>
  <si>
    <t>'485000</t>
  </si>
  <si>
    <t>285/50 R20 NEXEN ROADIAN HP 116V M+S</t>
  </si>
  <si>
    <t>'539776</t>
  </si>
  <si>
    <t>'2320600</t>
  </si>
  <si>
    <t>285/60R18 120V SCORPION VERDE ALL SEASON XL  PIREL</t>
  </si>
  <si>
    <t>'528050</t>
  </si>
  <si>
    <t>'285/60R18</t>
  </si>
  <si>
    <t>285/60R18 120V SCORPION VERDE ALL SEASON XL PIRELL</t>
  </si>
  <si>
    <t>'528101</t>
  </si>
  <si>
    <t>'28565R17-S-VEAS</t>
  </si>
  <si>
    <t>285/65R17 116H SCORPION VERDE ALL SEASON PIRELLI</t>
  </si>
  <si>
    <t>16/10/2024 FC-A-0022-00027025</t>
  </si>
  <si>
    <t>'9437</t>
  </si>
  <si>
    <t>'2202500</t>
  </si>
  <si>
    <t>285/70R17 116Q SCORPION MTR PIRELLI</t>
  </si>
  <si>
    <t>'510995</t>
  </si>
  <si>
    <t>'60930</t>
  </si>
  <si>
    <t>285/70R17 121/118Q FM523 FIREMAX</t>
  </si>
  <si>
    <t>20/03/2024 REM-R-0009-00000427</t>
  </si>
  <si>
    <t>'9877</t>
  </si>
  <si>
    <t>'21778</t>
  </si>
  <si>
    <t>285/70R17 121/118R AT51 KUMHO</t>
  </si>
  <si>
    <t>28/05/2024 REM-X-0004-00000519</t>
  </si>
  <si>
    <t>'511146</t>
  </si>
  <si>
    <t>'60745</t>
  </si>
  <si>
    <t>285/70R17 121/118S FM501 FIREMAX</t>
  </si>
  <si>
    <t>26/12/2023 REM-R-0045-00117811</t>
  </si>
  <si>
    <t>'1617</t>
  </si>
  <si>
    <t>'2723600</t>
  </si>
  <si>
    <t>285/70R17 121R SCORPION ALL TERRAIN PLUS   PIRELLI</t>
  </si>
  <si>
    <t>06/01/2023 FC-A-0004-00000014</t>
  </si>
  <si>
    <t>'8986</t>
  </si>
  <si>
    <t>'1961800</t>
  </si>
  <si>
    <t>285/75R16 116Q SCORPION MTR PIRELLI</t>
  </si>
  <si>
    <t>'9745</t>
  </si>
  <si>
    <t>'21879</t>
  </si>
  <si>
    <t>285/75R16 AT51 126/123R KUMHO</t>
  </si>
  <si>
    <t>'1830</t>
  </si>
  <si>
    <t>'1737800</t>
  </si>
  <si>
    <t>295/30R19 100Y P-ZERO XL N2 PIRELLI</t>
  </si>
  <si>
    <t>'1795</t>
  </si>
  <si>
    <t>'2039300</t>
  </si>
  <si>
    <t>295/30R20 101Y P-ZERO XL  PIRELLI</t>
  </si>
  <si>
    <t>'1794</t>
  </si>
  <si>
    <t>'2691700</t>
  </si>
  <si>
    <t>295/30R20 101Y P-ZERO XL MO1 PIRELLI</t>
  </si>
  <si>
    <t>'1784</t>
  </si>
  <si>
    <t>'2103800</t>
  </si>
  <si>
    <t>295/35R20 105Y XL P-ZERO (F) PIRELLI --- 2103800</t>
  </si>
  <si>
    <t>15/01/2024 FC-A-0022-00024329</t>
  </si>
  <si>
    <t>'8308</t>
  </si>
  <si>
    <t>'18715300</t>
  </si>
  <si>
    <t>295/35R21 107Y TURANZA T005 XL BRIDGESTONE</t>
  </si>
  <si>
    <t>'1960</t>
  </si>
  <si>
    <t>'1906800</t>
  </si>
  <si>
    <t>295/35R21 107Y XL P-ZERO (RO1) PIRELLI --- 1906800</t>
  </si>
  <si>
    <t>'511285</t>
  </si>
  <si>
    <t>'2205900</t>
  </si>
  <si>
    <t>295/40R20 106Y P-ZERO (N0) PIRELLI</t>
  </si>
  <si>
    <t>'1950</t>
  </si>
  <si>
    <t>'2748000</t>
  </si>
  <si>
    <t>295/45R20 110Y SCORPION VERDE ALL SEASON RUN FLAT</t>
  </si>
  <si>
    <t>'8547</t>
  </si>
  <si>
    <t>'18667200</t>
  </si>
  <si>
    <t>295/45R20 114W ALENZA 001 BRIDGESTONE</t>
  </si>
  <si>
    <t>'528160</t>
  </si>
  <si>
    <t>'DU-351234</t>
  </si>
  <si>
    <t>295/80R22.5 152/148 M DUNLOP SP835</t>
  </si>
  <si>
    <t>'528161</t>
  </si>
  <si>
    <t>'14757</t>
  </si>
  <si>
    <t>295/80R22.5 152M SP835 DUNLOP</t>
  </si>
  <si>
    <t>'528162</t>
  </si>
  <si>
    <t>'DU-331272</t>
  </si>
  <si>
    <t>295/80R22.5 154/149M SP320 DUNLOP</t>
  </si>
  <si>
    <t>'528163</t>
  </si>
  <si>
    <t>'NM-S200TBR00017</t>
  </si>
  <si>
    <t>295/80R22.5 18PR 152/149L CHAO YANG CM988</t>
  </si>
  <si>
    <t>'511200</t>
  </si>
  <si>
    <t>295/80R22.5 AUFINE ENERGY AEL2</t>
  </si>
  <si>
    <t>11/09/2024 FC-A-0002-00027478</t>
  </si>
  <si>
    <t>'8997</t>
  </si>
  <si>
    <t>30.5L32 20PR FLR3 ROMBO NEUMASTER</t>
  </si>
  <si>
    <t>05/04/2021 FC-A-0022-00035686</t>
  </si>
  <si>
    <t>'1829</t>
  </si>
  <si>
    <t>'1737900</t>
  </si>
  <si>
    <t>305/30R19 102Y P-ZERO XL N2 PIRELLI</t>
  </si>
  <si>
    <t>'1783</t>
  </si>
  <si>
    <t>'2617500</t>
  </si>
  <si>
    <t>305/30R20 103Y P-ZERO XL N1 PIRELLI</t>
  </si>
  <si>
    <t>'9750</t>
  </si>
  <si>
    <t>'18917</t>
  </si>
  <si>
    <t>30X9.50R15 104Q KL71 KUMHO 30X9.50</t>
  </si>
  <si>
    <t>09/10/2024 REM-X-0004-00000776</t>
  </si>
  <si>
    <t>'127556</t>
  </si>
  <si>
    <t>315/35 R21 BRIDGSTONE DUELER H/P SPORT XL 111Y</t>
  </si>
  <si>
    <t>'1967</t>
  </si>
  <si>
    <t>'2645200</t>
  </si>
  <si>
    <t>315/35R20 110W P-ZERO XL RUN FLAT  PIRELLI</t>
  </si>
  <si>
    <t>'1926</t>
  </si>
  <si>
    <t>'2634400</t>
  </si>
  <si>
    <t>315/35R21 111Y XL P-ZERO (N0) PIRELLI --- 2634400</t>
  </si>
  <si>
    <t>'511287</t>
  </si>
  <si>
    <t>'2709800</t>
  </si>
  <si>
    <t>315/40R21 111Y P-ZERO (MO) PIRELLI</t>
  </si>
  <si>
    <t>'9835</t>
  </si>
  <si>
    <t>'21779</t>
  </si>
  <si>
    <t>315/70R17 121/118R AT51 KUMHO</t>
  </si>
  <si>
    <t>'539995</t>
  </si>
  <si>
    <t>'2723700</t>
  </si>
  <si>
    <t>315/70R17 121S SCORPION ALL TERRAIN PLUS   PIRELLI</t>
  </si>
  <si>
    <t>'1650</t>
  </si>
  <si>
    <t>'2377500</t>
  </si>
  <si>
    <t>31X10.50R15 109Q SCORPION MTR   PIRELLI</t>
  </si>
  <si>
    <t>24/08/2023 FC-A-0019-00031202</t>
  </si>
  <si>
    <t>'511271</t>
  </si>
  <si>
    <t>'1582500</t>
  </si>
  <si>
    <t>31X10.50R15LT 109S SCORPION ATR WL PIRELLI</t>
  </si>
  <si>
    <t>'552893</t>
  </si>
  <si>
    <t>31X10.5R15 109Q ROADIAN MT NEXEN</t>
  </si>
  <si>
    <t>'511144</t>
  </si>
  <si>
    <t>'19340</t>
  </si>
  <si>
    <t>31X10.5R15 109S AT52</t>
  </si>
  <si>
    <t>05/04/2024 REM-R-0004-00000410</t>
  </si>
  <si>
    <t>'552522</t>
  </si>
  <si>
    <t>'552935</t>
  </si>
  <si>
    <t>31X10.5R15 109S HTX RH5 ROADIAN NEXEN</t>
  </si>
  <si>
    <t>'552523</t>
  </si>
  <si>
    <t>'14762</t>
  </si>
  <si>
    <t>31X10.5R15 6T AT109Q SL369 WEST LAKE</t>
  </si>
  <si>
    <t>16/05/2025 FC-A-0022-00029293</t>
  </si>
  <si>
    <t>31X10.5R15 LANVIGATOR CATCHFORS A/T LT</t>
  </si>
  <si>
    <t>03/10/2025 FC-A-0022-00030370</t>
  </si>
  <si>
    <t>'539820</t>
  </si>
  <si>
    <t>'SZV-3110515</t>
  </si>
  <si>
    <t>31X10.5R15 LT 109S ZIVARO AT PACE</t>
  </si>
  <si>
    <t>'9461</t>
  </si>
  <si>
    <t>'22020</t>
  </si>
  <si>
    <t>5.00R12LT   10 88/86P KC55  KUMHO</t>
  </si>
  <si>
    <t>06/02/2026 REM-X-0006-00000812</t>
  </si>
  <si>
    <t>'528164</t>
  </si>
  <si>
    <t>'NM-A501AG00012</t>
  </si>
  <si>
    <t>6.50X15 6PR CEAT FARMAX TT</t>
  </si>
  <si>
    <t>'552441</t>
  </si>
  <si>
    <t>'16934</t>
  </si>
  <si>
    <t>7.50R16 LT ZAR01 122/121L ZETUM</t>
  </si>
  <si>
    <t>'9580</t>
  </si>
  <si>
    <t>'34001</t>
  </si>
  <si>
    <t>7.50R16LT TR668 122/118L TRIANGLE</t>
  </si>
  <si>
    <t>03/10/2024 REM-X-0004-00000768</t>
  </si>
  <si>
    <t>'9893</t>
  </si>
  <si>
    <t>'AMORTIGUADORAUT</t>
  </si>
  <si>
    <t>AMORTIGUADOR DELANTERO AUTO (POR LADO)</t>
  </si>
  <si>
    <t>'9916</t>
  </si>
  <si>
    <t>'AMORTIGUADORCAM</t>
  </si>
  <si>
    <t>AMORTIGUADOR DELANTERO CAMIONETA (POR LADO)</t>
  </si>
  <si>
    <t>'9485</t>
  </si>
  <si>
    <t>'UC018</t>
  </si>
  <si>
    <t>CREMALLERA DIRECCION FIAT TIPO 93/97</t>
  </si>
  <si>
    <t>'552638</t>
  </si>
  <si>
    <t>'6.50-16 ( RADIA</t>
  </si>
  <si>
    <t>CUBIERTA DE CAMIONETA</t>
  </si>
  <si>
    <t>'1652</t>
  </si>
  <si>
    <t>'2691900</t>
  </si>
  <si>
    <t>DISCONTINUADO 175/70R14 88H SCORPION ATR XL PIRELL</t>
  </si>
  <si>
    <t>02/12/2022 REM-R-0006-00000242</t>
  </si>
  <si>
    <t>'539918</t>
  </si>
  <si>
    <t>'LLANTAFRONTIER</t>
  </si>
  <si>
    <t>LLANTA ALEACION R17 FRONTIER</t>
  </si>
  <si>
    <t>'553102</t>
  </si>
  <si>
    <t>'001-100-E5631</t>
  </si>
  <si>
    <t>LT285/75R16 126/123S G018 YOKOHAMA</t>
  </si>
  <si>
    <t>'9734</t>
  </si>
  <si>
    <t>'215/65R16NEXEN</t>
  </si>
  <si>
    <t>NEUMATICO 215/65R16 98H NEXEN NPRIZ SH9I</t>
  </si>
  <si>
    <t>07/04/2025 FC-A-0022-00028946</t>
  </si>
  <si>
    <t>'9465</t>
  </si>
  <si>
    <t>'CONT235/55R17</t>
  </si>
  <si>
    <t>NEUMATICO CONTINENTAL 235/55R17 99V</t>
  </si>
  <si>
    <t>03/06/2022 REM-R-0004-00000207</t>
  </si>
  <si>
    <t>'9379</t>
  </si>
  <si>
    <t>'1566100</t>
  </si>
  <si>
    <t>NEUMATICO PIRELLI P-ZERO NERO ALL SEASON 235/55R17</t>
  </si>
  <si>
    <t>04/06/2024 REM-X-0004-00000532</t>
  </si>
</sst>
</file>

<file path=xl/styles.xml><?xml version="1.0" encoding="utf-8"?>
<styleSheet xmlns="http://schemas.openxmlformats.org/spreadsheetml/2006/main" xml:space="preserve">
  <numFmts count="1">
    <numFmt numFmtId="164" formatCode="_($* #,##0.00_);_($* (#,##0.00);_($* &quot;-&quot;??_);_(@_)"/>
  </numFmts>
  <fonts count="4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8"/>
      <color rgb="FF000000"/>
      <name val="Courier"/>
    </font>
    <font>
      <b val="1"/>
      <i val="0"/>
      <strike val="0"/>
      <u val="none"/>
      <sz val="12"/>
      <color rgb="FF000000"/>
      <name val="Courier"/>
    </font>
    <font>
      <b val="1"/>
      <i val="0"/>
      <strike val="0"/>
      <u val="none"/>
      <sz val="12"/>
      <color rgb="FF000000"/>
      <name val="Courier New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3F781"/>
        <bgColor rgb="FF000000"/>
      </patternFill>
    </fill>
  </fills>
  <borders count="2">
    <border/>
    <border>
      <top style="thick">
        <color rgb="FF000000"/>
      </top>
    </border>
  </borders>
  <cellStyleXfs count="1">
    <xf numFmtId="0" fontId="0" fillId="0" borderId="0"/>
  </cellStyleXfs>
  <cellXfs count="61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bottom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1533"/>
  <sheetViews>
    <sheetView tabSelected="1" workbookViewId="0" showGridLines="true" showRowColHeaders="1">
      <selection activeCell="A6" sqref="A6"/>
    </sheetView>
  </sheetViews>
  <sheetFormatPr defaultRowHeight="14.4" outlineLevelRow="0" outlineLevelCol="0"/>
  <cols>
    <col min="1" max="1" width="61.556396" bestFit="true" customWidth="true" style="0"/>
    <col min="2" max="2" width="13.85376" bestFit="true" customWidth="true" style="0"/>
    <col min="3" max="3" width="13.85376" bestFit="true" customWidth="true" style="0"/>
    <col min="4" max="4" width="16.99585" bestFit="true" customWidth="true" style="0"/>
    <col min="5" max="5" width="50.987549" bestFit="true" customWidth="true" style="0"/>
    <col min="6" max="6" width="13.85376" bestFit="true" customWidth="true" style="0"/>
    <col min="7" max="7" width="16.567383" bestFit="true" customWidth="true" style="0"/>
    <col min="8" max="8" width="7.426758" bestFit="true" customWidth="true" style="0"/>
    <col min="9" max="9" width="13.85376" bestFit="true" customWidth="true" style="0"/>
    <col min="10" max="10" width="13.85376" bestFit="true" customWidth="true" style="0"/>
    <col min="11" max="11" width="24.136963" bestFit="true" customWidth="true" style="0"/>
    <col min="12" max="12" width="49.844971" bestFit="true" customWidth="true" style="0"/>
    <col min="13" max="13" width="56.414795" bestFit="true" customWidth="true" style="0"/>
    <col min="14" max="14" width="15.13916" bestFit="true" customWidth="true" style="0"/>
    <col min="15" max="15" width="16.567383" bestFit="true" customWidth="true" style="0"/>
    <col min="16" max="16" width="20.280762" bestFit="true" customWidth="true" style="0"/>
    <col min="17" max="17" width="21.708984" bestFit="true" customWidth="true" style="0"/>
    <col min="18" max="18" width="4.855957" bestFit="true" customWidth="true" style="0"/>
    <col min="19" max="19" width="18.995361" bestFit="true" customWidth="true" style="0"/>
    <col min="20" max="20" width="43.417969" bestFit="true" customWidth="true" style="0"/>
    <col min="21" max="21" width="43.417969" bestFit="true" customWidth="true" style="0"/>
    <col min="22" max="22" width="29.278564" bestFit="true" customWidth="true" style="0"/>
    <col min="23" max="23" width="34.420166" bestFit="true" customWidth="true" style="0"/>
    <col min="24" max="24" width="15.996094" bestFit="true" customWidth="true" style="0"/>
    <col min="25" max="25" width="9.10" bestFit="true" style="0"/>
    <col min="26" max="26" width="9.10" bestFit="true" style="0"/>
    <col min="27" max="27" width="9.10" bestFit="true" style="0"/>
  </cols>
  <sheetData>
    <row r="1" spans="1:27">
      <c r="A1" s="1" t="s">
        <v>0</v>
      </c>
    </row>
    <row r="2" spans="1:27">
      <c r="A2" t="s">
        <v>1</v>
      </c>
    </row>
    <row r="3" spans="1:27">
      <c r="A3" t="s">
        <v>2</v>
      </c>
    </row>
    <row r="4" spans="1:27">
      <c r="A4" s="2" t="s">
        <v>3</v>
      </c>
    </row>
    <row r="6" spans="1:27">
      <c r="A6" s="6111" t="s">
        <v>4</v>
      </c>
      <c r="B6" s="6112" t="s">
        <v>5</v>
      </c>
      <c r="C6" s="6112" t="s">
        <v>6</v>
      </c>
      <c r="D6" s="6112" t="s">
        <v>7</v>
      </c>
      <c r="E6" s="6112" t="s">
        <v>8</v>
      </c>
      <c r="F6" s="6112" t="s">
        <v>9</v>
      </c>
      <c r="G6" s="6112" t="s">
        <v>10</v>
      </c>
      <c r="H6" s="6112" t="s">
        <v>11</v>
      </c>
      <c r="I6" s="6112" t="s">
        <v>12</v>
      </c>
      <c r="J6" s="6112" t="s">
        <v>13</v>
      </c>
      <c r="K6" s="6112" t="s">
        <v>14</v>
      </c>
      <c r="L6" s="6112" t="s">
        <v>15</v>
      </c>
      <c r="M6" s="6112" t="s">
        <v>16</v>
      </c>
      <c r="N6" s="6112" t="s">
        <v>17</v>
      </c>
      <c r="O6" s="6112" t="s">
        <v>18</v>
      </c>
      <c r="P6" s="6112" t="s">
        <v>19</v>
      </c>
      <c r="Q6" s="6112" t="s">
        <v>20</v>
      </c>
      <c r="R6" s="6112" t="s">
        <v>21</v>
      </c>
      <c r="S6" s="6112" t="s">
        <v>22</v>
      </c>
      <c r="T6" s="6112" t="s">
        <v>23</v>
      </c>
      <c r="U6" s="6112" t="s">
        <v>24</v>
      </c>
      <c r="V6" s="6112" t="s">
        <v>25</v>
      </c>
      <c r="W6" s="6112" t="s">
        <v>26</v>
      </c>
      <c r="X6" s="6113" t="s">
        <v>27</v>
      </c>
    </row>
    <row r="7" spans="1:27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>
        <v>0</v>
      </c>
      <c r="H7">
        <f>((0/1000) * G7)</f>
        <v>0</v>
      </c>
      <c r="I7">
        <v>0</v>
      </c>
      <c r="J7">
        <v>0</v>
      </c>
      <c r="K7" s="3">
        <v>0</v>
      </c>
      <c r="L7" s="4">
        <f>(K7 * G7)</f>
        <v>0</v>
      </c>
      <c r="M7" s="5">
        <v>0</v>
      </c>
      <c r="N7" s="6">
        <f>(G7 * M7)</f>
        <v>0</v>
      </c>
      <c r="O7">
        <v>0</v>
      </c>
      <c r="P7">
        <v>0</v>
      </c>
      <c r="Q7">
        <f>IF(O7&gt;G7,(O7-G7),0)</f>
        <v>0</v>
      </c>
      <c r="R7">
        <v>0</v>
      </c>
      <c r="S7">
        <f>IF(Q7&gt;0,Int(P7/Q7),0)</f>
        <v>0</v>
      </c>
      <c r="T7">
        <f>0</f>
        <v>0</v>
      </c>
      <c r="U7" t="s">
        <v>34</v>
      </c>
      <c r="V7">
        <v>0</v>
      </c>
      <c r="W7">
        <v>0</v>
      </c>
      <c r="X7"/>
    </row>
    <row r="8" spans="1:27">
      <c r="A8" t="s">
        <v>35</v>
      </c>
      <c r="B8" t="s">
        <v>29</v>
      </c>
      <c r="C8" t="s">
        <v>36</v>
      </c>
      <c r="D8" t="s">
        <v>36</v>
      </c>
      <c r="E8" t="s">
        <v>37</v>
      </c>
      <c r="F8" t="s">
        <v>33</v>
      </c>
      <c r="G8">
        <v>0</v>
      </c>
      <c r="H8">
        <f>((1/1000) * G8)</f>
        <v>0</v>
      </c>
      <c r="I8">
        <v>0</v>
      </c>
      <c r="J8">
        <v>0</v>
      </c>
      <c r="K8" s="7">
        <v>0</v>
      </c>
      <c r="L8" s="8">
        <f>(K8 * G8)</f>
        <v>0</v>
      </c>
      <c r="M8" s="9">
        <v>0</v>
      </c>
      <c r="N8" s="10">
        <f>(G8 * M8)</f>
        <v>0</v>
      </c>
      <c r="O8">
        <v>0</v>
      </c>
      <c r="P8">
        <v>0</v>
      </c>
      <c r="Q8">
        <f>IF(O8&gt;G8,(O8-G8),0)</f>
        <v>0</v>
      </c>
      <c r="R8">
        <v>0</v>
      </c>
      <c r="S8">
        <f>IF(Q8&gt;0,Int(P8/Q8),0)</f>
        <v>0</v>
      </c>
      <c r="T8">
        <f>0</f>
        <v>0</v>
      </c>
      <c r="U8"/>
      <c r="V8">
        <v>0</v>
      </c>
      <c r="W8">
        <v>0</v>
      </c>
      <c r="X8"/>
    </row>
    <row r="9" spans="1:27">
      <c r="A9" t="s">
        <v>35</v>
      </c>
      <c r="B9" t="s">
        <v>29</v>
      </c>
      <c r="C9" t="s">
        <v>38</v>
      </c>
      <c r="D9" t="s">
        <v>39</v>
      </c>
      <c r="E9" t="s">
        <v>40</v>
      </c>
      <c r="F9" t="s">
        <v>41</v>
      </c>
      <c r="G9">
        <v>0</v>
      </c>
      <c r="H9">
        <f>((0/1000) * G9)</f>
        <v>0</v>
      </c>
      <c r="I9">
        <v>0</v>
      </c>
      <c r="J9">
        <v>0</v>
      </c>
      <c r="K9" s="11">
        <v>114462.81</v>
      </c>
      <c r="L9" s="12">
        <f>(K9 * G9)</f>
        <v>0</v>
      </c>
      <c r="M9" s="13">
        <v>125909.09</v>
      </c>
      <c r="N9" s="14">
        <f>(G9 * M9)</f>
        <v>0</v>
      </c>
      <c r="O9">
        <v>8</v>
      </c>
      <c r="P9">
        <v>8</v>
      </c>
      <c r="Q9">
        <f>IF(O9&gt;G9,(O9-G9),0)</f>
        <v>8</v>
      </c>
      <c r="R9">
        <v>1</v>
      </c>
      <c r="S9">
        <f>IF(Q9&gt;0,Int(P9/Q9),0)</f>
        <v>1</v>
      </c>
      <c r="T9">
        <f>49135.99</f>
        <v>49135.99</v>
      </c>
      <c r="U9" t="s">
        <v>42</v>
      </c>
      <c r="V9">
        <v>114462.81</v>
      </c>
      <c r="W9" t="s">
        <v>43</v>
      </c>
      <c r="X9"/>
    </row>
    <row r="10" spans="1:27">
      <c r="A10" t="s">
        <v>35</v>
      </c>
      <c r="B10" t="s">
        <v>29</v>
      </c>
      <c r="C10" t="s">
        <v>44</v>
      </c>
      <c r="D10" t="s">
        <v>45</v>
      </c>
      <c r="E10" t="s">
        <v>46</v>
      </c>
      <c r="F10" t="s">
        <v>33</v>
      </c>
      <c r="G10">
        <v>12</v>
      </c>
      <c r="H10">
        <f>((0/1000) * G10)</f>
        <v>0</v>
      </c>
      <c r="I10">
        <v>0</v>
      </c>
      <c r="J10">
        <v>12</v>
      </c>
      <c r="K10" s="15">
        <v>38842.98</v>
      </c>
      <c r="L10" s="16">
        <f>(K10 * G10)</f>
        <v>466115.76</v>
      </c>
      <c r="M10" s="17">
        <v>42727.28</v>
      </c>
      <c r="N10" s="18">
        <f>(G10 * M10)</f>
        <v>512727.36</v>
      </c>
      <c r="O10">
        <v>0</v>
      </c>
      <c r="P10">
        <v>0</v>
      </c>
      <c r="Q10">
        <f>IF(O10&gt;G10,(O10-G10),0)</f>
        <v>0</v>
      </c>
      <c r="R10">
        <v>1</v>
      </c>
      <c r="S10">
        <f>IF(Q10&gt;0,Int(P10/Q10),0)</f>
        <v>0</v>
      </c>
      <c r="T10">
        <f>38842.98</f>
        <v>38842.98</v>
      </c>
      <c r="U10" t="s">
        <v>47</v>
      </c>
      <c r="V10">
        <v>38842.98</v>
      </c>
      <c r="W10" t="s">
        <v>48</v>
      </c>
      <c r="X10" t="s">
        <v>49</v>
      </c>
    </row>
    <row r="11" spans="1:27">
      <c r="A11" t="s">
        <v>35</v>
      </c>
      <c r="B11" t="s">
        <v>29</v>
      </c>
      <c r="C11" t="s">
        <v>50</v>
      </c>
      <c r="D11" t="s">
        <v>51</v>
      </c>
      <c r="E11" t="s">
        <v>52</v>
      </c>
      <c r="F11" t="s">
        <v>41</v>
      </c>
      <c r="G11">
        <v>8</v>
      </c>
      <c r="H11">
        <f>((0/1000) * G11)</f>
        <v>0</v>
      </c>
      <c r="I11">
        <v>0</v>
      </c>
      <c r="J11">
        <v>8</v>
      </c>
      <c r="K11" s="19">
        <v>40687</v>
      </c>
      <c r="L11" s="20">
        <f>(K11 * G11)</f>
        <v>325496</v>
      </c>
      <c r="M11" s="21">
        <v>70247.93</v>
      </c>
      <c r="N11" s="22">
        <f>(G11 * M11)</f>
        <v>561983.44</v>
      </c>
      <c r="O11">
        <v>0</v>
      </c>
      <c r="P11">
        <v>0</v>
      </c>
      <c r="Q11">
        <f>IF(O11&gt;G11,(O11-G11),0)</f>
        <v>0</v>
      </c>
      <c r="R11">
        <v>0</v>
      </c>
      <c r="S11">
        <f>IF(Q11&gt;0,Int(P11/Q11),0)</f>
        <v>0</v>
      </c>
      <c r="T11">
        <f>42394</f>
        <v>42394</v>
      </c>
      <c r="U11" t="s">
        <v>53</v>
      </c>
      <c r="V11">
        <v>40687</v>
      </c>
      <c r="W11" t="s">
        <v>54</v>
      </c>
      <c r="X11"/>
    </row>
    <row r="12" spans="1:27">
      <c r="A12" t="s">
        <v>35</v>
      </c>
      <c r="B12" t="s">
        <v>29</v>
      </c>
      <c r="C12" t="s">
        <v>55</v>
      </c>
      <c r="D12" t="s">
        <v>56</v>
      </c>
      <c r="E12" t="s">
        <v>57</v>
      </c>
      <c r="F12" t="s">
        <v>41</v>
      </c>
      <c r="G12">
        <v>0</v>
      </c>
      <c r="H12">
        <f>((1/1000) * G12)</f>
        <v>0</v>
      </c>
      <c r="I12">
        <v>0</v>
      </c>
      <c r="J12">
        <v>0</v>
      </c>
      <c r="K12" s="23">
        <v>143187.08</v>
      </c>
      <c r="L12" s="24">
        <f>(K12 * G12)</f>
        <v>0</v>
      </c>
      <c r="M12" s="25">
        <v>157505.79</v>
      </c>
      <c r="N12" s="26">
        <f>(G12 * M12)</f>
        <v>0</v>
      </c>
      <c r="O12">
        <v>0</v>
      </c>
      <c r="P12">
        <v>0</v>
      </c>
      <c r="Q12">
        <f>IF(O12&gt;G12,(O12-G12),0)</f>
        <v>0</v>
      </c>
      <c r="R12">
        <v>1</v>
      </c>
      <c r="S12">
        <f>IF(Q12&gt;0,Int(P12/Q12),0)</f>
        <v>0</v>
      </c>
      <c r="T12">
        <f>0</f>
        <v>0</v>
      </c>
      <c r="U12"/>
      <c r="V12">
        <v>143187.08</v>
      </c>
      <c r="W12" t="s">
        <v>43</v>
      </c>
      <c r="X12"/>
    </row>
    <row r="13" spans="1:27">
      <c r="A13" t="s">
        <v>35</v>
      </c>
      <c r="B13" t="s">
        <v>29</v>
      </c>
      <c r="C13" t="s">
        <v>58</v>
      </c>
      <c r="D13" t="s">
        <v>59</v>
      </c>
      <c r="E13" t="s">
        <v>60</v>
      </c>
      <c r="F13" t="s">
        <v>33</v>
      </c>
      <c r="G13">
        <v>0</v>
      </c>
      <c r="H13">
        <f>((0/1000) * G13)</f>
        <v>0</v>
      </c>
      <c r="I13">
        <v>0</v>
      </c>
      <c r="J13">
        <v>0</v>
      </c>
      <c r="K13" s="27">
        <v>0</v>
      </c>
      <c r="L13" s="28">
        <f>(K13 * G13)</f>
        <v>0</v>
      </c>
      <c r="M13" s="29">
        <v>0</v>
      </c>
      <c r="N13" s="30">
        <f>(G13 * M13)</f>
        <v>0</v>
      </c>
      <c r="O13">
        <v>0</v>
      </c>
      <c r="P13">
        <v>0</v>
      </c>
      <c r="Q13">
        <f>IF(O13&gt;G13,(O13-G13),0)</f>
        <v>0</v>
      </c>
      <c r="R13">
        <v>1</v>
      </c>
      <c r="S13">
        <f>IF(Q13&gt;0,Int(P13/Q13),0)</f>
        <v>0</v>
      </c>
      <c r="T13">
        <f>97220.14</f>
        <v>97220.14</v>
      </c>
      <c r="U13" t="s">
        <v>61</v>
      </c>
      <c r="V13">
        <v>0</v>
      </c>
      <c r="W13">
        <v>0</v>
      </c>
      <c r="X13"/>
    </row>
    <row r="14" spans="1:27">
      <c r="A14" t="s">
        <v>35</v>
      </c>
      <c r="B14" t="s">
        <v>29</v>
      </c>
      <c r="C14" t="s">
        <v>62</v>
      </c>
      <c r="D14" t="s">
        <v>63</v>
      </c>
      <c r="E14" t="s">
        <v>64</v>
      </c>
      <c r="F14" t="s">
        <v>41</v>
      </c>
      <c r="G14">
        <v>0</v>
      </c>
      <c r="H14">
        <f>((1/1000) * G14)</f>
        <v>0</v>
      </c>
      <c r="I14">
        <v>0</v>
      </c>
      <c r="J14">
        <v>0</v>
      </c>
      <c r="K14" s="31">
        <v>144260.81</v>
      </c>
      <c r="L14" s="32">
        <f>(K14 * G14)</f>
        <v>0</v>
      </c>
      <c r="M14" s="33">
        <v>158686.89</v>
      </c>
      <c r="N14" s="34">
        <f>(G14 * M14)</f>
        <v>0</v>
      </c>
      <c r="O14">
        <v>0</v>
      </c>
      <c r="P14">
        <v>0</v>
      </c>
      <c r="Q14">
        <f>IF(O14&gt;G14,(O14-G14),0)</f>
        <v>0</v>
      </c>
      <c r="R14">
        <v>1</v>
      </c>
      <c r="S14">
        <f>IF(Q14&gt;0,Int(P14/Q14),0)</f>
        <v>0</v>
      </c>
      <c r="T14">
        <f>0</f>
        <v>0</v>
      </c>
      <c r="U14"/>
      <c r="V14">
        <v>144260.81</v>
      </c>
      <c r="W14" t="s">
        <v>43</v>
      </c>
      <c r="X14"/>
    </row>
    <row r="15" spans="1:27">
      <c r="A15" t="s">
        <v>35</v>
      </c>
      <c r="B15" t="s">
        <v>29</v>
      </c>
      <c r="C15" t="s">
        <v>65</v>
      </c>
      <c r="D15" t="s">
        <v>65</v>
      </c>
      <c r="E15" t="s">
        <v>66</v>
      </c>
      <c r="F15" t="s">
        <v>33</v>
      </c>
      <c r="G15">
        <v>0</v>
      </c>
      <c r="H15">
        <f>((1/1000) * G15)</f>
        <v>0</v>
      </c>
      <c r="I15">
        <v>0</v>
      </c>
      <c r="J15">
        <v>0</v>
      </c>
      <c r="K15" s="35">
        <v>0</v>
      </c>
      <c r="L15" s="36">
        <f>(K15 * G15)</f>
        <v>0</v>
      </c>
      <c r="M15" s="37">
        <v>0</v>
      </c>
      <c r="N15" s="38">
        <f>(G15 * M15)</f>
        <v>0</v>
      </c>
      <c r="O15">
        <v>0</v>
      </c>
      <c r="P15">
        <v>0</v>
      </c>
      <c r="Q15">
        <f>IF(O15&gt;G15,(O15-G15),0)</f>
        <v>0</v>
      </c>
      <c r="R15">
        <v>0</v>
      </c>
      <c r="S15">
        <f>IF(Q15&gt;0,Int(P15/Q15),0)</f>
        <v>0</v>
      </c>
      <c r="T15">
        <f>0</f>
        <v>0</v>
      </c>
      <c r="U15" t="s">
        <v>67</v>
      </c>
      <c r="V15">
        <v>0</v>
      </c>
      <c r="W15">
        <v>0</v>
      </c>
      <c r="X15"/>
    </row>
    <row r="16" spans="1:27">
      <c r="A16" t="s">
        <v>35</v>
      </c>
      <c r="B16" t="s">
        <v>29</v>
      </c>
      <c r="C16" t="s">
        <v>68</v>
      </c>
      <c r="D16" t="s">
        <v>69</v>
      </c>
      <c r="E16" t="s">
        <v>70</v>
      </c>
      <c r="F16" t="s">
        <v>41</v>
      </c>
      <c r="G16">
        <v>0</v>
      </c>
      <c r="H16">
        <f>((1/1000) * G16)</f>
        <v>0</v>
      </c>
      <c r="I16">
        <v>0</v>
      </c>
      <c r="J16">
        <v>0</v>
      </c>
      <c r="K16" s="39">
        <v>136448.89</v>
      </c>
      <c r="L16" s="40">
        <f>(K16 * G16)</f>
        <v>0</v>
      </c>
      <c r="M16" s="41">
        <v>150093.78</v>
      </c>
      <c r="N16" s="42">
        <f>(G16 * M16)</f>
        <v>0</v>
      </c>
      <c r="O16">
        <v>0</v>
      </c>
      <c r="P16">
        <v>0</v>
      </c>
      <c r="Q16">
        <f>IF(O16&gt;G16,(O16-G16),0)</f>
        <v>0</v>
      </c>
      <c r="R16">
        <v>1</v>
      </c>
      <c r="S16">
        <f>IF(Q16&gt;0,Int(P16/Q16),0)</f>
        <v>0</v>
      </c>
      <c r="T16">
        <f>0</f>
        <v>0</v>
      </c>
      <c r="U16"/>
      <c r="V16">
        <v>136448.89</v>
      </c>
      <c r="W16" t="s">
        <v>43</v>
      </c>
      <c r="X16"/>
    </row>
    <row r="17" spans="1:27">
      <c r="A17" t="s">
        <v>35</v>
      </c>
      <c r="B17" t="s">
        <v>29</v>
      </c>
      <c r="C17" t="s">
        <v>71</v>
      </c>
      <c r="D17" t="s">
        <v>72</v>
      </c>
      <c r="E17" t="s">
        <v>73</v>
      </c>
      <c r="F17" t="s">
        <v>33</v>
      </c>
      <c r="G17">
        <v>0</v>
      </c>
      <c r="H17">
        <f>((0/1000) * G17)</f>
        <v>0</v>
      </c>
      <c r="I17">
        <v>0</v>
      </c>
      <c r="J17">
        <v>0</v>
      </c>
      <c r="K17" s="43">
        <v>55000</v>
      </c>
      <c r="L17" s="44">
        <f>(K17 * G17)</f>
        <v>0</v>
      </c>
      <c r="M17" s="45">
        <v>77000</v>
      </c>
      <c r="N17" s="46">
        <f>(G17 * M17)</f>
        <v>0</v>
      </c>
      <c r="O17">
        <v>0</v>
      </c>
      <c r="P17">
        <v>0</v>
      </c>
      <c r="Q17">
        <f>IF(O17&gt;G17,(O17-G17),0)</f>
        <v>0</v>
      </c>
      <c r="R17">
        <v>1</v>
      </c>
      <c r="S17">
        <f>IF(Q17&gt;0,Int(P17/Q17),0)</f>
        <v>0</v>
      </c>
      <c r="T17">
        <f>87152.52</f>
        <v>87152.52</v>
      </c>
      <c r="U17" t="s">
        <v>74</v>
      </c>
      <c r="V17">
        <v>55000</v>
      </c>
      <c r="W17" t="s">
        <v>75</v>
      </c>
      <c r="X17"/>
    </row>
    <row r="18" spans="1:27">
      <c r="A18" t="s">
        <v>35</v>
      </c>
      <c r="B18" t="s">
        <v>29</v>
      </c>
      <c r="C18" t="s">
        <v>76</v>
      </c>
      <c r="D18" t="s">
        <v>77</v>
      </c>
      <c r="E18" t="s">
        <v>78</v>
      </c>
      <c r="F18" t="s">
        <v>41</v>
      </c>
      <c r="G18">
        <v>4</v>
      </c>
      <c r="H18">
        <f>((0/1000) * G18)</f>
        <v>0</v>
      </c>
      <c r="I18">
        <v>0</v>
      </c>
      <c r="J18">
        <v>4</v>
      </c>
      <c r="K18" s="47">
        <v>51461</v>
      </c>
      <c r="L18" s="48">
        <f>(K18 * G18)</f>
        <v>205844</v>
      </c>
      <c r="M18" s="49">
        <v>77191.5</v>
      </c>
      <c r="N18" s="50">
        <f>(G18 * M18)</f>
        <v>308766</v>
      </c>
      <c r="O18">
        <v>0</v>
      </c>
      <c r="P18">
        <v>0</v>
      </c>
      <c r="Q18">
        <f>IF(O18&gt;G18,(O18-G18),0)</f>
        <v>0</v>
      </c>
      <c r="R18">
        <v>1</v>
      </c>
      <c r="S18">
        <f>IF(Q18&gt;0,Int(P18/Q18),0)</f>
        <v>0</v>
      </c>
      <c r="T18">
        <f>51461</f>
        <v>51461</v>
      </c>
      <c r="U18" t="s">
        <v>79</v>
      </c>
      <c r="V18">
        <v>51461</v>
      </c>
      <c r="W18" t="s">
        <v>80</v>
      </c>
      <c r="X18" t="s">
        <v>81</v>
      </c>
    </row>
    <row r="19" spans="1:27">
      <c r="A19" t="s">
        <v>35</v>
      </c>
      <c r="B19" t="s">
        <v>29</v>
      </c>
      <c r="C19" t="s">
        <v>82</v>
      </c>
      <c r="D19" t="s">
        <v>83</v>
      </c>
      <c r="E19" t="s">
        <v>84</v>
      </c>
      <c r="F19" t="s">
        <v>33</v>
      </c>
      <c r="G19">
        <v>0</v>
      </c>
      <c r="H19">
        <f>((0/1000) * G19)</f>
        <v>0</v>
      </c>
      <c r="I19">
        <v>0</v>
      </c>
      <c r="J19">
        <v>0</v>
      </c>
      <c r="K19" s="51">
        <v>55939.87</v>
      </c>
      <c r="L19" s="52">
        <f>(K19 * G19)</f>
        <v>0</v>
      </c>
      <c r="M19" s="53">
        <v>78315.82</v>
      </c>
      <c r="N19" s="54">
        <f>(G19 * M19)</f>
        <v>0</v>
      </c>
      <c r="O19">
        <v>0</v>
      </c>
      <c r="P19">
        <v>0</v>
      </c>
      <c r="Q19">
        <f>IF(O19&gt;G19,(O19-G19),0)</f>
        <v>0</v>
      </c>
      <c r="R19">
        <v>1</v>
      </c>
      <c r="S19">
        <f>IF(Q19&gt;0,Int(P19/Q19),0)</f>
        <v>0</v>
      </c>
      <c r="T19">
        <f>0</f>
        <v>0</v>
      </c>
      <c r="U19"/>
      <c r="V19">
        <v>55939.87</v>
      </c>
      <c r="W19" t="s">
        <v>75</v>
      </c>
      <c r="X19"/>
    </row>
    <row r="20" spans="1:27">
      <c r="A20" t="s">
        <v>35</v>
      </c>
      <c r="B20" t="s">
        <v>29</v>
      </c>
      <c r="C20" t="s">
        <v>85</v>
      </c>
      <c r="D20" t="s">
        <v>86</v>
      </c>
      <c r="E20" t="s">
        <v>87</v>
      </c>
      <c r="F20" t="s">
        <v>33</v>
      </c>
      <c r="G20">
        <v>0</v>
      </c>
      <c r="H20">
        <f>((0/1000) * G20)</f>
        <v>0</v>
      </c>
      <c r="I20">
        <v>0</v>
      </c>
      <c r="J20">
        <v>0</v>
      </c>
      <c r="K20" s="55">
        <v>78335.71</v>
      </c>
      <c r="L20" s="56">
        <f>(K20 * G20)</f>
        <v>0</v>
      </c>
      <c r="M20" s="57">
        <v>109670</v>
      </c>
      <c r="N20" s="58">
        <f>(G20 * M20)</f>
        <v>0</v>
      </c>
      <c r="O20">
        <v>0</v>
      </c>
      <c r="P20">
        <v>0</v>
      </c>
      <c r="Q20">
        <f>IF(O20&gt;G20,(O20-G20),0)</f>
        <v>0</v>
      </c>
      <c r="R20">
        <v>1</v>
      </c>
      <c r="S20">
        <f>IF(Q20&gt;0,Int(P20/Q20),0)</f>
        <v>0</v>
      </c>
      <c r="T20">
        <f>78335.71</f>
        <v>78335.71</v>
      </c>
      <c r="U20" t="s">
        <v>88</v>
      </c>
      <c r="V20">
        <v>78335.71</v>
      </c>
      <c r="W20" t="s">
        <v>75</v>
      </c>
      <c r="X20"/>
    </row>
    <row r="21" spans="1:27">
      <c r="A21" t="s">
        <v>35</v>
      </c>
      <c r="B21" t="s">
        <v>29</v>
      </c>
      <c r="C21" t="s">
        <v>89</v>
      </c>
      <c r="D21" t="s">
        <v>90</v>
      </c>
      <c r="E21" t="s">
        <v>91</v>
      </c>
      <c r="F21" t="s">
        <v>41</v>
      </c>
      <c r="G21">
        <v>0</v>
      </c>
      <c r="H21">
        <f>((0/1000) * G21)</f>
        <v>0</v>
      </c>
      <c r="I21">
        <v>0</v>
      </c>
      <c r="J21">
        <v>0</v>
      </c>
      <c r="K21" s="59">
        <v>0</v>
      </c>
      <c r="L21" s="60">
        <f>(K21 * G21)</f>
        <v>0</v>
      </c>
      <c r="M21" s="61">
        <v>0</v>
      </c>
      <c r="N21" s="62">
        <f>(G21 * M21)</f>
        <v>0</v>
      </c>
      <c r="O21">
        <v>0</v>
      </c>
      <c r="P21">
        <v>0</v>
      </c>
      <c r="Q21">
        <f>IF(O21&gt;G21,(O21-G21),0)</f>
        <v>0</v>
      </c>
      <c r="R21">
        <v>1</v>
      </c>
      <c r="S21">
        <f>IF(Q21&gt;0,Int(P21/Q21),0)</f>
        <v>0</v>
      </c>
      <c r="T21">
        <f>84297.52</f>
        <v>84297.52</v>
      </c>
      <c r="U21" t="s">
        <v>92</v>
      </c>
      <c r="V21">
        <v>0</v>
      </c>
      <c r="W21">
        <v>0</v>
      </c>
      <c r="X21"/>
    </row>
    <row r="22" spans="1:27">
      <c r="A22" t="s">
        <v>35</v>
      </c>
      <c r="B22" t="s">
        <v>29</v>
      </c>
      <c r="C22" t="s">
        <v>93</v>
      </c>
      <c r="D22" t="s">
        <v>94</v>
      </c>
      <c r="E22" t="s">
        <v>95</v>
      </c>
      <c r="F22" t="s">
        <v>33</v>
      </c>
      <c r="G22">
        <v>0</v>
      </c>
      <c r="H22">
        <f>((0/1000) * G22)</f>
        <v>0</v>
      </c>
      <c r="I22">
        <v>0</v>
      </c>
      <c r="J22">
        <v>0</v>
      </c>
      <c r="K22" s="63">
        <v>42147</v>
      </c>
      <c r="L22" s="64">
        <f>(K22 * G22)</f>
        <v>0</v>
      </c>
      <c r="M22" s="65">
        <v>76033.06</v>
      </c>
      <c r="N22" s="66">
        <f>(G22 * M22)</f>
        <v>0</v>
      </c>
      <c r="O22">
        <v>0</v>
      </c>
      <c r="P22">
        <v>0</v>
      </c>
      <c r="Q22">
        <f>IF(O22&gt;G22,(O22-G22),0)</f>
        <v>0</v>
      </c>
      <c r="R22">
        <v>0</v>
      </c>
      <c r="S22">
        <f>IF(Q22&gt;0,Int(P22/Q22),0)</f>
        <v>0</v>
      </c>
      <c r="T22">
        <f>0</f>
        <v>0</v>
      </c>
      <c r="U22" t="s">
        <v>96</v>
      </c>
      <c r="V22">
        <v>42147</v>
      </c>
      <c r="W22" t="s">
        <v>97</v>
      </c>
      <c r="X22"/>
    </row>
    <row r="23" spans="1:27">
      <c r="A23" t="s">
        <v>35</v>
      </c>
      <c r="B23" t="s">
        <v>29</v>
      </c>
      <c r="C23" t="s">
        <v>98</v>
      </c>
      <c r="D23" t="s">
        <v>99</v>
      </c>
      <c r="E23" t="s">
        <v>100</v>
      </c>
      <c r="F23" t="s">
        <v>41</v>
      </c>
      <c r="G23">
        <v>0</v>
      </c>
      <c r="H23">
        <f>((1/1000) * G23)</f>
        <v>0</v>
      </c>
      <c r="I23">
        <v>0</v>
      </c>
      <c r="J23">
        <v>0</v>
      </c>
      <c r="K23" s="67">
        <v>143187.08</v>
      </c>
      <c r="L23" s="68">
        <f>(K23 * G23)</f>
        <v>0</v>
      </c>
      <c r="M23" s="69">
        <v>157505.79</v>
      </c>
      <c r="N23" s="70">
        <f>(G23 * M23)</f>
        <v>0</v>
      </c>
      <c r="O23">
        <v>0</v>
      </c>
      <c r="P23">
        <v>0</v>
      </c>
      <c r="Q23">
        <f>IF(O23&gt;G23,(O23-G23),0)</f>
        <v>0</v>
      </c>
      <c r="R23">
        <v>1</v>
      </c>
      <c r="S23">
        <f>IF(Q23&gt;0,Int(P23/Q23),0)</f>
        <v>0</v>
      </c>
      <c r="T23">
        <f>0</f>
        <v>0</v>
      </c>
      <c r="U23"/>
      <c r="V23">
        <v>143187.08</v>
      </c>
      <c r="W23" t="s">
        <v>43</v>
      </c>
      <c r="X23"/>
    </row>
    <row r="24" spans="1:27">
      <c r="A24" t="s">
        <v>35</v>
      </c>
      <c r="B24" t="s">
        <v>29</v>
      </c>
      <c r="C24" t="s">
        <v>101</v>
      </c>
      <c r="D24" t="s">
        <v>102</v>
      </c>
      <c r="E24" t="s">
        <v>103</v>
      </c>
      <c r="F24" t="s">
        <v>33</v>
      </c>
      <c r="G24">
        <v>0</v>
      </c>
      <c r="H24">
        <f>((0/1000) * G24)</f>
        <v>0</v>
      </c>
      <c r="I24">
        <v>0</v>
      </c>
      <c r="J24">
        <v>0</v>
      </c>
      <c r="K24" s="71">
        <v>125018.3</v>
      </c>
      <c r="L24" s="72">
        <f>(K24 * G24)</f>
        <v>0</v>
      </c>
      <c r="M24" s="73">
        <v>175025.62</v>
      </c>
      <c r="N24" s="74">
        <f>(G24 * M24)</f>
        <v>0</v>
      </c>
      <c r="O24">
        <v>0</v>
      </c>
      <c r="P24">
        <v>0</v>
      </c>
      <c r="Q24">
        <f>IF(O24&gt;G24,(O24-G24),0)</f>
        <v>0</v>
      </c>
      <c r="R24">
        <v>0</v>
      </c>
      <c r="S24">
        <f>IF(Q24&gt;0,Int(P24/Q24),0)</f>
        <v>0</v>
      </c>
      <c r="T24">
        <f>0</f>
        <v>0</v>
      </c>
      <c r="U24"/>
      <c r="V24">
        <v>125018.3</v>
      </c>
      <c r="W24" t="s">
        <v>75</v>
      </c>
      <c r="X24"/>
    </row>
    <row r="25" spans="1:27">
      <c r="A25" t="s">
        <v>35</v>
      </c>
      <c r="B25" t="s">
        <v>29</v>
      </c>
      <c r="C25" t="s">
        <v>104</v>
      </c>
      <c r="D25" t="s">
        <v>105</v>
      </c>
      <c r="E25" t="s">
        <v>106</v>
      </c>
      <c r="F25" t="s">
        <v>33</v>
      </c>
      <c r="G25">
        <v>0</v>
      </c>
      <c r="H25">
        <f>((0/1000) * G25)</f>
        <v>0</v>
      </c>
      <c r="I25">
        <v>0</v>
      </c>
      <c r="J25">
        <v>0</v>
      </c>
      <c r="K25" s="75">
        <v>41809.09</v>
      </c>
      <c r="L25" s="76">
        <f>(K25 * G25)</f>
        <v>0</v>
      </c>
      <c r="M25" s="77">
        <v>65132.72</v>
      </c>
      <c r="N25" s="78">
        <f>(G25 * M25)</f>
        <v>0</v>
      </c>
      <c r="O25">
        <v>0</v>
      </c>
      <c r="P25">
        <v>0</v>
      </c>
      <c r="Q25">
        <f>IF(O25&gt;G25,(O25-G25),0)</f>
        <v>0</v>
      </c>
      <c r="R25">
        <v>1</v>
      </c>
      <c r="S25">
        <f>IF(Q25&gt;0,Int(P25/Q25),0)</f>
        <v>0</v>
      </c>
      <c r="T25">
        <f>0</f>
        <v>0</v>
      </c>
      <c r="U25" t="s">
        <v>107</v>
      </c>
      <c r="V25">
        <v>41809.09</v>
      </c>
      <c r="W25" t="s">
        <v>43</v>
      </c>
      <c r="X25"/>
    </row>
    <row r="26" spans="1:27">
      <c r="A26" t="s">
        <v>35</v>
      </c>
      <c r="B26" t="s">
        <v>29</v>
      </c>
      <c r="C26" t="s">
        <v>108</v>
      </c>
      <c r="D26" t="s">
        <v>109</v>
      </c>
      <c r="E26" t="s">
        <v>110</v>
      </c>
      <c r="F26" t="s">
        <v>33</v>
      </c>
      <c r="G26">
        <v>0</v>
      </c>
      <c r="H26">
        <f>((0/1000) * G26)</f>
        <v>0</v>
      </c>
      <c r="I26">
        <v>0</v>
      </c>
      <c r="J26">
        <v>0</v>
      </c>
      <c r="K26" s="79">
        <v>43842.86</v>
      </c>
      <c r="L26" s="80">
        <f>(K26 * G26)</f>
        <v>0</v>
      </c>
      <c r="M26" s="81">
        <v>61380</v>
      </c>
      <c r="N26" s="82">
        <f>(G26 * M26)</f>
        <v>0</v>
      </c>
      <c r="O26">
        <v>0</v>
      </c>
      <c r="P26">
        <v>0</v>
      </c>
      <c r="Q26">
        <f>IF(O26&gt;G26,(O26-G26),0)</f>
        <v>0</v>
      </c>
      <c r="R26">
        <v>1</v>
      </c>
      <c r="S26">
        <f>IF(Q26&gt;0,Int(P26/Q26),0)</f>
        <v>0</v>
      </c>
      <c r="T26">
        <f>40744</f>
        <v>40744</v>
      </c>
      <c r="U26" t="s">
        <v>111</v>
      </c>
      <c r="V26">
        <v>43842.86</v>
      </c>
      <c r="W26" t="s">
        <v>75</v>
      </c>
      <c r="X26"/>
    </row>
    <row r="27" spans="1:27">
      <c r="A27" t="s">
        <v>35</v>
      </c>
      <c r="B27" t="s">
        <v>29</v>
      </c>
      <c r="C27" t="s">
        <v>112</v>
      </c>
      <c r="D27" t="s">
        <v>113</v>
      </c>
      <c r="E27" t="s">
        <v>114</v>
      </c>
      <c r="F27" t="s">
        <v>41</v>
      </c>
      <c r="G27">
        <v>1</v>
      </c>
      <c r="H27">
        <f>((0/1000) * G27)</f>
        <v>0</v>
      </c>
      <c r="I27">
        <v>0</v>
      </c>
      <c r="J27">
        <v>1</v>
      </c>
      <c r="K27" s="83">
        <v>47677.28</v>
      </c>
      <c r="L27" s="84">
        <f>(K27 * G27)</f>
        <v>47677.28</v>
      </c>
      <c r="M27" s="85">
        <v>71515.92</v>
      </c>
      <c r="N27" s="86">
        <f>(G27 * M27)</f>
        <v>71515.92</v>
      </c>
      <c r="O27">
        <v>0</v>
      </c>
      <c r="P27">
        <v>0</v>
      </c>
      <c r="Q27">
        <f>IF(O27&gt;G27,(O27-G27),0)</f>
        <v>0</v>
      </c>
      <c r="R27">
        <v>1</v>
      </c>
      <c r="S27">
        <f>IF(Q27&gt;0,Int(P27/Q27),0)</f>
        <v>0</v>
      </c>
      <c r="T27">
        <f>43342.98</f>
        <v>43342.98</v>
      </c>
      <c r="U27" t="s">
        <v>115</v>
      </c>
      <c r="V27">
        <v>47677.28</v>
      </c>
      <c r="W27" t="s">
        <v>43</v>
      </c>
      <c r="X27"/>
    </row>
    <row r="28" spans="1:27">
      <c r="A28" t="s">
        <v>35</v>
      </c>
      <c r="B28" t="s">
        <v>29</v>
      </c>
      <c r="C28" t="s">
        <v>116</v>
      </c>
      <c r="D28" t="s">
        <v>117</v>
      </c>
      <c r="E28" t="s">
        <v>118</v>
      </c>
      <c r="F28" t="s">
        <v>41</v>
      </c>
      <c r="G28">
        <v>0</v>
      </c>
      <c r="H28">
        <f>((1/1000) * G28)</f>
        <v>0</v>
      </c>
      <c r="I28">
        <v>0</v>
      </c>
      <c r="J28">
        <v>0</v>
      </c>
      <c r="K28" s="87">
        <v>0</v>
      </c>
      <c r="L28" s="88">
        <f>(K28 * G28)</f>
        <v>0</v>
      </c>
      <c r="M28" s="89">
        <v>0</v>
      </c>
      <c r="N28" s="90">
        <f>(G28 * M28)</f>
        <v>0</v>
      </c>
      <c r="O28">
        <v>0</v>
      </c>
      <c r="P28">
        <v>0</v>
      </c>
      <c r="Q28">
        <f>IF(O28&gt;G28,(O28-G28),0)</f>
        <v>0</v>
      </c>
      <c r="R28">
        <v>0</v>
      </c>
      <c r="S28">
        <f>IF(Q28&gt;0,Int(P28/Q28),0)</f>
        <v>0</v>
      </c>
      <c r="T28">
        <f>0</f>
        <v>0</v>
      </c>
      <c r="U28"/>
      <c r="V28">
        <v>0</v>
      </c>
      <c r="W28">
        <v>0</v>
      </c>
      <c r="X28"/>
    </row>
    <row r="29" spans="1:27">
      <c r="A29" t="s">
        <v>35</v>
      </c>
      <c r="B29" t="s">
        <v>29</v>
      </c>
      <c r="C29" t="s">
        <v>119</v>
      </c>
      <c r="D29" t="s">
        <v>120</v>
      </c>
      <c r="E29" t="s">
        <v>121</v>
      </c>
      <c r="F29" t="s">
        <v>41</v>
      </c>
      <c r="G29">
        <v>26</v>
      </c>
      <c r="H29">
        <f>((0/1000) * G29)</f>
        <v>0</v>
      </c>
      <c r="I29">
        <v>0</v>
      </c>
      <c r="J29">
        <v>26</v>
      </c>
      <c r="K29" s="91">
        <v>38625</v>
      </c>
      <c r="L29" s="92">
        <f>(K29 * G29)</f>
        <v>1004250</v>
      </c>
      <c r="M29" s="93">
        <v>66505.79</v>
      </c>
      <c r="N29" s="94">
        <f>(G29 * M29)</f>
        <v>1729150.54</v>
      </c>
      <c r="O29">
        <v>0</v>
      </c>
      <c r="P29">
        <v>0</v>
      </c>
      <c r="Q29">
        <f>IF(O29&gt;G29,(O29-G29),0)</f>
        <v>0</v>
      </c>
      <c r="R29">
        <v>1</v>
      </c>
      <c r="S29">
        <f>IF(Q29&gt;0,Int(P29/Q29),0)</f>
        <v>0</v>
      </c>
      <c r="T29">
        <f>38625</f>
        <v>38625</v>
      </c>
      <c r="U29" t="s">
        <v>122</v>
      </c>
      <c r="V29">
        <v>38625</v>
      </c>
      <c r="W29" t="s">
        <v>123</v>
      </c>
      <c r="X29" t="s">
        <v>49</v>
      </c>
    </row>
    <row r="30" spans="1:27">
      <c r="A30" t="s">
        <v>35</v>
      </c>
      <c r="B30" t="s">
        <v>29</v>
      </c>
      <c r="C30" t="s">
        <v>124</v>
      </c>
      <c r="D30" t="s">
        <v>125</v>
      </c>
      <c r="E30" t="s">
        <v>126</v>
      </c>
      <c r="F30" t="s">
        <v>33</v>
      </c>
      <c r="G30">
        <v>0</v>
      </c>
      <c r="H30">
        <f>((0/1000) * G30)</f>
        <v>0</v>
      </c>
      <c r="I30">
        <v>0</v>
      </c>
      <c r="J30">
        <v>0</v>
      </c>
      <c r="K30" s="95">
        <v>71156.4</v>
      </c>
      <c r="L30" s="96">
        <f>(K30 * G30)</f>
        <v>0</v>
      </c>
      <c r="M30" s="97">
        <v>99618.96</v>
      </c>
      <c r="N30" s="98">
        <f>(G30 * M30)</f>
        <v>0</v>
      </c>
      <c r="O30">
        <v>0</v>
      </c>
      <c r="P30">
        <v>0</v>
      </c>
      <c r="Q30">
        <f>IF(O30&gt;G30,(O30-G30),0)</f>
        <v>0</v>
      </c>
      <c r="R30">
        <v>1</v>
      </c>
      <c r="S30">
        <f>IF(Q30&gt;0,Int(P30/Q30),0)</f>
        <v>0</v>
      </c>
      <c r="T30">
        <f>64687.63</f>
        <v>64687.63</v>
      </c>
      <c r="U30" t="s">
        <v>127</v>
      </c>
      <c r="V30">
        <v>71156.4</v>
      </c>
      <c r="W30" t="s">
        <v>75</v>
      </c>
      <c r="X30"/>
    </row>
    <row r="31" spans="1:27">
      <c r="A31" t="s">
        <v>35</v>
      </c>
      <c r="B31" t="s">
        <v>29</v>
      </c>
      <c r="C31" t="s">
        <v>128</v>
      </c>
      <c r="D31" t="s">
        <v>129</v>
      </c>
      <c r="E31" t="s">
        <v>130</v>
      </c>
      <c r="F31" t="s">
        <v>33</v>
      </c>
      <c r="G31">
        <v>0</v>
      </c>
      <c r="H31">
        <f>((0/1000) * G31)</f>
        <v>0</v>
      </c>
      <c r="I31">
        <v>0</v>
      </c>
      <c r="J31">
        <v>0</v>
      </c>
      <c r="K31" s="99">
        <v>79200</v>
      </c>
      <c r="L31" s="100">
        <f>(K31 * G31)</f>
        <v>0</v>
      </c>
      <c r="M31" s="101">
        <v>79200</v>
      </c>
      <c r="N31" s="102">
        <f>(G31 * M31)</f>
        <v>0</v>
      </c>
      <c r="O31">
        <v>0</v>
      </c>
      <c r="P31">
        <v>0</v>
      </c>
      <c r="Q31">
        <f>IF(O31&gt;G31,(O31-G31),0)</f>
        <v>0</v>
      </c>
      <c r="R31">
        <v>1</v>
      </c>
      <c r="S31">
        <f>IF(Q31&gt;0,Int(P31/Q31),0)</f>
        <v>0</v>
      </c>
      <c r="T31">
        <f>74201.99</f>
        <v>74201.99</v>
      </c>
      <c r="U31" t="s">
        <v>131</v>
      </c>
      <c r="V31">
        <v>79200</v>
      </c>
      <c r="W31" t="s">
        <v>43</v>
      </c>
      <c r="X31"/>
    </row>
    <row r="32" spans="1:27">
      <c r="A32" t="s">
        <v>35</v>
      </c>
      <c r="B32" t="s">
        <v>29</v>
      </c>
      <c r="C32" t="s">
        <v>132</v>
      </c>
      <c r="D32" t="s">
        <v>133</v>
      </c>
      <c r="E32" t="s">
        <v>134</v>
      </c>
      <c r="F32" t="s">
        <v>41</v>
      </c>
      <c r="G32">
        <v>1</v>
      </c>
      <c r="H32">
        <f>((0/1000) * G32)</f>
        <v>0</v>
      </c>
      <c r="I32">
        <v>0</v>
      </c>
      <c r="J32">
        <v>1</v>
      </c>
      <c r="K32" s="103">
        <v>71937.12</v>
      </c>
      <c r="L32" s="104">
        <f>(K32 * G32)</f>
        <v>71937.12</v>
      </c>
      <c r="M32" s="105">
        <v>79130.83</v>
      </c>
      <c r="N32" s="106">
        <f>(G32 * M32)</f>
        <v>79130.83</v>
      </c>
      <c r="O32">
        <v>0</v>
      </c>
      <c r="P32">
        <v>0</v>
      </c>
      <c r="Q32">
        <f>IF(O32&gt;G32,(O32-G32),0)</f>
        <v>0</v>
      </c>
      <c r="R32">
        <v>1</v>
      </c>
      <c r="S32">
        <f>IF(Q32&gt;0,Int(P32/Q32),0)</f>
        <v>0</v>
      </c>
      <c r="T32">
        <f>71937.12</f>
        <v>71937.12</v>
      </c>
      <c r="U32" t="s">
        <v>135</v>
      </c>
      <c r="V32">
        <v>71937.12</v>
      </c>
      <c r="W32" t="s">
        <v>80</v>
      </c>
      <c r="X32" t="s">
        <v>136</v>
      </c>
    </row>
    <row r="33" spans="1:27">
      <c r="A33" t="s">
        <v>35</v>
      </c>
      <c r="B33" t="s">
        <v>29</v>
      </c>
      <c r="C33" t="s">
        <v>137</v>
      </c>
      <c r="D33" t="s">
        <v>138</v>
      </c>
      <c r="E33" t="s">
        <v>139</v>
      </c>
      <c r="F33" t="s">
        <v>33</v>
      </c>
      <c r="G33">
        <v>0</v>
      </c>
      <c r="H33">
        <f>((0/1000) * G33)</f>
        <v>0</v>
      </c>
      <c r="I33">
        <v>0</v>
      </c>
      <c r="J33">
        <v>0</v>
      </c>
      <c r="K33" s="107">
        <v>46001.37</v>
      </c>
      <c r="L33" s="108">
        <f>(K33 * G33)</f>
        <v>0</v>
      </c>
      <c r="M33" s="109">
        <v>64401.92</v>
      </c>
      <c r="N33" s="110">
        <f>(G33 * M33)</f>
        <v>0</v>
      </c>
      <c r="O33">
        <v>0</v>
      </c>
      <c r="P33">
        <v>0</v>
      </c>
      <c r="Q33">
        <f>IF(O33&gt;G33,(O33-G33),0)</f>
        <v>0</v>
      </c>
      <c r="R33">
        <v>1</v>
      </c>
      <c r="S33">
        <f>IF(Q33&gt;0,Int(P33/Q33),0)</f>
        <v>0</v>
      </c>
      <c r="T33">
        <f>48181.82</f>
        <v>48181.82</v>
      </c>
      <c r="U33" t="s">
        <v>140</v>
      </c>
      <c r="V33">
        <v>46001.37</v>
      </c>
      <c r="W33" t="s">
        <v>75</v>
      </c>
      <c r="X33"/>
    </row>
    <row r="34" spans="1:27">
      <c r="A34" t="s">
        <v>35</v>
      </c>
      <c r="B34" t="s">
        <v>29</v>
      </c>
      <c r="C34" t="s">
        <v>141</v>
      </c>
      <c r="D34" t="s">
        <v>29</v>
      </c>
      <c r="E34" t="s">
        <v>142</v>
      </c>
      <c r="F34" t="s">
        <v>41</v>
      </c>
      <c r="G34">
        <v>0</v>
      </c>
      <c r="H34">
        <f>((0/1000) * G34)</f>
        <v>0</v>
      </c>
      <c r="I34">
        <v>0</v>
      </c>
      <c r="J34">
        <v>0</v>
      </c>
      <c r="K34" s="111">
        <v>55189</v>
      </c>
      <c r="L34" s="112">
        <f>(K34 * G34)</f>
        <v>0</v>
      </c>
      <c r="M34" s="113">
        <v>82783.5</v>
      </c>
      <c r="N34" s="114">
        <f>(G34 * M34)</f>
        <v>0</v>
      </c>
      <c r="O34">
        <v>0</v>
      </c>
      <c r="P34">
        <v>0</v>
      </c>
      <c r="Q34">
        <f>IF(O34&gt;G34,(O34-G34),0)</f>
        <v>0</v>
      </c>
      <c r="R34">
        <v>0</v>
      </c>
      <c r="S34">
        <f>IF(Q34&gt;0,Int(P34/Q34),0)</f>
        <v>0</v>
      </c>
      <c r="T34">
        <f>55189</f>
        <v>55189</v>
      </c>
      <c r="U34" t="s">
        <v>143</v>
      </c>
      <c r="V34">
        <v>55189</v>
      </c>
      <c r="W34" t="s">
        <v>144</v>
      </c>
      <c r="X34"/>
    </row>
    <row r="35" spans="1:27">
      <c r="A35" t="s">
        <v>35</v>
      </c>
      <c r="B35" t="s">
        <v>29</v>
      </c>
      <c r="C35" t="s">
        <v>145</v>
      </c>
      <c r="D35" t="s">
        <v>146</v>
      </c>
      <c r="E35" t="s">
        <v>147</v>
      </c>
      <c r="F35" t="s">
        <v>33</v>
      </c>
      <c r="G35">
        <v>0</v>
      </c>
      <c r="H35">
        <f>((0/1000) * G35)</f>
        <v>0</v>
      </c>
      <c r="I35">
        <v>0</v>
      </c>
      <c r="J35">
        <v>0</v>
      </c>
      <c r="K35" s="115">
        <v>45353.9</v>
      </c>
      <c r="L35" s="116">
        <f>(K35 * G35)</f>
        <v>0</v>
      </c>
      <c r="M35" s="117">
        <v>63495.45</v>
      </c>
      <c r="N35" s="118">
        <f>(G35 * M35)</f>
        <v>0</v>
      </c>
      <c r="O35">
        <v>0</v>
      </c>
      <c r="P35">
        <v>0</v>
      </c>
      <c r="Q35">
        <f>IF(O35&gt;G35,(O35-G35),0)</f>
        <v>0</v>
      </c>
      <c r="R35">
        <v>0</v>
      </c>
      <c r="S35">
        <f>IF(Q35&gt;0,Int(P35/Q35),0)</f>
        <v>0</v>
      </c>
      <c r="T35">
        <f>0</f>
        <v>0</v>
      </c>
      <c r="U35"/>
      <c r="V35">
        <v>45353.9</v>
      </c>
      <c r="W35" t="s">
        <v>148</v>
      </c>
      <c r="X35"/>
    </row>
    <row r="36" spans="1:27">
      <c r="A36" t="s">
        <v>35</v>
      </c>
      <c r="B36" t="s">
        <v>29</v>
      </c>
      <c r="C36" t="s">
        <v>149</v>
      </c>
      <c r="D36" t="s">
        <v>150</v>
      </c>
      <c r="E36" t="s">
        <v>151</v>
      </c>
      <c r="F36" t="s">
        <v>41</v>
      </c>
      <c r="G36">
        <v>0</v>
      </c>
      <c r="H36">
        <f>((0/1000) * G36)</f>
        <v>0</v>
      </c>
      <c r="I36">
        <v>0</v>
      </c>
      <c r="J36">
        <v>0</v>
      </c>
      <c r="K36" s="119">
        <v>81735.54</v>
      </c>
      <c r="L36" s="120">
        <f>(K36 * G36)</f>
        <v>0</v>
      </c>
      <c r="M36" s="121">
        <v>89909.09</v>
      </c>
      <c r="N36" s="122">
        <f>(G36 * M36)</f>
        <v>0</v>
      </c>
      <c r="O36">
        <v>0</v>
      </c>
      <c r="P36">
        <v>0</v>
      </c>
      <c r="Q36">
        <f>IF(O36&gt;G36,(O36-G36),0)</f>
        <v>0</v>
      </c>
      <c r="R36">
        <v>1</v>
      </c>
      <c r="S36">
        <f>IF(Q36&gt;0,Int(P36/Q36),0)</f>
        <v>0</v>
      </c>
      <c r="T36">
        <f>75957.93</f>
        <v>75957.93</v>
      </c>
      <c r="U36" t="s">
        <v>152</v>
      </c>
      <c r="V36">
        <v>81735.54</v>
      </c>
      <c r="W36" t="s">
        <v>43</v>
      </c>
      <c r="X36"/>
    </row>
    <row r="37" spans="1:27">
      <c r="A37" t="s">
        <v>35</v>
      </c>
      <c r="B37" t="s">
        <v>29</v>
      </c>
      <c r="C37" t="s">
        <v>153</v>
      </c>
      <c r="D37" t="s">
        <v>154</v>
      </c>
      <c r="E37" t="s">
        <v>155</v>
      </c>
      <c r="F37" t="s">
        <v>33</v>
      </c>
      <c r="G37">
        <v>0</v>
      </c>
      <c r="H37">
        <f>((0/1000) * G37)</f>
        <v>0</v>
      </c>
      <c r="I37">
        <v>0</v>
      </c>
      <c r="J37">
        <v>0</v>
      </c>
      <c r="K37" s="123">
        <v>47272.72</v>
      </c>
      <c r="L37" s="124">
        <f>(K37 * G37)</f>
        <v>0</v>
      </c>
      <c r="M37" s="125">
        <v>66181.81</v>
      </c>
      <c r="N37" s="126">
        <f>(G37 * M37)</f>
        <v>0</v>
      </c>
      <c r="O37">
        <v>0</v>
      </c>
      <c r="P37">
        <v>0</v>
      </c>
      <c r="Q37">
        <f>IF(O37&gt;G37,(O37-G37),0)</f>
        <v>0</v>
      </c>
      <c r="R37">
        <v>1</v>
      </c>
      <c r="S37">
        <f>IF(Q37&gt;0,Int(P37/Q37),0)</f>
        <v>0</v>
      </c>
      <c r="T37">
        <f>0</f>
        <v>0</v>
      </c>
      <c r="U37"/>
      <c r="V37">
        <v>47272.72</v>
      </c>
      <c r="W37" t="s">
        <v>75</v>
      </c>
      <c r="X37"/>
    </row>
    <row r="38" spans="1:27">
      <c r="A38" t="s">
        <v>35</v>
      </c>
      <c r="B38" t="s">
        <v>29</v>
      </c>
      <c r="C38" t="s">
        <v>156</v>
      </c>
      <c r="D38" t="s">
        <v>157</v>
      </c>
      <c r="E38" t="s">
        <v>158</v>
      </c>
      <c r="F38" t="s">
        <v>41</v>
      </c>
      <c r="G38">
        <v>4</v>
      </c>
      <c r="H38">
        <f>((0/1000) * G38)</f>
        <v>0</v>
      </c>
      <c r="I38">
        <v>0</v>
      </c>
      <c r="J38">
        <v>4</v>
      </c>
      <c r="K38" s="127">
        <v>55330</v>
      </c>
      <c r="L38" s="128">
        <f>(K38 * G38)</f>
        <v>221320</v>
      </c>
      <c r="M38" s="129">
        <v>77462</v>
      </c>
      <c r="N38" s="130">
        <f>(G38 * M38)</f>
        <v>309848</v>
      </c>
      <c r="O38">
        <v>0</v>
      </c>
      <c r="P38">
        <v>0</v>
      </c>
      <c r="Q38">
        <f>IF(O38&gt;G38,(O38-G38),0)</f>
        <v>0</v>
      </c>
      <c r="R38">
        <v>1</v>
      </c>
      <c r="S38">
        <f>IF(Q38&gt;0,Int(P38/Q38),0)</f>
        <v>0</v>
      </c>
      <c r="T38">
        <f>55330</f>
        <v>55330</v>
      </c>
      <c r="U38" t="s">
        <v>159</v>
      </c>
      <c r="V38">
        <v>55330</v>
      </c>
      <c r="W38" t="s">
        <v>144</v>
      </c>
      <c r="X38" t="s">
        <v>160</v>
      </c>
    </row>
    <row r="39" spans="1:27">
      <c r="A39" t="s">
        <v>35</v>
      </c>
      <c r="B39" t="s">
        <v>29</v>
      </c>
      <c r="C39" t="s">
        <v>161</v>
      </c>
      <c r="D39" t="s">
        <v>162</v>
      </c>
      <c r="E39" t="s">
        <v>163</v>
      </c>
      <c r="F39" t="s">
        <v>33</v>
      </c>
      <c r="G39">
        <v>5</v>
      </c>
      <c r="H39">
        <f>((0/1000) * G39)</f>
        <v>0</v>
      </c>
      <c r="I39">
        <v>0</v>
      </c>
      <c r="J39">
        <v>5</v>
      </c>
      <c r="K39" s="131">
        <v>49422</v>
      </c>
      <c r="L39" s="132">
        <f>(K39 * G39)</f>
        <v>247110</v>
      </c>
      <c r="M39" s="133">
        <v>68595.04</v>
      </c>
      <c r="N39" s="134">
        <f>(G39 * M39)</f>
        <v>342975.2</v>
      </c>
      <c r="O39">
        <v>0</v>
      </c>
      <c r="P39">
        <v>0</v>
      </c>
      <c r="Q39">
        <f>IF(O39&gt;G39,(O39-G39),0)</f>
        <v>0</v>
      </c>
      <c r="R39">
        <v>1</v>
      </c>
      <c r="S39">
        <f>IF(Q39&gt;0,Int(P39/Q39),0)</f>
        <v>0</v>
      </c>
      <c r="T39">
        <f>0</f>
        <v>0</v>
      </c>
      <c r="U39" t="s">
        <v>164</v>
      </c>
      <c r="V39">
        <v>49422</v>
      </c>
      <c r="W39" t="s">
        <v>165</v>
      </c>
      <c r="X39" t="s">
        <v>166</v>
      </c>
    </row>
    <row r="40" spans="1:27">
      <c r="A40" t="s">
        <v>35</v>
      </c>
      <c r="B40" t="s">
        <v>29</v>
      </c>
      <c r="C40" t="s">
        <v>167</v>
      </c>
      <c r="D40" t="s">
        <v>168</v>
      </c>
      <c r="E40" t="s">
        <v>169</v>
      </c>
      <c r="F40" t="s">
        <v>33</v>
      </c>
      <c r="G40">
        <v>0</v>
      </c>
      <c r="H40">
        <f>((0/1000) * G40)</f>
        <v>0</v>
      </c>
      <c r="I40">
        <v>0</v>
      </c>
      <c r="J40">
        <v>0</v>
      </c>
      <c r="K40" s="135">
        <v>58474.02</v>
      </c>
      <c r="L40" s="136">
        <f>(K40 * G40)</f>
        <v>0</v>
      </c>
      <c r="M40" s="137">
        <v>81863.63</v>
      </c>
      <c r="N40" s="138">
        <f>(G40 * M40)</f>
        <v>0</v>
      </c>
      <c r="O40">
        <v>0</v>
      </c>
      <c r="P40">
        <v>0</v>
      </c>
      <c r="Q40">
        <f>IF(O40&gt;G40,(O40-G40),0)</f>
        <v>0</v>
      </c>
      <c r="R40">
        <v>0</v>
      </c>
      <c r="S40">
        <f>IF(Q40&gt;0,Int(P40/Q40),0)</f>
        <v>0</v>
      </c>
      <c r="T40">
        <f>0</f>
        <v>0</v>
      </c>
      <c r="U40"/>
      <c r="V40">
        <v>58474.02</v>
      </c>
      <c r="W40" t="s">
        <v>75</v>
      </c>
      <c r="X40"/>
    </row>
    <row r="41" spans="1:27">
      <c r="A41" t="s">
        <v>35</v>
      </c>
      <c r="B41" t="s">
        <v>29</v>
      </c>
      <c r="C41" t="s">
        <v>170</v>
      </c>
      <c r="D41" t="s">
        <v>171</v>
      </c>
      <c r="E41" t="s">
        <v>172</v>
      </c>
      <c r="F41" t="s">
        <v>33</v>
      </c>
      <c r="G41">
        <v>0</v>
      </c>
      <c r="H41">
        <f>((0/1000) * G41)</f>
        <v>0</v>
      </c>
      <c r="I41">
        <v>0</v>
      </c>
      <c r="J41">
        <v>0</v>
      </c>
      <c r="K41" s="139">
        <v>98560</v>
      </c>
      <c r="L41" s="140">
        <f>(K41 * G41)</f>
        <v>0</v>
      </c>
      <c r="M41" s="141">
        <v>123200</v>
      </c>
      <c r="N41" s="142">
        <f>(G41 * M41)</f>
        <v>0</v>
      </c>
      <c r="O41">
        <v>0</v>
      </c>
      <c r="P41">
        <v>0</v>
      </c>
      <c r="Q41">
        <f>IF(O41&gt;G41,(O41-G41),0)</f>
        <v>0</v>
      </c>
      <c r="R41">
        <v>1</v>
      </c>
      <c r="S41">
        <f>IF(Q41&gt;0,Int(P41/Q41),0)</f>
        <v>0</v>
      </c>
      <c r="T41">
        <f>0</f>
        <v>0</v>
      </c>
      <c r="U41"/>
      <c r="V41">
        <v>98560</v>
      </c>
      <c r="W41" t="s">
        <v>43</v>
      </c>
      <c r="X41"/>
    </row>
    <row r="42" spans="1:27">
      <c r="A42" t="s">
        <v>35</v>
      </c>
      <c r="B42" t="s">
        <v>29</v>
      </c>
      <c r="C42" t="s">
        <v>173</v>
      </c>
      <c r="D42" t="s">
        <v>174</v>
      </c>
      <c r="E42" t="s">
        <v>175</v>
      </c>
      <c r="F42" t="s">
        <v>41</v>
      </c>
      <c r="G42">
        <v>0</v>
      </c>
      <c r="H42">
        <f>((0/1000) * G42)</f>
        <v>0</v>
      </c>
      <c r="I42">
        <v>0</v>
      </c>
      <c r="J42">
        <v>0</v>
      </c>
      <c r="K42" s="143">
        <v>11152.22</v>
      </c>
      <c r="L42" s="144">
        <f>(K42 * G42)</f>
        <v>0</v>
      </c>
      <c r="M42" s="145">
        <v>12267.44</v>
      </c>
      <c r="N42" s="146">
        <f>(G42 * M42)</f>
        <v>0</v>
      </c>
      <c r="O42">
        <v>0</v>
      </c>
      <c r="P42">
        <v>0</v>
      </c>
      <c r="Q42">
        <f>IF(O42&gt;G42,(O42-G42),0)</f>
        <v>0</v>
      </c>
      <c r="R42">
        <v>1</v>
      </c>
      <c r="S42">
        <f>IF(Q42&gt;0,Int(P42/Q42),0)</f>
        <v>0</v>
      </c>
      <c r="T42">
        <f>0</f>
        <v>0</v>
      </c>
      <c r="U42"/>
      <c r="V42">
        <v>11152.22</v>
      </c>
      <c r="W42" t="s">
        <v>43</v>
      </c>
      <c r="X42"/>
    </row>
    <row r="43" spans="1:27">
      <c r="A43" t="s">
        <v>35</v>
      </c>
      <c r="B43" t="s">
        <v>29</v>
      </c>
      <c r="C43" t="s">
        <v>176</v>
      </c>
      <c r="D43" t="s">
        <v>177</v>
      </c>
      <c r="E43" t="s">
        <v>178</v>
      </c>
      <c r="F43" t="s">
        <v>33</v>
      </c>
      <c r="G43">
        <v>0</v>
      </c>
      <c r="H43">
        <f>((0/1000) * G43)</f>
        <v>0</v>
      </c>
      <c r="I43">
        <v>0</v>
      </c>
      <c r="J43">
        <v>0</v>
      </c>
      <c r="K43" s="147">
        <v>90757.86</v>
      </c>
      <c r="L43" s="148">
        <f>(K43 * G43)</f>
        <v>0</v>
      </c>
      <c r="M43" s="149">
        <v>127061</v>
      </c>
      <c r="N43" s="150">
        <f>(G43 * M43)</f>
        <v>0</v>
      </c>
      <c r="O43">
        <v>0</v>
      </c>
      <c r="P43">
        <v>0</v>
      </c>
      <c r="Q43">
        <f>IF(O43&gt;G43,(O43-G43),0)</f>
        <v>0</v>
      </c>
      <c r="R43">
        <v>0</v>
      </c>
      <c r="S43">
        <f>IF(Q43&gt;0,Int(P43/Q43),0)</f>
        <v>0</v>
      </c>
      <c r="T43">
        <f>0</f>
        <v>0</v>
      </c>
      <c r="U43"/>
      <c r="V43">
        <v>90757.86</v>
      </c>
      <c r="W43" t="s">
        <v>148</v>
      </c>
      <c r="X43"/>
    </row>
    <row r="44" spans="1:27">
      <c r="A44" t="s">
        <v>35</v>
      </c>
      <c r="B44" t="s">
        <v>29</v>
      </c>
      <c r="C44" t="s">
        <v>179</v>
      </c>
      <c r="D44" t="s">
        <v>180</v>
      </c>
      <c r="E44" t="s">
        <v>181</v>
      </c>
      <c r="F44" t="s">
        <v>33</v>
      </c>
      <c r="G44">
        <v>0</v>
      </c>
      <c r="H44">
        <f>((0/1000) * G44)</f>
        <v>0</v>
      </c>
      <c r="I44">
        <v>0</v>
      </c>
      <c r="J44">
        <v>0</v>
      </c>
      <c r="K44" s="151">
        <v>98611.3</v>
      </c>
      <c r="L44" s="152">
        <f>(K44 * G44)</f>
        <v>0</v>
      </c>
      <c r="M44" s="153">
        <v>138055.82</v>
      </c>
      <c r="N44" s="154">
        <f>(G44 * M44)</f>
        <v>0</v>
      </c>
      <c r="O44">
        <v>0</v>
      </c>
      <c r="P44">
        <v>0</v>
      </c>
      <c r="Q44">
        <f>IF(O44&gt;G44,(O44-G44),0)</f>
        <v>0</v>
      </c>
      <c r="R44">
        <v>0</v>
      </c>
      <c r="S44">
        <f>IF(Q44&gt;0,Int(P44/Q44),0)</f>
        <v>0</v>
      </c>
      <c r="T44">
        <f>0</f>
        <v>0</v>
      </c>
      <c r="U44"/>
      <c r="V44">
        <v>98611.3</v>
      </c>
      <c r="W44" t="s">
        <v>182</v>
      </c>
      <c r="X44"/>
    </row>
    <row r="45" spans="1:27">
      <c r="A45" t="s">
        <v>28</v>
      </c>
      <c r="B45" t="s">
        <v>29</v>
      </c>
      <c r="C45" t="s">
        <v>183</v>
      </c>
      <c r="D45" t="s">
        <v>184</v>
      </c>
      <c r="E45" t="s">
        <v>185</v>
      </c>
      <c r="F45" t="s">
        <v>41</v>
      </c>
      <c r="G45">
        <v>0</v>
      </c>
      <c r="H45">
        <f>((0/1000) * G45)</f>
        <v>0</v>
      </c>
      <c r="I45">
        <v>0</v>
      </c>
      <c r="J45">
        <v>0</v>
      </c>
      <c r="K45" s="155">
        <v>119834.72</v>
      </c>
      <c r="L45" s="156">
        <f>(K45 * G45)</f>
        <v>0</v>
      </c>
      <c r="M45" s="157">
        <v>131818.18</v>
      </c>
      <c r="N45" s="158">
        <f>(G45 * M45)</f>
        <v>0</v>
      </c>
      <c r="O45">
        <v>0</v>
      </c>
      <c r="P45">
        <v>0</v>
      </c>
      <c r="Q45">
        <f>IF(O45&gt;G45,(O45-G45),0)</f>
        <v>0</v>
      </c>
      <c r="R45">
        <v>1</v>
      </c>
      <c r="S45">
        <f>IF(Q45&gt;0,Int(P45/Q45),0)</f>
        <v>0</v>
      </c>
      <c r="T45">
        <f>0</f>
        <v>0</v>
      </c>
      <c r="U45"/>
      <c r="V45">
        <v>119834.72</v>
      </c>
      <c r="W45" t="s">
        <v>43</v>
      </c>
      <c r="X45"/>
    </row>
    <row r="46" spans="1:27">
      <c r="A46" t="s">
        <v>35</v>
      </c>
      <c r="B46" t="s">
        <v>29</v>
      </c>
      <c r="C46" t="s">
        <v>186</v>
      </c>
      <c r="D46" t="s">
        <v>187</v>
      </c>
      <c r="E46" t="s">
        <v>188</v>
      </c>
      <c r="F46" t="s">
        <v>33</v>
      </c>
      <c r="G46">
        <v>0</v>
      </c>
      <c r="H46">
        <f>((0/1000) * G46)</f>
        <v>0</v>
      </c>
      <c r="I46">
        <v>0</v>
      </c>
      <c r="J46">
        <v>0</v>
      </c>
      <c r="K46" s="159">
        <v>73352.81</v>
      </c>
      <c r="L46" s="160">
        <f>(K46 * G46)</f>
        <v>0</v>
      </c>
      <c r="M46" s="161">
        <v>91691.01</v>
      </c>
      <c r="N46" s="162">
        <f>(G46 * M46)</f>
        <v>0</v>
      </c>
      <c r="O46">
        <v>0</v>
      </c>
      <c r="P46">
        <v>0</v>
      </c>
      <c r="Q46">
        <f>IF(O46&gt;G46,(O46-G46),0)</f>
        <v>0</v>
      </c>
      <c r="R46">
        <v>1</v>
      </c>
      <c r="S46">
        <f>IF(Q46&gt;0,Int(P46/Q46),0)</f>
        <v>0</v>
      </c>
      <c r="T46">
        <f>0</f>
        <v>0</v>
      </c>
      <c r="U46"/>
      <c r="V46">
        <v>73352.81</v>
      </c>
      <c r="W46" t="s">
        <v>43</v>
      </c>
      <c r="X46"/>
    </row>
    <row r="47" spans="1:27">
      <c r="A47" t="s">
        <v>35</v>
      </c>
      <c r="B47" t="s">
        <v>29</v>
      </c>
      <c r="C47" t="s">
        <v>189</v>
      </c>
      <c r="D47" t="s">
        <v>190</v>
      </c>
      <c r="E47" t="s">
        <v>191</v>
      </c>
      <c r="F47" t="s">
        <v>33</v>
      </c>
      <c r="G47">
        <v>0</v>
      </c>
      <c r="H47">
        <f>((0/1000) * G47)</f>
        <v>0</v>
      </c>
      <c r="I47">
        <v>0</v>
      </c>
      <c r="J47">
        <v>0</v>
      </c>
      <c r="K47" s="163">
        <v>60500</v>
      </c>
      <c r="L47" s="164">
        <f>(K47 * G47)</f>
        <v>0</v>
      </c>
      <c r="M47" s="165">
        <v>66550</v>
      </c>
      <c r="N47" s="166">
        <f>(G47 * M47)</f>
        <v>0</v>
      </c>
      <c r="O47">
        <v>0</v>
      </c>
      <c r="P47">
        <v>0</v>
      </c>
      <c r="Q47">
        <f>IF(O47&gt;G47,(O47-G47),0)</f>
        <v>0</v>
      </c>
      <c r="R47">
        <v>1</v>
      </c>
      <c r="S47">
        <f>IF(Q47&gt;0,Int(P47/Q47),0)</f>
        <v>0</v>
      </c>
      <c r="T47">
        <f>75777.69</f>
        <v>75777.69</v>
      </c>
      <c r="U47" t="s">
        <v>192</v>
      </c>
      <c r="V47">
        <v>60500</v>
      </c>
      <c r="W47" t="s">
        <v>43</v>
      </c>
      <c r="X47"/>
    </row>
    <row r="48" spans="1:27">
      <c r="A48" t="s">
        <v>35</v>
      </c>
      <c r="B48" t="s">
        <v>29</v>
      </c>
      <c r="C48" t="s">
        <v>193</v>
      </c>
      <c r="D48" t="s">
        <v>194</v>
      </c>
      <c r="E48" t="s">
        <v>195</v>
      </c>
      <c r="F48" t="s">
        <v>33</v>
      </c>
      <c r="G48">
        <v>21</v>
      </c>
      <c r="H48">
        <f>((0/1000) * G48)</f>
        <v>0</v>
      </c>
      <c r="I48">
        <v>0</v>
      </c>
      <c r="J48">
        <v>21</v>
      </c>
      <c r="K48" s="167">
        <v>62045</v>
      </c>
      <c r="L48" s="168">
        <f>(K48 * G48)</f>
        <v>1302945</v>
      </c>
      <c r="M48" s="169">
        <v>111681</v>
      </c>
      <c r="N48" s="170">
        <f>(G48 * M48)</f>
        <v>2345301</v>
      </c>
      <c r="O48">
        <v>0</v>
      </c>
      <c r="P48">
        <v>0</v>
      </c>
      <c r="Q48">
        <f>IF(O48&gt;G48,(O48-G48),0)</f>
        <v>0</v>
      </c>
      <c r="R48">
        <v>1</v>
      </c>
      <c r="S48">
        <f>IF(Q48&gt;0,Int(P48/Q48),0)</f>
        <v>0</v>
      </c>
      <c r="T48">
        <f>62045</f>
        <v>62045</v>
      </c>
      <c r="U48" t="s">
        <v>196</v>
      </c>
      <c r="V48">
        <v>62045</v>
      </c>
      <c r="W48" t="s">
        <v>197</v>
      </c>
      <c r="X48" t="s">
        <v>198</v>
      </c>
    </row>
    <row r="49" spans="1:27">
      <c r="A49" t="s">
        <v>35</v>
      </c>
      <c r="B49" t="s">
        <v>29</v>
      </c>
      <c r="C49" t="s">
        <v>199</v>
      </c>
      <c r="D49" t="s">
        <v>199</v>
      </c>
      <c r="E49" t="s">
        <v>200</v>
      </c>
      <c r="F49" t="s">
        <v>33</v>
      </c>
      <c r="G49">
        <v>0</v>
      </c>
      <c r="H49">
        <f>((1/1000) * G49)</f>
        <v>0</v>
      </c>
      <c r="I49">
        <v>0</v>
      </c>
      <c r="J49">
        <v>0</v>
      </c>
      <c r="K49" s="171">
        <v>0</v>
      </c>
      <c r="L49" s="172">
        <f>(K49 * G49)</f>
        <v>0</v>
      </c>
      <c r="M49" s="173">
        <v>0</v>
      </c>
      <c r="N49" s="174">
        <f>(G49 * M49)</f>
        <v>0</v>
      </c>
      <c r="O49">
        <v>0</v>
      </c>
      <c r="P49">
        <v>0</v>
      </c>
      <c r="Q49">
        <f>IF(O49&gt;G49,(O49-G49),0)</f>
        <v>0</v>
      </c>
      <c r="R49">
        <v>0</v>
      </c>
      <c r="S49">
        <f>IF(Q49&gt;0,Int(P49/Q49),0)</f>
        <v>0</v>
      </c>
      <c r="T49">
        <f>0</f>
        <v>0</v>
      </c>
      <c r="U49"/>
      <c r="V49">
        <v>0</v>
      </c>
      <c r="W49">
        <v>0</v>
      </c>
      <c r="X49"/>
    </row>
    <row r="50" spans="1:27">
      <c r="A50" t="s">
        <v>35</v>
      </c>
      <c r="B50" t="s">
        <v>29</v>
      </c>
      <c r="C50" t="s">
        <v>201</v>
      </c>
      <c r="D50" t="s">
        <v>202</v>
      </c>
      <c r="E50" t="s">
        <v>203</v>
      </c>
      <c r="F50" t="s">
        <v>33</v>
      </c>
      <c r="G50">
        <v>0</v>
      </c>
      <c r="H50">
        <f>((0/1000) * G50)</f>
        <v>0</v>
      </c>
      <c r="I50">
        <v>0</v>
      </c>
      <c r="J50">
        <v>0</v>
      </c>
      <c r="K50" s="175">
        <v>82644.63</v>
      </c>
      <c r="L50" s="176">
        <f>(K50 * G50)</f>
        <v>0</v>
      </c>
      <c r="M50" s="177">
        <v>90909.09</v>
      </c>
      <c r="N50" s="178">
        <f>(G50 * M50)</f>
        <v>0</v>
      </c>
      <c r="O50">
        <v>0</v>
      </c>
      <c r="P50">
        <v>0</v>
      </c>
      <c r="Q50">
        <f>IF(O50&gt;G50,(O50-G50),0)</f>
        <v>0</v>
      </c>
      <c r="R50">
        <v>1</v>
      </c>
      <c r="S50">
        <f>IF(Q50&gt;0,Int(P50/Q50),0)</f>
        <v>0</v>
      </c>
      <c r="T50">
        <f>75131.48</f>
        <v>75131.48</v>
      </c>
      <c r="U50" t="s">
        <v>204</v>
      </c>
      <c r="V50">
        <v>82644.63</v>
      </c>
      <c r="W50" t="s">
        <v>43</v>
      </c>
      <c r="X50"/>
    </row>
    <row r="51" spans="1:27">
      <c r="A51" t="s">
        <v>35</v>
      </c>
      <c r="B51" t="s">
        <v>29</v>
      </c>
      <c r="C51" t="s">
        <v>205</v>
      </c>
      <c r="D51" t="s">
        <v>206</v>
      </c>
      <c r="E51" t="s">
        <v>207</v>
      </c>
      <c r="F51" t="s">
        <v>41</v>
      </c>
      <c r="G51">
        <v>0</v>
      </c>
      <c r="H51">
        <f>((0/1000) * G51)</f>
        <v>0</v>
      </c>
      <c r="I51">
        <v>0</v>
      </c>
      <c r="J51">
        <v>0</v>
      </c>
      <c r="K51" s="179">
        <v>109917.36</v>
      </c>
      <c r="L51" s="180">
        <f>(K51 * G51)</f>
        <v>0</v>
      </c>
      <c r="M51" s="181">
        <v>120909.1</v>
      </c>
      <c r="N51" s="182">
        <f>(G51 * M51)</f>
        <v>0</v>
      </c>
      <c r="O51">
        <v>0</v>
      </c>
      <c r="P51">
        <v>0</v>
      </c>
      <c r="Q51">
        <f>IF(O51&gt;G51,(O51-G51),0)</f>
        <v>0</v>
      </c>
      <c r="R51">
        <v>1</v>
      </c>
      <c r="S51">
        <f>IF(Q51&gt;0,Int(P51/Q51),0)</f>
        <v>0</v>
      </c>
      <c r="T51">
        <f>98046.58</f>
        <v>98046.58</v>
      </c>
      <c r="U51" t="s">
        <v>208</v>
      </c>
      <c r="V51">
        <v>109917.36</v>
      </c>
      <c r="W51" t="s">
        <v>43</v>
      </c>
      <c r="X51" t="s">
        <v>209</v>
      </c>
    </row>
    <row r="52" spans="1:27">
      <c r="A52" t="s">
        <v>35</v>
      </c>
      <c r="B52" t="s">
        <v>29</v>
      </c>
      <c r="C52" t="s">
        <v>210</v>
      </c>
      <c r="D52" t="s">
        <v>210</v>
      </c>
      <c r="E52" t="s">
        <v>211</v>
      </c>
      <c r="F52" t="s">
        <v>33</v>
      </c>
      <c r="G52">
        <v>0</v>
      </c>
      <c r="H52">
        <f>((1/1000) * G52)</f>
        <v>0</v>
      </c>
      <c r="I52">
        <v>0</v>
      </c>
      <c r="J52">
        <v>0</v>
      </c>
      <c r="K52" s="183">
        <v>0</v>
      </c>
      <c r="L52" s="184">
        <f>(K52 * G52)</f>
        <v>0</v>
      </c>
      <c r="M52" s="185">
        <v>0</v>
      </c>
      <c r="N52" s="186">
        <f>(G52 * M52)</f>
        <v>0</v>
      </c>
      <c r="O52">
        <v>0</v>
      </c>
      <c r="P52">
        <v>0</v>
      </c>
      <c r="Q52">
        <f>IF(O52&gt;G52,(O52-G52),0)</f>
        <v>0</v>
      </c>
      <c r="R52">
        <v>0</v>
      </c>
      <c r="S52">
        <f>IF(Q52&gt;0,Int(P52/Q52),0)</f>
        <v>0</v>
      </c>
      <c r="T52">
        <f>0</f>
        <v>0</v>
      </c>
      <c r="U52"/>
      <c r="V52">
        <v>0</v>
      </c>
      <c r="W52">
        <v>0</v>
      </c>
      <c r="X52"/>
    </row>
    <row r="53" spans="1:27">
      <c r="A53" t="s">
        <v>35</v>
      </c>
      <c r="B53" t="s">
        <v>29</v>
      </c>
      <c r="C53" t="s">
        <v>212</v>
      </c>
      <c r="D53" t="s">
        <v>212</v>
      </c>
      <c r="E53" t="s">
        <v>213</v>
      </c>
      <c r="F53" t="s">
        <v>33</v>
      </c>
      <c r="G53">
        <v>0</v>
      </c>
      <c r="H53">
        <f>((1/1000) * G53)</f>
        <v>0</v>
      </c>
      <c r="I53">
        <v>0</v>
      </c>
      <c r="J53">
        <v>0</v>
      </c>
      <c r="K53" s="187">
        <v>0</v>
      </c>
      <c r="L53" s="188">
        <f>(K53 * G53)</f>
        <v>0</v>
      </c>
      <c r="M53" s="189">
        <v>0</v>
      </c>
      <c r="N53" s="190">
        <f>(G53 * M53)</f>
        <v>0</v>
      </c>
      <c r="O53">
        <v>0</v>
      </c>
      <c r="P53">
        <v>0</v>
      </c>
      <c r="Q53">
        <f>IF(O53&gt;G53,(O53-G53),0)</f>
        <v>0</v>
      </c>
      <c r="R53">
        <v>0</v>
      </c>
      <c r="S53">
        <f>IF(Q53&gt;0,Int(P53/Q53),0)</f>
        <v>0</v>
      </c>
      <c r="T53">
        <f>0</f>
        <v>0</v>
      </c>
      <c r="U53" t="s">
        <v>214</v>
      </c>
      <c r="V53">
        <v>0</v>
      </c>
      <c r="W53">
        <v>0</v>
      </c>
      <c r="X53"/>
    </row>
    <row r="54" spans="1:27">
      <c r="A54" t="s">
        <v>35</v>
      </c>
      <c r="B54" t="s">
        <v>29</v>
      </c>
      <c r="C54" t="s">
        <v>215</v>
      </c>
      <c r="D54" t="s">
        <v>215</v>
      </c>
      <c r="E54" t="s">
        <v>216</v>
      </c>
      <c r="F54" t="s">
        <v>33</v>
      </c>
      <c r="G54">
        <v>0</v>
      </c>
      <c r="H54">
        <f>((1/1000) * G54)</f>
        <v>0</v>
      </c>
      <c r="I54">
        <v>0</v>
      </c>
      <c r="J54">
        <v>0</v>
      </c>
      <c r="K54" s="191">
        <v>0</v>
      </c>
      <c r="L54" s="192">
        <f>(K54 * G54)</f>
        <v>0</v>
      </c>
      <c r="M54" s="193">
        <v>0</v>
      </c>
      <c r="N54" s="194">
        <f>(G54 * M54)</f>
        <v>0</v>
      </c>
      <c r="O54">
        <v>0</v>
      </c>
      <c r="P54">
        <v>0</v>
      </c>
      <c r="Q54">
        <f>IF(O54&gt;G54,(O54-G54),0)</f>
        <v>0</v>
      </c>
      <c r="R54">
        <v>0</v>
      </c>
      <c r="S54">
        <f>IF(Q54&gt;0,Int(P54/Q54),0)</f>
        <v>0</v>
      </c>
      <c r="T54">
        <f>0</f>
        <v>0</v>
      </c>
      <c r="U54" t="s">
        <v>217</v>
      </c>
      <c r="V54">
        <v>0</v>
      </c>
      <c r="W54">
        <v>0</v>
      </c>
      <c r="X54"/>
    </row>
    <row r="55" spans="1:27">
      <c r="A55" t="s">
        <v>35</v>
      </c>
      <c r="B55" t="s">
        <v>29</v>
      </c>
      <c r="C55" t="s">
        <v>218</v>
      </c>
      <c r="D55" t="s">
        <v>218</v>
      </c>
      <c r="E55" t="s">
        <v>219</v>
      </c>
      <c r="F55" t="s">
        <v>33</v>
      </c>
      <c r="G55">
        <v>0</v>
      </c>
      <c r="H55">
        <f>((1/1000) * G55)</f>
        <v>0</v>
      </c>
      <c r="I55">
        <v>0</v>
      </c>
      <c r="J55">
        <v>0</v>
      </c>
      <c r="K55" s="195">
        <v>0</v>
      </c>
      <c r="L55" s="196">
        <f>(K55 * G55)</f>
        <v>0</v>
      </c>
      <c r="M55" s="197">
        <v>0</v>
      </c>
      <c r="N55" s="198">
        <f>(G55 * M55)</f>
        <v>0</v>
      </c>
      <c r="O55">
        <v>0</v>
      </c>
      <c r="P55">
        <v>0</v>
      </c>
      <c r="Q55">
        <f>IF(O55&gt;G55,(O55-G55),0)</f>
        <v>0</v>
      </c>
      <c r="R55">
        <v>0</v>
      </c>
      <c r="S55">
        <f>IF(Q55&gt;0,Int(P55/Q55),0)</f>
        <v>0</v>
      </c>
      <c r="T55">
        <f>0</f>
        <v>0</v>
      </c>
      <c r="U55"/>
      <c r="V55">
        <v>0</v>
      </c>
      <c r="W55">
        <v>0</v>
      </c>
      <c r="X55"/>
    </row>
    <row r="56" spans="1:27">
      <c r="A56" t="s">
        <v>35</v>
      </c>
      <c r="B56" t="s">
        <v>29</v>
      </c>
      <c r="C56" t="s">
        <v>220</v>
      </c>
      <c r="D56" t="s">
        <v>220</v>
      </c>
      <c r="E56" t="s">
        <v>221</v>
      </c>
      <c r="F56" t="s">
        <v>33</v>
      </c>
      <c r="G56">
        <v>0</v>
      </c>
      <c r="H56">
        <f>((1/1000) * G56)</f>
        <v>0</v>
      </c>
      <c r="I56">
        <v>0</v>
      </c>
      <c r="J56">
        <v>0</v>
      </c>
      <c r="K56" s="199">
        <v>0</v>
      </c>
      <c r="L56" s="200">
        <f>(K56 * G56)</f>
        <v>0</v>
      </c>
      <c r="M56" s="201">
        <v>0</v>
      </c>
      <c r="N56" s="202">
        <f>(G56 * M56)</f>
        <v>0</v>
      </c>
      <c r="O56">
        <v>0</v>
      </c>
      <c r="P56">
        <v>0</v>
      </c>
      <c r="Q56">
        <f>IF(O56&gt;G56,(O56-G56),0)</f>
        <v>0</v>
      </c>
      <c r="R56">
        <v>0</v>
      </c>
      <c r="S56">
        <f>IF(Q56&gt;0,Int(P56/Q56),0)</f>
        <v>0</v>
      </c>
      <c r="T56">
        <f>0</f>
        <v>0</v>
      </c>
      <c r="U56"/>
      <c r="V56">
        <v>0</v>
      </c>
      <c r="W56">
        <v>0</v>
      </c>
      <c r="X56"/>
    </row>
    <row r="57" spans="1:27">
      <c r="A57" t="s">
        <v>35</v>
      </c>
      <c r="B57" t="s">
        <v>29</v>
      </c>
      <c r="C57" t="s">
        <v>222</v>
      </c>
      <c r="D57" t="s">
        <v>223</v>
      </c>
      <c r="E57" t="s">
        <v>224</v>
      </c>
      <c r="F57" t="s">
        <v>41</v>
      </c>
      <c r="G57">
        <v>0</v>
      </c>
      <c r="H57">
        <f>((0/1000) * G57)</f>
        <v>0</v>
      </c>
      <c r="I57">
        <v>0</v>
      </c>
      <c r="J57">
        <v>0</v>
      </c>
      <c r="K57" s="203">
        <v>71169.88</v>
      </c>
      <c r="L57" s="204">
        <f>(K57 * G57)</f>
        <v>0</v>
      </c>
      <c r="M57" s="205">
        <v>88962.35</v>
      </c>
      <c r="N57" s="206">
        <f>(G57 * M57)</f>
        <v>0</v>
      </c>
      <c r="O57">
        <v>0</v>
      </c>
      <c r="P57">
        <v>0</v>
      </c>
      <c r="Q57">
        <f>IF(O57&gt;G57,(O57-G57),0)</f>
        <v>0</v>
      </c>
      <c r="R57">
        <v>1</v>
      </c>
      <c r="S57">
        <f>IF(Q57&gt;0,Int(P57/Q57),0)</f>
        <v>0</v>
      </c>
      <c r="T57">
        <f>50842.15</f>
        <v>50842.15</v>
      </c>
      <c r="U57" t="s">
        <v>225</v>
      </c>
      <c r="V57">
        <v>71169.88</v>
      </c>
      <c r="W57" t="s">
        <v>43</v>
      </c>
      <c r="X57" t="s">
        <v>226</v>
      </c>
    </row>
    <row r="58" spans="1:27">
      <c r="A58" t="s">
        <v>35</v>
      </c>
      <c r="B58" t="s">
        <v>29</v>
      </c>
      <c r="C58" t="s">
        <v>227</v>
      </c>
      <c r="D58" t="s">
        <v>228</v>
      </c>
      <c r="E58" t="s">
        <v>229</v>
      </c>
      <c r="F58" t="s">
        <v>33</v>
      </c>
      <c r="G58">
        <v>0</v>
      </c>
      <c r="H58">
        <f>((0/1000) * G58)</f>
        <v>0</v>
      </c>
      <c r="I58">
        <v>0</v>
      </c>
      <c r="J58">
        <v>0</v>
      </c>
      <c r="K58" s="207">
        <v>0</v>
      </c>
      <c r="L58" s="208">
        <f>(K58 * G58)</f>
        <v>0</v>
      </c>
      <c r="M58" s="209">
        <v>0</v>
      </c>
      <c r="N58" s="210">
        <f>(G58 * M58)</f>
        <v>0</v>
      </c>
      <c r="O58">
        <v>0</v>
      </c>
      <c r="P58">
        <v>0</v>
      </c>
      <c r="Q58">
        <f>IF(O58&gt;G58,(O58-G58),0)</f>
        <v>0</v>
      </c>
      <c r="R58">
        <v>1</v>
      </c>
      <c r="S58">
        <f>IF(Q58&gt;0,Int(P58/Q58),0)</f>
        <v>0</v>
      </c>
      <c r="T58">
        <f>0</f>
        <v>0</v>
      </c>
      <c r="U58"/>
      <c r="V58">
        <v>0</v>
      </c>
      <c r="W58">
        <v>0</v>
      </c>
      <c r="X58"/>
    </row>
    <row r="59" spans="1:27">
      <c r="A59" t="s">
        <v>35</v>
      </c>
      <c r="B59" t="s">
        <v>29</v>
      </c>
      <c r="C59" t="s">
        <v>230</v>
      </c>
      <c r="D59" t="s">
        <v>231</v>
      </c>
      <c r="E59" t="s">
        <v>232</v>
      </c>
      <c r="F59" t="s">
        <v>33</v>
      </c>
      <c r="G59">
        <v>4</v>
      </c>
      <c r="H59">
        <f>((0/1000) * G59)</f>
        <v>0</v>
      </c>
      <c r="I59">
        <v>0</v>
      </c>
      <c r="J59">
        <v>4</v>
      </c>
      <c r="K59" s="211">
        <v>59135.84</v>
      </c>
      <c r="L59" s="212">
        <f>(K59 * G59)</f>
        <v>236543.36</v>
      </c>
      <c r="M59" s="213">
        <v>82790.18</v>
      </c>
      <c r="N59" s="214">
        <f>(G59 * M59)</f>
        <v>331160.72</v>
      </c>
      <c r="O59">
        <v>0</v>
      </c>
      <c r="P59">
        <v>0</v>
      </c>
      <c r="Q59">
        <f>IF(O59&gt;G59,(O59-G59),0)</f>
        <v>0</v>
      </c>
      <c r="R59">
        <v>1</v>
      </c>
      <c r="S59">
        <f>IF(Q59&gt;0,Int(P59/Q59),0)</f>
        <v>0</v>
      </c>
      <c r="T59">
        <f>59135.84</f>
        <v>59135.84</v>
      </c>
      <c r="U59" t="s">
        <v>233</v>
      </c>
      <c r="V59">
        <v>59135.84</v>
      </c>
      <c r="W59" t="s">
        <v>75</v>
      </c>
      <c r="X59"/>
    </row>
    <row r="60" spans="1:27">
      <c r="A60" t="s">
        <v>35</v>
      </c>
      <c r="B60" t="s">
        <v>29</v>
      </c>
      <c r="C60" t="s">
        <v>234</v>
      </c>
      <c r="D60" t="s">
        <v>235</v>
      </c>
      <c r="E60" t="s">
        <v>236</v>
      </c>
      <c r="F60" t="s">
        <v>41</v>
      </c>
      <c r="G60">
        <v>4</v>
      </c>
      <c r="H60">
        <f>((0/1000) * G60)</f>
        <v>0</v>
      </c>
      <c r="I60">
        <v>2</v>
      </c>
      <c r="J60">
        <v>2</v>
      </c>
      <c r="K60" s="215">
        <v>67358.39</v>
      </c>
      <c r="L60" s="216">
        <f>(K60 * G60)</f>
        <v>269433.56</v>
      </c>
      <c r="M60" s="217">
        <v>98801.75</v>
      </c>
      <c r="N60" s="218">
        <f>(G60 * M60)</f>
        <v>395207</v>
      </c>
      <c r="O60">
        <v>0</v>
      </c>
      <c r="P60">
        <v>0</v>
      </c>
      <c r="Q60">
        <f>IF(O60&gt;G60,(O60-G60),0)</f>
        <v>0</v>
      </c>
      <c r="R60">
        <v>1</v>
      </c>
      <c r="S60">
        <f>IF(Q60&gt;0,Int(P60/Q60),0)</f>
        <v>0</v>
      </c>
      <c r="T60">
        <f>67358.39</f>
        <v>67358.39</v>
      </c>
      <c r="U60" t="s">
        <v>237</v>
      </c>
      <c r="V60">
        <v>67358.39</v>
      </c>
      <c r="W60" t="s">
        <v>238</v>
      </c>
      <c r="X60" t="s">
        <v>239</v>
      </c>
    </row>
    <row r="61" spans="1:27">
      <c r="A61" t="s">
        <v>35</v>
      </c>
      <c r="B61" t="s">
        <v>29</v>
      </c>
      <c r="C61" t="s">
        <v>240</v>
      </c>
      <c r="D61" t="s">
        <v>241</v>
      </c>
      <c r="E61" t="s">
        <v>242</v>
      </c>
      <c r="F61" t="s">
        <v>33</v>
      </c>
      <c r="G61">
        <v>0</v>
      </c>
      <c r="H61">
        <f>((0/1000) * G61)</f>
        <v>0</v>
      </c>
      <c r="I61">
        <v>0</v>
      </c>
      <c r="J61">
        <v>0</v>
      </c>
      <c r="K61" s="219">
        <v>75603.45</v>
      </c>
      <c r="L61" s="220">
        <f>(K61 * G61)</f>
        <v>0</v>
      </c>
      <c r="M61" s="221">
        <v>105844.84</v>
      </c>
      <c r="N61" s="222">
        <f>(G61 * M61)</f>
        <v>0</v>
      </c>
      <c r="O61">
        <v>0</v>
      </c>
      <c r="P61">
        <v>0</v>
      </c>
      <c r="Q61">
        <f>IF(O61&gt;G61,(O61-G61),0)</f>
        <v>0</v>
      </c>
      <c r="R61">
        <v>1</v>
      </c>
      <c r="S61">
        <f>IF(Q61&gt;0,Int(P61/Q61),0)</f>
        <v>0</v>
      </c>
      <c r="T61">
        <f>68730.41</f>
        <v>68730.41</v>
      </c>
      <c r="U61" t="s">
        <v>243</v>
      </c>
      <c r="V61">
        <v>75603.45</v>
      </c>
      <c r="W61" t="s">
        <v>75</v>
      </c>
      <c r="X61"/>
    </row>
    <row r="62" spans="1:27">
      <c r="A62" t="s">
        <v>35</v>
      </c>
      <c r="B62" t="s">
        <v>29</v>
      </c>
      <c r="C62" t="s">
        <v>244</v>
      </c>
      <c r="D62" t="s">
        <v>245</v>
      </c>
      <c r="E62" t="s">
        <v>246</v>
      </c>
      <c r="F62" t="s">
        <v>33</v>
      </c>
      <c r="G62">
        <v>0</v>
      </c>
      <c r="H62">
        <f>((0/1000) * G62)</f>
        <v>0</v>
      </c>
      <c r="I62">
        <v>0</v>
      </c>
      <c r="J62">
        <v>0</v>
      </c>
      <c r="K62" s="223">
        <v>49845.4</v>
      </c>
      <c r="L62" s="224">
        <f>(K62 * G62)</f>
        <v>0</v>
      </c>
      <c r="M62" s="225">
        <v>69783.56</v>
      </c>
      <c r="N62" s="226">
        <f>(G62 * M62)</f>
        <v>0</v>
      </c>
      <c r="O62">
        <v>0</v>
      </c>
      <c r="P62">
        <v>0</v>
      </c>
      <c r="Q62">
        <f>IF(O62&gt;G62,(O62-G62),0)</f>
        <v>0</v>
      </c>
      <c r="R62">
        <v>0</v>
      </c>
      <c r="S62">
        <f>IF(Q62&gt;0,Int(P62/Q62),0)</f>
        <v>0</v>
      </c>
      <c r="T62">
        <f>0</f>
        <v>0</v>
      </c>
      <c r="U62"/>
      <c r="V62">
        <v>49845.4</v>
      </c>
      <c r="W62" t="s">
        <v>75</v>
      </c>
      <c r="X62"/>
    </row>
    <row r="63" spans="1:27">
      <c r="A63" t="s">
        <v>35</v>
      </c>
      <c r="B63" t="s">
        <v>29</v>
      </c>
      <c r="C63" t="s">
        <v>247</v>
      </c>
      <c r="D63" t="s">
        <v>248</v>
      </c>
      <c r="E63" t="s">
        <v>249</v>
      </c>
      <c r="F63" t="s">
        <v>33</v>
      </c>
      <c r="G63">
        <v>0</v>
      </c>
      <c r="H63">
        <f>((0/1000) * G63)</f>
        <v>0</v>
      </c>
      <c r="I63">
        <v>0</v>
      </c>
      <c r="J63">
        <v>0</v>
      </c>
      <c r="K63" s="227">
        <v>46281</v>
      </c>
      <c r="L63" s="228">
        <f>(K63 * G63)</f>
        <v>0</v>
      </c>
      <c r="M63" s="229">
        <v>80991.75</v>
      </c>
      <c r="N63" s="230">
        <f>(G63 * M63)</f>
        <v>0</v>
      </c>
      <c r="O63">
        <v>0</v>
      </c>
      <c r="P63">
        <v>0</v>
      </c>
      <c r="Q63">
        <f>IF(O63&gt;G63,(O63-G63),0)</f>
        <v>0</v>
      </c>
      <c r="R63">
        <v>1</v>
      </c>
      <c r="S63">
        <f>IF(Q63&gt;0,Int(P63/Q63),0)</f>
        <v>0</v>
      </c>
      <c r="T63">
        <f>0</f>
        <v>0</v>
      </c>
      <c r="U63" t="s">
        <v>250</v>
      </c>
      <c r="V63">
        <v>46281</v>
      </c>
      <c r="W63" t="s">
        <v>197</v>
      </c>
      <c r="X63"/>
    </row>
    <row r="64" spans="1:27">
      <c r="A64" t="s">
        <v>35</v>
      </c>
      <c r="B64" t="s">
        <v>29</v>
      </c>
      <c r="C64" t="s">
        <v>251</v>
      </c>
      <c r="D64" t="s">
        <v>252</v>
      </c>
      <c r="E64" t="s">
        <v>253</v>
      </c>
      <c r="F64" t="s">
        <v>33</v>
      </c>
      <c r="G64">
        <v>0</v>
      </c>
      <c r="H64">
        <f>((0/1000) * G64)</f>
        <v>0</v>
      </c>
      <c r="I64">
        <v>0</v>
      </c>
      <c r="J64">
        <v>0</v>
      </c>
      <c r="K64" s="231">
        <v>57510.38</v>
      </c>
      <c r="L64" s="232">
        <f>(K64 * G64)</f>
        <v>0</v>
      </c>
      <c r="M64" s="233">
        <v>80514.54</v>
      </c>
      <c r="N64" s="234">
        <f>(G64 * M64)</f>
        <v>0</v>
      </c>
      <c r="O64">
        <v>0</v>
      </c>
      <c r="P64">
        <v>0</v>
      </c>
      <c r="Q64">
        <f>IF(O64&gt;G64,(O64-G64),0)</f>
        <v>0</v>
      </c>
      <c r="R64">
        <v>0</v>
      </c>
      <c r="S64">
        <f>IF(Q64&gt;0,Int(P64/Q64),0)</f>
        <v>0</v>
      </c>
      <c r="T64">
        <f>0</f>
        <v>0</v>
      </c>
      <c r="U64"/>
      <c r="V64">
        <v>57510.38</v>
      </c>
      <c r="W64" t="s">
        <v>75</v>
      </c>
      <c r="X64"/>
    </row>
    <row r="65" spans="1:27">
      <c r="A65" t="s">
        <v>35</v>
      </c>
      <c r="B65" t="s">
        <v>29</v>
      </c>
      <c r="C65" t="s">
        <v>254</v>
      </c>
      <c r="D65" t="s">
        <v>255</v>
      </c>
      <c r="E65" t="s">
        <v>256</v>
      </c>
      <c r="F65" t="s">
        <v>41</v>
      </c>
      <c r="G65">
        <v>0</v>
      </c>
      <c r="H65">
        <f>((1/1000) * G65)</f>
        <v>0</v>
      </c>
      <c r="I65">
        <v>0</v>
      </c>
      <c r="J65">
        <v>0</v>
      </c>
      <c r="K65" s="235">
        <v>117795.45</v>
      </c>
      <c r="L65" s="236">
        <f>(K65 * G65)</f>
        <v>0</v>
      </c>
      <c r="M65" s="237">
        <v>117795.45</v>
      </c>
      <c r="N65" s="238">
        <f>(G65 * M65)</f>
        <v>0</v>
      </c>
      <c r="O65">
        <v>0</v>
      </c>
      <c r="P65">
        <v>0</v>
      </c>
      <c r="Q65">
        <f>IF(O65&gt;G65,(O65-G65),0)</f>
        <v>0</v>
      </c>
      <c r="R65">
        <v>1</v>
      </c>
      <c r="S65">
        <f>IF(Q65&gt;0,Int(P65/Q65),0)</f>
        <v>0</v>
      </c>
      <c r="T65">
        <f>90000</f>
        <v>90000</v>
      </c>
      <c r="U65" t="s">
        <v>257</v>
      </c>
      <c r="V65">
        <v>117795.45</v>
      </c>
      <c r="W65" t="s">
        <v>43</v>
      </c>
      <c r="X65"/>
    </row>
    <row r="66" spans="1:27">
      <c r="A66" t="s">
        <v>35</v>
      </c>
      <c r="B66" t="s">
        <v>29</v>
      </c>
      <c r="C66" t="s">
        <v>258</v>
      </c>
      <c r="D66" t="s">
        <v>259</v>
      </c>
      <c r="E66" t="s">
        <v>260</v>
      </c>
      <c r="F66" t="s">
        <v>41</v>
      </c>
      <c r="G66">
        <v>15</v>
      </c>
      <c r="H66">
        <f>((0/1000) * G66)</f>
        <v>0</v>
      </c>
      <c r="I66">
        <v>0</v>
      </c>
      <c r="J66">
        <v>15</v>
      </c>
      <c r="K66" s="239">
        <v>58191</v>
      </c>
      <c r="L66" s="240">
        <f>(K66 * G66)</f>
        <v>872865</v>
      </c>
      <c r="M66" s="241">
        <v>93105.6</v>
      </c>
      <c r="N66" s="242">
        <f>(G66 * M66)</f>
        <v>1396584</v>
      </c>
      <c r="O66">
        <v>0</v>
      </c>
      <c r="P66">
        <v>0</v>
      </c>
      <c r="Q66">
        <f>IF(O66&gt;G66,(O66-G66),0)</f>
        <v>0</v>
      </c>
      <c r="R66">
        <v>1</v>
      </c>
      <c r="S66">
        <f>IF(Q66&gt;0,Int(P66/Q66),0)</f>
        <v>0</v>
      </c>
      <c r="T66">
        <f>58191</f>
        <v>58191</v>
      </c>
      <c r="U66" t="s">
        <v>261</v>
      </c>
      <c r="V66">
        <v>58191</v>
      </c>
      <c r="W66" t="s">
        <v>197</v>
      </c>
      <c r="X66" t="s">
        <v>262</v>
      </c>
    </row>
    <row r="67" spans="1:27">
      <c r="A67" t="s">
        <v>35</v>
      </c>
      <c r="B67" t="s">
        <v>29</v>
      </c>
      <c r="C67" t="s">
        <v>263</v>
      </c>
      <c r="D67" t="s">
        <v>264</v>
      </c>
      <c r="E67" t="s">
        <v>265</v>
      </c>
      <c r="F67" t="s">
        <v>41</v>
      </c>
      <c r="G67">
        <v>0</v>
      </c>
      <c r="H67">
        <f>((1/1000) * G67)</f>
        <v>0</v>
      </c>
      <c r="I67">
        <v>0</v>
      </c>
      <c r="J67">
        <v>0</v>
      </c>
      <c r="K67" s="243">
        <v>0</v>
      </c>
      <c r="L67" s="244">
        <f>(K67 * G67)</f>
        <v>0</v>
      </c>
      <c r="M67" s="245">
        <v>0</v>
      </c>
      <c r="N67" s="246">
        <f>(G67 * M67)</f>
        <v>0</v>
      </c>
      <c r="O67">
        <v>0</v>
      </c>
      <c r="P67">
        <v>0</v>
      </c>
      <c r="Q67">
        <f>IF(O67&gt;G67,(O67-G67),0)</f>
        <v>0</v>
      </c>
      <c r="R67">
        <v>0</v>
      </c>
      <c r="S67">
        <f>IF(Q67&gt;0,Int(P67/Q67),0)</f>
        <v>0</v>
      </c>
      <c r="T67">
        <f>0</f>
        <v>0</v>
      </c>
      <c r="U67"/>
      <c r="V67">
        <v>0</v>
      </c>
      <c r="W67">
        <v>0</v>
      </c>
      <c r="X67"/>
    </row>
    <row r="68" spans="1:27">
      <c r="A68" t="s">
        <v>35</v>
      </c>
      <c r="B68" t="s">
        <v>29</v>
      </c>
      <c r="C68" t="s">
        <v>266</v>
      </c>
      <c r="D68" t="s">
        <v>267</v>
      </c>
      <c r="E68" t="s">
        <v>268</v>
      </c>
      <c r="F68" t="s">
        <v>41</v>
      </c>
      <c r="G68">
        <v>0</v>
      </c>
      <c r="H68">
        <f>((0/1000) * G68)</f>
        <v>0</v>
      </c>
      <c r="I68">
        <v>0</v>
      </c>
      <c r="J68">
        <v>0</v>
      </c>
      <c r="K68" s="247">
        <v>44200</v>
      </c>
      <c r="L68" s="248">
        <f>(K68 * G68)</f>
        <v>0</v>
      </c>
      <c r="M68" s="249">
        <v>66115.7</v>
      </c>
      <c r="N68" s="250">
        <f>(G68 * M68)</f>
        <v>0</v>
      </c>
      <c r="O68">
        <v>0</v>
      </c>
      <c r="P68">
        <v>0</v>
      </c>
      <c r="Q68">
        <f>IF(O68&gt;G68,(O68-G68),0)</f>
        <v>0</v>
      </c>
      <c r="R68">
        <v>1</v>
      </c>
      <c r="S68">
        <f>IF(Q68&gt;0,Int(P68/Q68),0)</f>
        <v>0</v>
      </c>
      <c r="T68">
        <f>44200</f>
        <v>44200</v>
      </c>
      <c r="U68" t="s">
        <v>269</v>
      </c>
      <c r="V68">
        <v>44200</v>
      </c>
      <c r="W68" t="s">
        <v>165</v>
      </c>
      <c r="X68"/>
    </row>
    <row r="69" spans="1:27">
      <c r="A69" t="s">
        <v>35</v>
      </c>
      <c r="B69" t="s">
        <v>29</v>
      </c>
      <c r="C69" t="s">
        <v>270</v>
      </c>
      <c r="D69" t="s">
        <v>271</v>
      </c>
      <c r="E69" t="s">
        <v>272</v>
      </c>
      <c r="F69" t="s">
        <v>41</v>
      </c>
      <c r="G69">
        <v>11</v>
      </c>
      <c r="H69">
        <f>((0/1000) * G69)</f>
        <v>0</v>
      </c>
      <c r="I69">
        <v>8</v>
      </c>
      <c r="J69">
        <v>3</v>
      </c>
      <c r="K69" s="251">
        <v>69036.94</v>
      </c>
      <c r="L69" s="252">
        <f>(K69 * G69)</f>
        <v>759406.34</v>
      </c>
      <c r="M69" s="253">
        <v>96651.72</v>
      </c>
      <c r="N69" s="254">
        <f>(G69 * M69)</f>
        <v>1063168.92</v>
      </c>
      <c r="O69">
        <v>0</v>
      </c>
      <c r="P69">
        <v>0</v>
      </c>
      <c r="Q69">
        <f>IF(O69&gt;G69,(O69-G69),0)</f>
        <v>0</v>
      </c>
      <c r="R69">
        <v>1</v>
      </c>
      <c r="S69">
        <f>IF(Q69&gt;0,Int(P69/Q69),0)</f>
        <v>0</v>
      </c>
      <c r="T69">
        <f>75674.61</f>
        <v>75674.61</v>
      </c>
      <c r="U69" t="s">
        <v>273</v>
      </c>
      <c r="V69">
        <v>69036.94</v>
      </c>
      <c r="W69" t="s">
        <v>274</v>
      </c>
      <c r="X69" t="s">
        <v>275</v>
      </c>
    </row>
    <row r="70" spans="1:27">
      <c r="A70" t="s">
        <v>35</v>
      </c>
      <c r="B70" t="s">
        <v>29</v>
      </c>
      <c r="C70" t="s">
        <v>276</v>
      </c>
      <c r="D70" t="s">
        <v>277</v>
      </c>
      <c r="E70" t="s">
        <v>278</v>
      </c>
      <c r="F70" t="s">
        <v>33</v>
      </c>
      <c r="G70">
        <v>2</v>
      </c>
      <c r="H70">
        <f>((0/1000) * G70)</f>
        <v>0</v>
      </c>
      <c r="I70">
        <v>0</v>
      </c>
      <c r="J70">
        <v>2</v>
      </c>
      <c r="K70" s="255">
        <v>48534.55</v>
      </c>
      <c r="L70" s="256">
        <f>(K70 * G70)</f>
        <v>97069.1</v>
      </c>
      <c r="M70" s="257">
        <v>63636.36</v>
      </c>
      <c r="N70" s="258">
        <f>(G70 * M70)</f>
        <v>127272.72</v>
      </c>
      <c r="O70">
        <v>0</v>
      </c>
      <c r="P70">
        <v>0</v>
      </c>
      <c r="Q70">
        <f>IF(O70&gt;G70,(O70-G70),0)</f>
        <v>0</v>
      </c>
      <c r="R70">
        <v>1</v>
      </c>
      <c r="S70">
        <f>IF(Q70&gt;0,Int(P70/Q70),0)</f>
        <v>0</v>
      </c>
      <c r="T70">
        <f>48534.55</f>
        <v>48534.55</v>
      </c>
      <c r="U70" t="s">
        <v>233</v>
      </c>
      <c r="V70">
        <v>48534.55</v>
      </c>
      <c r="W70" t="s">
        <v>279</v>
      </c>
      <c r="X70" t="s">
        <v>280</v>
      </c>
    </row>
    <row r="71" spans="1:27">
      <c r="A71" t="s">
        <v>35</v>
      </c>
      <c r="B71" t="s">
        <v>29</v>
      </c>
      <c r="C71" t="s">
        <v>281</v>
      </c>
      <c r="D71" t="s">
        <v>282</v>
      </c>
      <c r="E71" t="s">
        <v>283</v>
      </c>
      <c r="F71" t="s">
        <v>33</v>
      </c>
      <c r="G71">
        <v>-2</v>
      </c>
      <c r="H71">
        <f>((0/1000) * G71)</f>
        <v>-0</v>
      </c>
      <c r="I71">
        <v>0</v>
      </c>
      <c r="J71">
        <v>-2</v>
      </c>
      <c r="K71" s="259">
        <v>76275.76</v>
      </c>
      <c r="L71" s="260">
        <f>(K71 * G71)</f>
        <v>-152551.52</v>
      </c>
      <c r="M71" s="261">
        <v>106786.06</v>
      </c>
      <c r="N71" s="262">
        <f>(G71 * M71)</f>
        <v>-213572.12</v>
      </c>
      <c r="O71">
        <v>0</v>
      </c>
      <c r="P71">
        <v>0</v>
      </c>
      <c r="Q71">
        <f>IF(O71&gt;G71,(O71-G71),0)</f>
        <v>2</v>
      </c>
      <c r="R71">
        <v>0</v>
      </c>
      <c r="S71">
        <f>IF(Q71&gt;0,Int(P71/Q71),0)</f>
        <v>0</v>
      </c>
      <c r="T71">
        <f>73065.92</f>
        <v>73065.92</v>
      </c>
      <c r="U71" t="s">
        <v>284</v>
      </c>
      <c r="V71">
        <v>76275.76</v>
      </c>
      <c r="W71" t="s">
        <v>182</v>
      </c>
      <c r="X71" t="s">
        <v>239</v>
      </c>
    </row>
    <row r="72" spans="1:27">
      <c r="A72" t="s">
        <v>35</v>
      </c>
      <c r="B72" t="s">
        <v>29</v>
      </c>
      <c r="C72" t="s">
        <v>285</v>
      </c>
      <c r="D72" t="s">
        <v>286</v>
      </c>
      <c r="E72" t="s">
        <v>287</v>
      </c>
      <c r="F72" t="s">
        <v>33</v>
      </c>
      <c r="G72">
        <v>0</v>
      </c>
      <c r="H72">
        <f>((0/1000) * G72)</f>
        <v>0</v>
      </c>
      <c r="I72">
        <v>0</v>
      </c>
      <c r="J72">
        <v>0</v>
      </c>
      <c r="K72" s="263">
        <v>76275.76</v>
      </c>
      <c r="L72" s="264">
        <f>(K72 * G72)</f>
        <v>0</v>
      </c>
      <c r="M72" s="265">
        <v>106786.06</v>
      </c>
      <c r="N72" s="266">
        <f>(G72 * M72)</f>
        <v>0</v>
      </c>
      <c r="O72">
        <v>0</v>
      </c>
      <c r="P72">
        <v>0</v>
      </c>
      <c r="Q72">
        <f>IF(O72&gt;G72,(O72-G72),0)</f>
        <v>0</v>
      </c>
      <c r="R72">
        <v>1</v>
      </c>
      <c r="S72">
        <f>IF(Q72&gt;0,Int(P72/Q72),0)</f>
        <v>0</v>
      </c>
      <c r="T72">
        <f>69315.87</f>
        <v>69315.87</v>
      </c>
      <c r="U72" t="s">
        <v>288</v>
      </c>
      <c r="V72">
        <v>76275.76</v>
      </c>
      <c r="W72" t="s">
        <v>182</v>
      </c>
      <c r="X72" t="s">
        <v>239</v>
      </c>
    </row>
    <row r="73" spans="1:27">
      <c r="A73" t="s">
        <v>35</v>
      </c>
      <c r="B73" t="s">
        <v>29</v>
      </c>
      <c r="C73" t="s">
        <v>289</v>
      </c>
      <c r="D73" t="s">
        <v>290</v>
      </c>
      <c r="E73" t="s">
        <v>291</v>
      </c>
      <c r="F73" t="s">
        <v>33</v>
      </c>
      <c r="G73">
        <v>0</v>
      </c>
      <c r="H73">
        <f>((0/1000) * G73)</f>
        <v>0</v>
      </c>
      <c r="I73">
        <v>0</v>
      </c>
      <c r="J73">
        <v>0</v>
      </c>
      <c r="K73" s="267">
        <v>80434.68</v>
      </c>
      <c r="L73" s="268">
        <f>(K73 * G73)</f>
        <v>0</v>
      </c>
      <c r="M73" s="269">
        <v>112608.55</v>
      </c>
      <c r="N73" s="270">
        <f>(G73 * M73)</f>
        <v>0</v>
      </c>
      <c r="O73">
        <v>0</v>
      </c>
      <c r="P73">
        <v>0</v>
      </c>
      <c r="Q73">
        <f>IF(O73&gt;G73,(O73-G73),0)</f>
        <v>0</v>
      </c>
      <c r="R73">
        <v>0</v>
      </c>
      <c r="S73">
        <f>IF(Q73&gt;0,Int(P73/Q73),0)</f>
        <v>0</v>
      </c>
      <c r="T73">
        <f>0</f>
        <v>0</v>
      </c>
      <c r="U73"/>
      <c r="V73">
        <v>80434.68</v>
      </c>
      <c r="W73" t="s">
        <v>292</v>
      </c>
      <c r="X73"/>
    </row>
    <row r="74" spans="1:27">
      <c r="A74" t="s">
        <v>35</v>
      </c>
      <c r="B74" t="s">
        <v>29</v>
      </c>
      <c r="C74" t="s">
        <v>293</v>
      </c>
      <c r="D74" t="s">
        <v>294</v>
      </c>
      <c r="E74" t="s">
        <v>295</v>
      </c>
      <c r="F74" t="s">
        <v>33</v>
      </c>
      <c r="G74">
        <v>0</v>
      </c>
      <c r="H74">
        <f>((0/1000) * G74)</f>
        <v>0</v>
      </c>
      <c r="I74">
        <v>0</v>
      </c>
      <c r="J74">
        <v>0</v>
      </c>
      <c r="K74" s="271">
        <v>107562.72</v>
      </c>
      <c r="L74" s="272">
        <f>(K74 * G74)</f>
        <v>0</v>
      </c>
      <c r="M74" s="273">
        <v>107562.72</v>
      </c>
      <c r="N74" s="274">
        <f>(G74 * M74)</f>
        <v>0</v>
      </c>
      <c r="O74">
        <v>0</v>
      </c>
      <c r="P74">
        <v>0</v>
      </c>
      <c r="Q74">
        <f>IF(O74&gt;G74,(O74-G74),0)</f>
        <v>0</v>
      </c>
      <c r="R74">
        <v>1</v>
      </c>
      <c r="S74">
        <f>IF(Q74&gt;0,Int(P74/Q74),0)</f>
        <v>0</v>
      </c>
      <c r="T74">
        <f>93982.91</f>
        <v>93982.91</v>
      </c>
      <c r="U74" t="s">
        <v>296</v>
      </c>
      <c r="V74">
        <v>107562.72</v>
      </c>
      <c r="W74" t="s">
        <v>43</v>
      </c>
      <c r="X74"/>
    </row>
    <row r="75" spans="1:27">
      <c r="A75" t="s">
        <v>35</v>
      </c>
      <c r="B75" t="s">
        <v>29</v>
      </c>
      <c r="C75" t="s">
        <v>297</v>
      </c>
      <c r="D75" t="s">
        <v>298</v>
      </c>
      <c r="E75" t="s">
        <v>299</v>
      </c>
      <c r="F75" t="s">
        <v>33</v>
      </c>
      <c r="G75">
        <v>0</v>
      </c>
      <c r="H75">
        <f>((0/1000) * G75)</f>
        <v>0</v>
      </c>
      <c r="I75">
        <v>0</v>
      </c>
      <c r="J75">
        <v>0</v>
      </c>
      <c r="K75" s="275">
        <v>76655.07</v>
      </c>
      <c r="L75" s="276">
        <f>(K75 * G75)</f>
        <v>0</v>
      </c>
      <c r="M75" s="277">
        <v>107317.1</v>
      </c>
      <c r="N75" s="278">
        <f>(G75 * M75)</f>
        <v>0</v>
      </c>
      <c r="O75">
        <v>0</v>
      </c>
      <c r="P75">
        <v>0</v>
      </c>
      <c r="Q75">
        <f>IF(O75&gt;G75,(O75-G75),0)</f>
        <v>0</v>
      </c>
      <c r="R75">
        <v>1</v>
      </c>
      <c r="S75">
        <f>IF(Q75&gt;0,Int(P75/Q75),0)</f>
        <v>0</v>
      </c>
      <c r="T75">
        <f>84886.69</f>
        <v>84886.69</v>
      </c>
      <c r="U75" t="s">
        <v>300</v>
      </c>
      <c r="V75">
        <v>76655.07</v>
      </c>
      <c r="W75" t="s">
        <v>301</v>
      </c>
      <c r="X75"/>
    </row>
    <row r="76" spans="1:27">
      <c r="A76" t="s">
        <v>35</v>
      </c>
      <c r="B76" t="s">
        <v>29</v>
      </c>
      <c r="C76" t="s">
        <v>302</v>
      </c>
      <c r="D76" t="s">
        <v>303</v>
      </c>
      <c r="E76" t="s">
        <v>304</v>
      </c>
      <c r="F76" t="s">
        <v>41</v>
      </c>
      <c r="G76">
        <v>0</v>
      </c>
      <c r="H76">
        <f>((0/1000) * G76)</f>
        <v>0</v>
      </c>
      <c r="I76">
        <v>0</v>
      </c>
      <c r="J76">
        <v>0</v>
      </c>
      <c r="K76" s="279">
        <v>0</v>
      </c>
      <c r="L76" s="280">
        <f>(K76 * G76)</f>
        <v>0</v>
      </c>
      <c r="M76" s="281">
        <v>0</v>
      </c>
      <c r="N76" s="282">
        <f>(G76 * M76)</f>
        <v>0</v>
      </c>
      <c r="O76">
        <v>0</v>
      </c>
      <c r="P76">
        <v>0</v>
      </c>
      <c r="Q76">
        <f>IF(O76&gt;G76,(O76-G76),0)</f>
        <v>0</v>
      </c>
      <c r="R76">
        <v>1</v>
      </c>
      <c r="S76">
        <f>IF(Q76&gt;0,Int(P76/Q76),0)</f>
        <v>0</v>
      </c>
      <c r="T76">
        <f>46055.6</f>
        <v>46055.6</v>
      </c>
      <c r="U76" t="s">
        <v>305</v>
      </c>
      <c r="V76">
        <v>0</v>
      </c>
      <c r="W76">
        <v>0</v>
      </c>
      <c r="X76"/>
    </row>
    <row r="77" spans="1:27">
      <c r="A77" t="s">
        <v>35</v>
      </c>
      <c r="B77" t="s">
        <v>29</v>
      </c>
      <c r="C77" t="s">
        <v>306</v>
      </c>
      <c r="D77" t="s">
        <v>307</v>
      </c>
      <c r="E77" t="s">
        <v>308</v>
      </c>
      <c r="F77" t="s">
        <v>33</v>
      </c>
      <c r="G77">
        <v>0</v>
      </c>
      <c r="H77">
        <f>((0/1000) * G77)</f>
        <v>0</v>
      </c>
      <c r="I77">
        <v>0</v>
      </c>
      <c r="J77">
        <v>0</v>
      </c>
      <c r="K77" s="283">
        <v>0</v>
      </c>
      <c r="L77" s="284">
        <f>(K77 * G77)</f>
        <v>0</v>
      </c>
      <c r="M77" s="285">
        <v>0</v>
      </c>
      <c r="N77" s="286">
        <f>(G77 * M77)</f>
        <v>0</v>
      </c>
      <c r="O77">
        <v>0</v>
      </c>
      <c r="P77">
        <v>0</v>
      </c>
      <c r="Q77">
        <f>IF(O77&gt;G77,(O77-G77),0)</f>
        <v>0</v>
      </c>
      <c r="R77">
        <v>1</v>
      </c>
      <c r="S77">
        <f>IF(Q77&gt;0,Int(P77/Q77),0)</f>
        <v>0</v>
      </c>
      <c r="T77">
        <f>0</f>
        <v>0</v>
      </c>
      <c r="U77" t="s">
        <v>309</v>
      </c>
      <c r="V77">
        <v>0</v>
      </c>
      <c r="W77">
        <v>0</v>
      </c>
      <c r="X77"/>
    </row>
    <row r="78" spans="1:27">
      <c r="A78" t="s">
        <v>35</v>
      </c>
      <c r="B78" t="s">
        <v>29</v>
      </c>
      <c r="C78" t="s">
        <v>310</v>
      </c>
      <c r="D78" t="s">
        <v>311</v>
      </c>
      <c r="E78" t="s">
        <v>312</v>
      </c>
      <c r="F78" t="s">
        <v>41</v>
      </c>
      <c r="G78">
        <v>1</v>
      </c>
      <c r="H78">
        <f>((0/1000) * G78)</f>
        <v>0</v>
      </c>
      <c r="I78">
        <v>1</v>
      </c>
      <c r="J78">
        <v>0</v>
      </c>
      <c r="K78" s="287">
        <v>112754.39</v>
      </c>
      <c r="L78" s="288">
        <f>(K78 * G78)</f>
        <v>112754.39</v>
      </c>
      <c r="M78" s="289">
        <v>157856.15</v>
      </c>
      <c r="N78" s="290">
        <f>(G78 * M78)</f>
        <v>157856.15</v>
      </c>
      <c r="O78">
        <v>0</v>
      </c>
      <c r="P78">
        <v>0</v>
      </c>
      <c r="Q78">
        <f>IF(O78&gt;G78,(O78-G78),0)</f>
        <v>0</v>
      </c>
      <c r="R78">
        <v>1</v>
      </c>
      <c r="S78">
        <f>IF(Q78&gt;0,Int(P78/Q78),0)</f>
        <v>0</v>
      </c>
      <c r="T78">
        <f>96128.21</f>
        <v>96128.21</v>
      </c>
      <c r="U78" t="s">
        <v>313</v>
      </c>
      <c r="V78">
        <v>112754.39</v>
      </c>
      <c r="W78" t="s">
        <v>182</v>
      </c>
      <c r="X78"/>
    </row>
    <row r="79" spans="1:27">
      <c r="A79" t="s">
        <v>35</v>
      </c>
      <c r="B79" t="s">
        <v>29</v>
      </c>
      <c r="C79" t="s">
        <v>314</v>
      </c>
      <c r="D79" t="s">
        <v>315</v>
      </c>
      <c r="E79" t="s">
        <v>316</v>
      </c>
      <c r="F79" t="s">
        <v>41</v>
      </c>
      <c r="G79">
        <v>0</v>
      </c>
      <c r="H79">
        <f>((1/1000) * G79)</f>
        <v>0</v>
      </c>
      <c r="I79">
        <v>0</v>
      </c>
      <c r="J79">
        <v>0</v>
      </c>
      <c r="K79" s="291">
        <v>126825.96</v>
      </c>
      <c r="L79" s="292">
        <f>(K79 * G79)</f>
        <v>0</v>
      </c>
      <c r="M79" s="293">
        <v>139508.55</v>
      </c>
      <c r="N79" s="294">
        <f>(G79 * M79)</f>
        <v>0</v>
      </c>
      <c r="O79">
        <v>0</v>
      </c>
      <c r="P79">
        <v>0</v>
      </c>
      <c r="Q79">
        <f>IF(O79&gt;G79,(O79-G79),0)</f>
        <v>0</v>
      </c>
      <c r="R79">
        <v>1</v>
      </c>
      <c r="S79">
        <f>IF(Q79&gt;0,Int(P79/Q79),0)</f>
        <v>0</v>
      </c>
      <c r="T79">
        <f>0</f>
        <v>0</v>
      </c>
      <c r="U79"/>
      <c r="V79">
        <v>126825.96</v>
      </c>
      <c r="W79" t="s">
        <v>43</v>
      </c>
      <c r="X79"/>
    </row>
    <row r="80" spans="1:27">
      <c r="A80" t="s">
        <v>35</v>
      </c>
      <c r="B80" t="s">
        <v>29</v>
      </c>
      <c r="C80" t="s">
        <v>317</v>
      </c>
      <c r="D80" t="s">
        <v>317</v>
      </c>
      <c r="E80" t="s">
        <v>318</v>
      </c>
      <c r="F80" t="s">
        <v>41</v>
      </c>
      <c r="G80">
        <v>0</v>
      </c>
      <c r="H80">
        <f>((1/1000) * G80)</f>
        <v>0</v>
      </c>
      <c r="I80">
        <v>0</v>
      </c>
      <c r="J80">
        <v>0</v>
      </c>
      <c r="K80" s="295">
        <v>0</v>
      </c>
      <c r="L80" s="296">
        <f>(K80 * G80)</f>
        <v>0</v>
      </c>
      <c r="M80" s="297">
        <v>0</v>
      </c>
      <c r="N80" s="298">
        <f>(G80 * M80)</f>
        <v>0</v>
      </c>
      <c r="O80">
        <v>0</v>
      </c>
      <c r="P80">
        <v>0</v>
      </c>
      <c r="Q80">
        <f>IF(O80&gt;G80,(O80-G80),0)</f>
        <v>0</v>
      </c>
      <c r="R80">
        <v>1</v>
      </c>
      <c r="S80">
        <f>IF(Q80&gt;0,Int(P80/Q80),0)</f>
        <v>0</v>
      </c>
      <c r="T80">
        <f>0</f>
        <v>0</v>
      </c>
      <c r="U80"/>
      <c r="V80">
        <v>0</v>
      </c>
      <c r="W80">
        <v>0</v>
      </c>
      <c r="X80"/>
    </row>
    <row r="81" spans="1:27">
      <c r="A81" t="s">
        <v>35</v>
      </c>
      <c r="B81" t="s">
        <v>29</v>
      </c>
      <c r="C81" t="s">
        <v>319</v>
      </c>
      <c r="D81" t="s">
        <v>320</v>
      </c>
      <c r="E81" t="s">
        <v>321</v>
      </c>
      <c r="F81" t="s">
        <v>41</v>
      </c>
      <c r="G81">
        <v>-10</v>
      </c>
      <c r="H81">
        <f>((0/1000) * G81)</f>
        <v>-0</v>
      </c>
      <c r="I81">
        <v>0</v>
      </c>
      <c r="J81">
        <v>-10</v>
      </c>
      <c r="K81" s="299">
        <v>40083</v>
      </c>
      <c r="L81" s="300">
        <f>(K81 * G81)</f>
        <v>-400830</v>
      </c>
      <c r="M81" s="301">
        <v>68181.82</v>
      </c>
      <c r="N81" s="302">
        <f>(G81 * M81)</f>
        <v>-681818.2</v>
      </c>
      <c r="O81">
        <v>0</v>
      </c>
      <c r="P81">
        <v>0</v>
      </c>
      <c r="Q81">
        <f>IF(O81&gt;G81,(O81-G81),0)</f>
        <v>10</v>
      </c>
      <c r="R81">
        <v>0</v>
      </c>
      <c r="S81">
        <f>IF(Q81&gt;0,Int(P81/Q81),0)</f>
        <v>0</v>
      </c>
      <c r="T81">
        <f>40083</f>
        <v>40083</v>
      </c>
      <c r="U81" t="s">
        <v>322</v>
      </c>
      <c r="V81">
        <v>40083</v>
      </c>
      <c r="W81" t="s">
        <v>97</v>
      </c>
      <c r="X81" t="s">
        <v>323</v>
      </c>
    </row>
    <row r="82" spans="1:27">
      <c r="A82" t="s">
        <v>35</v>
      </c>
      <c r="B82" t="s">
        <v>29</v>
      </c>
      <c r="C82" t="s">
        <v>324</v>
      </c>
      <c r="D82" t="s">
        <v>325</v>
      </c>
      <c r="E82" t="s">
        <v>326</v>
      </c>
      <c r="F82" t="s">
        <v>41</v>
      </c>
      <c r="G82">
        <v>0</v>
      </c>
      <c r="H82">
        <f>((0/1000) * G82)</f>
        <v>0</v>
      </c>
      <c r="I82">
        <v>0</v>
      </c>
      <c r="J82">
        <v>0</v>
      </c>
      <c r="K82" s="303">
        <v>68264.46</v>
      </c>
      <c r="L82" s="304">
        <f>(K82 * G82)</f>
        <v>0</v>
      </c>
      <c r="M82" s="305">
        <v>75090.91</v>
      </c>
      <c r="N82" s="306">
        <f>(G82 * M82)</f>
        <v>0</v>
      </c>
      <c r="O82">
        <v>0</v>
      </c>
      <c r="P82">
        <v>0</v>
      </c>
      <c r="Q82">
        <f>IF(O82&gt;G82,(O82-G82),0)</f>
        <v>0</v>
      </c>
      <c r="R82">
        <v>1</v>
      </c>
      <c r="S82">
        <f>IF(Q82&gt;0,Int(P82/Q82),0)</f>
        <v>0</v>
      </c>
      <c r="T82">
        <f>62058.6</f>
        <v>62058.6</v>
      </c>
      <c r="U82" t="s">
        <v>327</v>
      </c>
      <c r="V82">
        <v>68264.46</v>
      </c>
      <c r="W82" t="s">
        <v>43</v>
      </c>
      <c r="X82" t="s">
        <v>328</v>
      </c>
    </row>
    <row r="83" spans="1:27">
      <c r="A83" t="s">
        <v>28</v>
      </c>
      <c r="B83" t="s">
        <v>29</v>
      </c>
      <c r="C83" t="s">
        <v>329</v>
      </c>
      <c r="D83" t="s">
        <v>330</v>
      </c>
      <c r="E83" t="s">
        <v>331</v>
      </c>
      <c r="F83" t="s">
        <v>33</v>
      </c>
      <c r="G83">
        <v>0</v>
      </c>
      <c r="H83">
        <f>((0/1000) * G83)</f>
        <v>0</v>
      </c>
      <c r="I83">
        <v>0</v>
      </c>
      <c r="J83">
        <v>0</v>
      </c>
      <c r="K83" s="307">
        <v>61717.53</v>
      </c>
      <c r="L83" s="308">
        <f>(K83 * G83)</f>
        <v>0</v>
      </c>
      <c r="M83" s="309">
        <v>86404.55</v>
      </c>
      <c r="N83" s="310">
        <f>(G83 * M83)</f>
        <v>0</v>
      </c>
      <c r="O83">
        <v>0</v>
      </c>
      <c r="P83">
        <v>0</v>
      </c>
      <c r="Q83">
        <f>IF(O83&gt;G83,(O83-G83),0)</f>
        <v>0</v>
      </c>
      <c r="R83">
        <v>0</v>
      </c>
      <c r="S83">
        <f>IF(Q83&gt;0,Int(P83/Q83),0)</f>
        <v>0</v>
      </c>
      <c r="T83">
        <f>0</f>
        <v>0</v>
      </c>
      <c r="U83"/>
      <c r="V83">
        <v>61717.53</v>
      </c>
      <c r="W83" t="s">
        <v>301</v>
      </c>
      <c r="X83"/>
    </row>
    <row r="84" spans="1:27">
      <c r="A84" t="s">
        <v>35</v>
      </c>
      <c r="B84" t="s">
        <v>29</v>
      </c>
      <c r="C84" t="s">
        <v>332</v>
      </c>
      <c r="D84" t="s">
        <v>333</v>
      </c>
      <c r="E84" t="s">
        <v>334</v>
      </c>
      <c r="F84" t="s">
        <v>41</v>
      </c>
      <c r="G84">
        <v>0</v>
      </c>
      <c r="H84">
        <f>((1/1000) * G84)</f>
        <v>0</v>
      </c>
      <c r="I84">
        <v>0</v>
      </c>
      <c r="J84">
        <v>0</v>
      </c>
      <c r="K84" s="311">
        <v>0</v>
      </c>
      <c r="L84" s="312">
        <f>(K84 * G84)</f>
        <v>0</v>
      </c>
      <c r="M84" s="313">
        <v>0</v>
      </c>
      <c r="N84" s="314">
        <f>(G84 * M84)</f>
        <v>0</v>
      </c>
      <c r="O84">
        <v>0</v>
      </c>
      <c r="P84">
        <v>0</v>
      </c>
      <c r="Q84">
        <f>IF(O84&gt;G84,(O84-G84),0)</f>
        <v>0</v>
      </c>
      <c r="R84">
        <v>0</v>
      </c>
      <c r="S84">
        <f>IF(Q84&gt;0,Int(P84/Q84),0)</f>
        <v>0</v>
      </c>
      <c r="T84">
        <f>0</f>
        <v>0</v>
      </c>
      <c r="U84"/>
      <c r="V84">
        <v>0</v>
      </c>
      <c r="W84">
        <v>0</v>
      </c>
      <c r="X84"/>
    </row>
    <row r="85" spans="1:27">
      <c r="A85" t="s">
        <v>35</v>
      </c>
      <c r="B85" t="s">
        <v>29</v>
      </c>
      <c r="C85" t="s">
        <v>335</v>
      </c>
      <c r="D85" t="s">
        <v>336</v>
      </c>
      <c r="E85" t="s">
        <v>337</v>
      </c>
      <c r="F85" t="s">
        <v>33</v>
      </c>
      <c r="G85">
        <v>11</v>
      </c>
      <c r="H85">
        <f>((0/1000) * G85)</f>
        <v>0</v>
      </c>
      <c r="I85">
        <v>0</v>
      </c>
      <c r="J85">
        <v>11</v>
      </c>
      <c r="K85" s="315">
        <v>61580</v>
      </c>
      <c r="L85" s="316">
        <f>(K85 * G85)</f>
        <v>677380</v>
      </c>
      <c r="M85" s="317">
        <v>86212</v>
      </c>
      <c r="N85" s="318">
        <f>(G85 * M85)</f>
        <v>948332</v>
      </c>
      <c r="O85">
        <v>0</v>
      </c>
      <c r="P85">
        <v>0</v>
      </c>
      <c r="Q85">
        <f>IF(O85&gt;G85,(O85-G85),0)</f>
        <v>0</v>
      </c>
      <c r="R85">
        <v>0</v>
      </c>
      <c r="S85">
        <f>IF(Q85&gt;0,Int(P85/Q85),0)</f>
        <v>0</v>
      </c>
      <c r="T85">
        <f>55981.82</f>
        <v>55981.82</v>
      </c>
      <c r="U85" t="s">
        <v>338</v>
      </c>
      <c r="V85">
        <v>61580</v>
      </c>
      <c r="W85" t="s">
        <v>292</v>
      </c>
      <c r="X85" t="s">
        <v>339</v>
      </c>
    </row>
    <row r="86" spans="1:27">
      <c r="A86" t="s">
        <v>35</v>
      </c>
      <c r="B86" t="s">
        <v>29</v>
      </c>
      <c r="C86" t="s">
        <v>340</v>
      </c>
      <c r="D86" t="s">
        <v>340</v>
      </c>
      <c r="E86" t="s">
        <v>341</v>
      </c>
      <c r="F86" t="s">
        <v>33</v>
      </c>
      <c r="G86">
        <v>0</v>
      </c>
      <c r="H86">
        <f>((1/1000) * G86)</f>
        <v>0</v>
      </c>
      <c r="I86">
        <v>0</v>
      </c>
      <c r="J86">
        <v>0</v>
      </c>
      <c r="K86" s="319">
        <v>0</v>
      </c>
      <c r="L86" s="320">
        <f>(K86 * G86)</f>
        <v>0</v>
      </c>
      <c r="M86" s="321">
        <v>0</v>
      </c>
      <c r="N86" s="322">
        <f>(G86 * M86)</f>
        <v>0</v>
      </c>
      <c r="O86">
        <v>0</v>
      </c>
      <c r="P86">
        <v>0</v>
      </c>
      <c r="Q86">
        <f>IF(O86&gt;G86,(O86-G86),0)</f>
        <v>0</v>
      </c>
      <c r="R86">
        <v>0</v>
      </c>
      <c r="S86">
        <f>IF(Q86&gt;0,Int(P86/Q86),0)</f>
        <v>0</v>
      </c>
      <c r="T86">
        <f>0</f>
        <v>0</v>
      </c>
      <c r="U86"/>
      <c r="V86">
        <v>0</v>
      </c>
      <c r="W86">
        <v>0</v>
      </c>
      <c r="X86"/>
    </row>
    <row r="87" spans="1:27">
      <c r="A87" t="s">
        <v>35</v>
      </c>
      <c r="B87" t="s">
        <v>29</v>
      </c>
      <c r="C87" t="s">
        <v>342</v>
      </c>
      <c r="D87" t="s">
        <v>342</v>
      </c>
      <c r="E87" t="s">
        <v>343</v>
      </c>
      <c r="F87" t="s">
        <v>33</v>
      </c>
      <c r="G87">
        <v>0</v>
      </c>
      <c r="H87">
        <f>((1/1000) * G87)</f>
        <v>0</v>
      </c>
      <c r="I87">
        <v>0</v>
      </c>
      <c r="J87">
        <v>0</v>
      </c>
      <c r="K87" s="323">
        <v>58697.01</v>
      </c>
      <c r="L87" s="324">
        <f>(K87 * G87)</f>
        <v>0</v>
      </c>
      <c r="M87" s="325">
        <v>82175.82</v>
      </c>
      <c r="N87" s="326">
        <f>(G87 * M87)</f>
        <v>0</v>
      </c>
      <c r="O87">
        <v>0</v>
      </c>
      <c r="P87">
        <v>0</v>
      </c>
      <c r="Q87">
        <f>IF(O87&gt;G87,(O87-G87),0)</f>
        <v>0</v>
      </c>
      <c r="R87">
        <v>1</v>
      </c>
      <c r="S87">
        <f>IF(Q87&gt;0,Int(P87/Q87),0)</f>
        <v>0</v>
      </c>
      <c r="T87">
        <f>53360.92</f>
        <v>53360.92</v>
      </c>
      <c r="U87" t="s">
        <v>344</v>
      </c>
      <c r="V87">
        <v>58697.01</v>
      </c>
      <c r="W87" t="s">
        <v>75</v>
      </c>
      <c r="X87"/>
    </row>
    <row r="88" spans="1:27">
      <c r="A88" t="s">
        <v>35</v>
      </c>
      <c r="B88" t="s">
        <v>29</v>
      </c>
      <c r="C88" t="s">
        <v>345</v>
      </c>
      <c r="D88" t="s">
        <v>346</v>
      </c>
      <c r="E88" t="s">
        <v>347</v>
      </c>
      <c r="F88" t="s">
        <v>41</v>
      </c>
      <c r="G88">
        <v>0</v>
      </c>
      <c r="H88">
        <f>((0/1000) * G88)</f>
        <v>0</v>
      </c>
      <c r="I88">
        <v>0</v>
      </c>
      <c r="J88">
        <v>0</v>
      </c>
      <c r="K88" s="327">
        <v>91570.25</v>
      </c>
      <c r="L88" s="328">
        <f>(K88 * G88)</f>
        <v>0</v>
      </c>
      <c r="M88" s="329">
        <v>100727.27</v>
      </c>
      <c r="N88" s="330">
        <f>(G88 * M88)</f>
        <v>0</v>
      </c>
      <c r="O88">
        <v>0</v>
      </c>
      <c r="P88">
        <v>0</v>
      </c>
      <c r="Q88">
        <f>IF(O88&gt;G88,(O88-G88),0)</f>
        <v>0</v>
      </c>
      <c r="R88">
        <v>1</v>
      </c>
      <c r="S88">
        <f>IF(Q88&gt;0,Int(P88/Q88),0)</f>
        <v>0</v>
      </c>
      <c r="T88">
        <f>54845.98</f>
        <v>54845.98</v>
      </c>
      <c r="U88" t="s">
        <v>348</v>
      </c>
      <c r="V88">
        <v>91570.25</v>
      </c>
      <c r="W88" t="s">
        <v>43</v>
      </c>
      <c r="X88"/>
    </row>
    <row r="89" spans="1:27">
      <c r="A89" t="s">
        <v>35</v>
      </c>
      <c r="B89" t="s">
        <v>29</v>
      </c>
      <c r="C89" t="s">
        <v>349</v>
      </c>
      <c r="D89" t="s">
        <v>350</v>
      </c>
      <c r="E89" t="s">
        <v>351</v>
      </c>
      <c r="F89" t="s">
        <v>41</v>
      </c>
      <c r="G89">
        <v>0</v>
      </c>
      <c r="H89">
        <f>((0/1000) * G89)</f>
        <v>0</v>
      </c>
      <c r="I89">
        <v>0</v>
      </c>
      <c r="J89">
        <v>0</v>
      </c>
      <c r="K89" s="331">
        <v>44110</v>
      </c>
      <c r="L89" s="332">
        <f>(K89 * G89)</f>
        <v>0</v>
      </c>
      <c r="M89" s="333">
        <v>70576</v>
      </c>
      <c r="N89" s="334">
        <f>(G89 * M89)</f>
        <v>0</v>
      </c>
      <c r="O89">
        <v>0</v>
      </c>
      <c r="P89">
        <v>0</v>
      </c>
      <c r="Q89">
        <f>IF(O89&gt;G89,(O89-G89),0)</f>
        <v>0</v>
      </c>
      <c r="R89">
        <v>1</v>
      </c>
      <c r="S89">
        <f>IF(Q89&gt;0,Int(P89/Q89),0)</f>
        <v>0</v>
      </c>
      <c r="T89">
        <f>44110</f>
        <v>44110</v>
      </c>
      <c r="U89" t="s">
        <v>352</v>
      </c>
      <c r="V89">
        <v>44110</v>
      </c>
      <c r="W89" t="s">
        <v>353</v>
      </c>
      <c r="X89" t="s">
        <v>354</v>
      </c>
    </row>
    <row r="90" spans="1:27">
      <c r="A90" t="s">
        <v>35</v>
      </c>
      <c r="B90" t="s">
        <v>29</v>
      </c>
      <c r="C90" t="s">
        <v>355</v>
      </c>
      <c r="D90" t="s">
        <v>356</v>
      </c>
      <c r="E90" t="s">
        <v>357</v>
      </c>
      <c r="F90" t="s">
        <v>41</v>
      </c>
      <c r="G90">
        <v>0</v>
      </c>
      <c r="H90">
        <f>((1/1000) * G90)</f>
        <v>0</v>
      </c>
      <c r="I90">
        <v>0</v>
      </c>
      <c r="J90">
        <v>0</v>
      </c>
      <c r="K90" s="335">
        <v>0</v>
      </c>
      <c r="L90" s="336">
        <f>(K90 * G90)</f>
        <v>0</v>
      </c>
      <c r="M90" s="337">
        <v>0</v>
      </c>
      <c r="N90" s="338">
        <f>(G90 * M90)</f>
        <v>0</v>
      </c>
      <c r="O90">
        <v>0</v>
      </c>
      <c r="P90">
        <v>0</v>
      </c>
      <c r="Q90">
        <f>IF(O90&gt;G90,(O90-G90),0)</f>
        <v>0</v>
      </c>
      <c r="R90">
        <v>0</v>
      </c>
      <c r="S90">
        <f>IF(Q90&gt;0,Int(P90/Q90),0)</f>
        <v>0</v>
      </c>
      <c r="T90">
        <f>0</f>
        <v>0</v>
      </c>
      <c r="U90"/>
      <c r="V90">
        <v>0</v>
      </c>
      <c r="W90">
        <v>0</v>
      </c>
      <c r="X90"/>
    </row>
    <row r="91" spans="1:27">
      <c r="A91" t="s">
        <v>35</v>
      </c>
      <c r="B91" t="s">
        <v>29</v>
      </c>
      <c r="C91" t="s">
        <v>358</v>
      </c>
      <c r="D91" t="s">
        <v>359</v>
      </c>
      <c r="E91" t="s">
        <v>360</v>
      </c>
      <c r="F91" t="s">
        <v>41</v>
      </c>
      <c r="G91">
        <v>0</v>
      </c>
      <c r="H91">
        <f>((0/1000) * G91)</f>
        <v>0</v>
      </c>
      <c r="I91">
        <v>0</v>
      </c>
      <c r="J91">
        <v>0</v>
      </c>
      <c r="K91" s="339">
        <v>47184</v>
      </c>
      <c r="L91" s="340">
        <f>(K91 * G91)</f>
        <v>0</v>
      </c>
      <c r="M91" s="341">
        <v>70776</v>
      </c>
      <c r="N91" s="342">
        <f>(G91 * M91)</f>
        <v>0</v>
      </c>
      <c r="O91">
        <v>0</v>
      </c>
      <c r="P91">
        <v>0</v>
      </c>
      <c r="Q91">
        <f>IF(O91&gt;G91,(O91-G91),0)</f>
        <v>0</v>
      </c>
      <c r="R91">
        <v>1</v>
      </c>
      <c r="S91">
        <f>IF(Q91&gt;0,Int(P91/Q91),0)</f>
        <v>0</v>
      </c>
      <c r="T91">
        <f>59353.86</f>
        <v>59353.86</v>
      </c>
      <c r="U91" t="s">
        <v>361</v>
      </c>
      <c r="V91">
        <v>47184</v>
      </c>
      <c r="W91" t="s">
        <v>165</v>
      </c>
      <c r="X91"/>
    </row>
    <row r="92" spans="1:27">
      <c r="A92" t="s">
        <v>35</v>
      </c>
      <c r="B92" t="s">
        <v>29</v>
      </c>
      <c r="C92" t="s">
        <v>362</v>
      </c>
      <c r="D92" t="s">
        <v>363</v>
      </c>
      <c r="E92" t="s">
        <v>364</v>
      </c>
      <c r="F92" t="s">
        <v>41</v>
      </c>
      <c r="G92">
        <v>9</v>
      </c>
      <c r="H92">
        <f>((0/1000) * G92)</f>
        <v>0</v>
      </c>
      <c r="I92">
        <v>7</v>
      </c>
      <c r="J92">
        <v>2</v>
      </c>
      <c r="K92" s="343">
        <v>65244.55</v>
      </c>
      <c r="L92" s="344">
        <f>(K92 * G92)</f>
        <v>587200.95</v>
      </c>
      <c r="M92" s="345">
        <v>91342.36</v>
      </c>
      <c r="N92" s="346">
        <f>(G92 * M92)</f>
        <v>822081.24</v>
      </c>
      <c r="O92">
        <v>0</v>
      </c>
      <c r="P92">
        <v>0</v>
      </c>
      <c r="Q92">
        <f>IF(O92&gt;G92,(O92-G92),0)</f>
        <v>0</v>
      </c>
      <c r="R92">
        <v>1</v>
      </c>
      <c r="S92">
        <f>IF(Q92&gt;0,Int(P92/Q92),0)</f>
        <v>0</v>
      </c>
      <c r="T92">
        <f>65244.55</f>
        <v>65244.55</v>
      </c>
      <c r="U92" t="s">
        <v>365</v>
      </c>
      <c r="V92">
        <v>65244.55</v>
      </c>
      <c r="W92" t="s">
        <v>274</v>
      </c>
      <c r="X92" t="s">
        <v>239</v>
      </c>
    </row>
    <row r="93" spans="1:27">
      <c r="A93" t="s">
        <v>35</v>
      </c>
      <c r="B93" t="s">
        <v>29</v>
      </c>
      <c r="C93" t="s">
        <v>366</v>
      </c>
      <c r="D93" t="s">
        <v>367</v>
      </c>
      <c r="E93" t="s">
        <v>368</v>
      </c>
      <c r="F93" t="s">
        <v>33</v>
      </c>
      <c r="G93">
        <v>0</v>
      </c>
      <c r="H93">
        <f>((0/1000) * G93)</f>
        <v>0</v>
      </c>
      <c r="I93">
        <v>0</v>
      </c>
      <c r="J93">
        <v>0</v>
      </c>
      <c r="K93" s="347">
        <v>65244.55</v>
      </c>
      <c r="L93" s="348">
        <f>(K93 * G93)</f>
        <v>0</v>
      </c>
      <c r="M93" s="349">
        <v>91342.36</v>
      </c>
      <c r="N93" s="350">
        <f>(G93 * M93)</f>
        <v>0</v>
      </c>
      <c r="O93">
        <v>0</v>
      </c>
      <c r="P93">
        <v>0</v>
      </c>
      <c r="Q93">
        <f>IF(O93&gt;G93,(O93-G93),0)</f>
        <v>0</v>
      </c>
      <c r="R93">
        <v>1</v>
      </c>
      <c r="S93">
        <f>IF(Q93&gt;0,Int(P93/Q93),0)</f>
        <v>0</v>
      </c>
      <c r="T93">
        <f>29151.01</f>
        <v>29151.01</v>
      </c>
      <c r="U93" t="s">
        <v>369</v>
      </c>
      <c r="V93">
        <v>65244.55</v>
      </c>
      <c r="W93" t="s">
        <v>274</v>
      </c>
      <c r="X93"/>
    </row>
    <row r="94" spans="1:27">
      <c r="A94" t="s">
        <v>35</v>
      </c>
      <c r="B94" t="s">
        <v>29</v>
      </c>
      <c r="C94" t="s">
        <v>370</v>
      </c>
      <c r="D94" t="s">
        <v>371</v>
      </c>
      <c r="E94" t="s">
        <v>372</v>
      </c>
      <c r="F94" t="s">
        <v>33</v>
      </c>
      <c r="G94">
        <v>1</v>
      </c>
      <c r="H94">
        <f>((0/1000) * G94)</f>
        <v>0</v>
      </c>
      <c r="I94">
        <v>0</v>
      </c>
      <c r="J94">
        <v>1</v>
      </c>
      <c r="K94" s="351">
        <v>41800</v>
      </c>
      <c r="L94" s="352">
        <f>(K94 * G94)</f>
        <v>41800</v>
      </c>
      <c r="M94" s="353">
        <v>62700</v>
      </c>
      <c r="N94" s="354">
        <f>(G94 * M94)</f>
        <v>62700</v>
      </c>
      <c r="O94">
        <v>0</v>
      </c>
      <c r="P94">
        <v>0</v>
      </c>
      <c r="Q94">
        <f>IF(O94&gt;G94,(O94-G94),0)</f>
        <v>0</v>
      </c>
      <c r="R94">
        <v>1</v>
      </c>
      <c r="S94">
        <f>IF(Q94&gt;0,Int(P94/Q94),0)</f>
        <v>0</v>
      </c>
      <c r="T94">
        <f>38000</f>
        <v>38000</v>
      </c>
      <c r="U94" t="s">
        <v>373</v>
      </c>
      <c r="V94">
        <v>41800</v>
      </c>
      <c r="W94" t="s">
        <v>43</v>
      </c>
      <c r="X94" t="s">
        <v>374</v>
      </c>
    </row>
    <row r="95" spans="1:27">
      <c r="A95" t="s">
        <v>35</v>
      </c>
      <c r="B95" t="s">
        <v>29</v>
      </c>
      <c r="C95" t="s">
        <v>375</v>
      </c>
      <c r="D95" t="s">
        <v>376</v>
      </c>
      <c r="E95" t="s">
        <v>377</v>
      </c>
      <c r="F95" t="s">
        <v>41</v>
      </c>
      <c r="G95">
        <v>0</v>
      </c>
      <c r="H95">
        <f>((0/1000) * G95)</f>
        <v>0</v>
      </c>
      <c r="I95">
        <v>0</v>
      </c>
      <c r="J95">
        <v>0</v>
      </c>
      <c r="K95" s="355">
        <v>46136.35</v>
      </c>
      <c r="L95" s="356">
        <f>(K95 * G95)</f>
        <v>0</v>
      </c>
      <c r="M95" s="357">
        <v>64590.9</v>
      </c>
      <c r="N95" s="358">
        <f>(G95 * M95)</f>
        <v>0</v>
      </c>
      <c r="O95">
        <v>0</v>
      </c>
      <c r="P95">
        <v>0</v>
      </c>
      <c r="Q95">
        <f>IF(O95&gt;G95,(O95-G95),0)</f>
        <v>0</v>
      </c>
      <c r="R95">
        <v>1</v>
      </c>
      <c r="S95">
        <f>IF(Q95&gt;0,Int(P95/Q95),0)</f>
        <v>0</v>
      </c>
      <c r="T95">
        <f>41942.14</f>
        <v>41942.14</v>
      </c>
      <c r="U95" t="s">
        <v>378</v>
      </c>
      <c r="V95">
        <v>46136.35</v>
      </c>
      <c r="W95" t="s">
        <v>75</v>
      </c>
      <c r="X95"/>
    </row>
    <row r="96" spans="1:27">
      <c r="A96" t="s">
        <v>35</v>
      </c>
      <c r="B96" t="s">
        <v>29</v>
      </c>
      <c r="C96" t="s">
        <v>379</v>
      </c>
      <c r="D96" t="s">
        <v>380</v>
      </c>
      <c r="E96" t="s">
        <v>377</v>
      </c>
      <c r="F96" t="s">
        <v>33</v>
      </c>
      <c r="G96">
        <v>0</v>
      </c>
      <c r="H96">
        <f>((0/1000) * G96)</f>
        <v>0</v>
      </c>
      <c r="I96">
        <v>0</v>
      </c>
      <c r="J96">
        <v>0</v>
      </c>
      <c r="K96" s="359">
        <v>50293.57</v>
      </c>
      <c r="L96" s="360">
        <f>(K96 * G96)</f>
        <v>0</v>
      </c>
      <c r="M96" s="361">
        <v>70411</v>
      </c>
      <c r="N96" s="362">
        <f>(G96 * M96)</f>
        <v>0</v>
      </c>
      <c r="O96">
        <v>0</v>
      </c>
      <c r="P96">
        <v>0</v>
      </c>
      <c r="Q96">
        <f>IF(O96&gt;G96,(O96-G96),0)</f>
        <v>0</v>
      </c>
      <c r="R96">
        <v>1</v>
      </c>
      <c r="S96">
        <f>IF(Q96&gt;0,Int(P96/Q96),0)</f>
        <v>0</v>
      </c>
      <c r="T96">
        <f>41942.14</f>
        <v>41942.14</v>
      </c>
      <c r="U96" t="s">
        <v>381</v>
      </c>
      <c r="V96">
        <v>50293.57</v>
      </c>
      <c r="W96" t="s">
        <v>75</v>
      </c>
      <c r="X96"/>
    </row>
    <row r="97" spans="1:27">
      <c r="A97" t="s">
        <v>35</v>
      </c>
      <c r="B97" t="s">
        <v>29</v>
      </c>
      <c r="C97" t="s">
        <v>382</v>
      </c>
      <c r="D97" t="s">
        <v>383</v>
      </c>
      <c r="E97" t="s">
        <v>384</v>
      </c>
      <c r="F97" t="s">
        <v>33</v>
      </c>
      <c r="G97">
        <v>0</v>
      </c>
      <c r="H97">
        <f>((0/1000) * G97)</f>
        <v>0</v>
      </c>
      <c r="I97">
        <v>0</v>
      </c>
      <c r="J97">
        <v>0</v>
      </c>
      <c r="K97" s="363">
        <v>75206.6</v>
      </c>
      <c r="L97" s="364">
        <f>(K97 * G97)</f>
        <v>0</v>
      </c>
      <c r="M97" s="365">
        <v>105289.25</v>
      </c>
      <c r="N97" s="366">
        <f>(G97 * M97)</f>
        <v>0</v>
      </c>
      <c r="O97">
        <v>0</v>
      </c>
      <c r="P97">
        <v>0</v>
      </c>
      <c r="Q97">
        <f>IF(O97&gt;G97,(O97-G97),0)</f>
        <v>0</v>
      </c>
      <c r="R97">
        <v>1</v>
      </c>
      <c r="S97">
        <f>IF(Q97&gt;0,Int(P97/Q97),0)</f>
        <v>0</v>
      </c>
      <c r="T97">
        <f>68369.64</f>
        <v>68369.64</v>
      </c>
      <c r="U97" t="s">
        <v>385</v>
      </c>
      <c r="V97">
        <v>75206.6</v>
      </c>
      <c r="W97" t="s">
        <v>75</v>
      </c>
      <c r="X97" t="s">
        <v>386</v>
      </c>
    </row>
    <row r="98" spans="1:27">
      <c r="A98" t="s">
        <v>35</v>
      </c>
      <c r="B98" t="s">
        <v>29</v>
      </c>
      <c r="C98" t="s">
        <v>387</v>
      </c>
      <c r="D98" t="s">
        <v>388</v>
      </c>
      <c r="E98" t="s">
        <v>389</v>
      </c>
      <c r="F98" t="s">
        <v>33</v>
      </c>
      <c r="G98">
        <v>0</v>
      </c>
      <c r="H98">
        <f>((0/1000) * G98)</f>
        <v>0</v>
      </c>
      <c r="I98">
        <v>0</v>
      </c>
      <c r="J98">
        <v>0</v>
      </c>
      <c r="K98" s="367">
        <v>46136.35</v>
      </c>
      <c r="L98" s="368">
        <f>(K98 * G98)</f>
        <v>0</v>
      </c>
      <c r="M98" s="369">
        <v>64590.9</v>
      </c>
      <c r="N98" s="370">
        <f>(G98 * M98)</f>
        <v>0</v>
      </c>
      <c r="O98">
        <v>0</v>
      </c>
      <c r="P98">
        <v>0</v>
      </c>
      <c r="Q98">
        <f>IF(O98&gt;G98,(O98-G98),0)</f>
        <v>0</v>
      </c>
      <c r="R98">
        <v>0</v>
      </c>
      <c r="S98">
        <f>IF(Q98&gt;0,Int(P98/Q98),0)</f>
        <v>0</v>
      </c>
      <c r="T98">
        <f>0</f>
        <v>0</v>
      </c>
      <c r="U98"/>
      <c r="V98">
        <v>46136.35</v>
      </c>
      <c r="W98" t="s">
        <v>75</v>
      </c>
      <c r="X98"/>
    </row>
    <row r="99" spans="1:27">
      <c r="A99" t="s">
        <v>35</v>
      </c>
      <c r="B99" t="s">
        <v>29</v>
      </c>
      <c r="C99" t="s">
        <v>390</v>
      </c>
      <c r="D99" t="s">
        <v>391</v>
      </c>
      <c r="E99" t="s">
        <v>392</v>
      </c>
      <c r="F99" t="s">
        <v>33</v>
      </c>
      <c r="G99">
        <v>0</v>
      </c>
      <c r="H99">
        <f>((0/1000) * G99)</f>
        <v>0</v>
      </c>
      <c r="I99">
        <v>0</v>
      </c>
      <c r="J99">
        <v>0</v>
      </c>
      <c r="K99" s="371">
        <v>61212.12</v>
      </c>
      <c r="L99" s="372">
        <f>(K99 * G99)</f>
        <v>0</v>
      </c>
      <c r="M99" s="373">
        <v>82636.36</v>
      </c>
      <c r="N99" s="374">
        <f>(G99 * M99)</f>
        <v>0</v>
      </c>
      <c r="O99">
        <v>0</v>
      </c>
      <c r="P99">
        <v>0</v>
      </c>
      <c r="Q99">
        <f>IF(O99&gt;G99,(O99-G99),0)</f>
        <v>0</v>
      </c>
      <c r="R99">
        <v>1</v>
      </c>
      <c r="S99">
        <f>IF(Q99&gt;0,Int(P99/Q99),0)</f>
        <v>0</v>
      </c>
      <c r="T99">
        <f>0</f>
        <v>0</v>
      </c>
      <c r="U99"/>
      <c r="V99">
        <v>61212.12</v>
      </c>
      <c r="W99" t="s">
        <v>43</v>
      </c>
      <c r="X99"/>
    </row>
    <row r="100" spans="1:27">
      <c r="A100" t="s">
        <v>35</v>
      </c>
      <c r="B100" t="s">
        <v>29</v>
      </c>
      <c r="C100" t="s">
        <v>393</v>
      </c>
      <c r="D100" t="s">
        <v>394</v>
      </c>
      <c r="E100" t="s">
        <v>395</v>
      </c>
      <c r="F100" t="s">
        <v>33</v>
      </c>
      <c r="G100">
        <v>0</v>
      </c>
      <c r="H100">
        <f>((0/1000) * G100)</f>
        <v>0</v>
      </c>
      <c r="I100">
        <v>0</v>
      </c>
      <c r="J100">
        <v>0</v>
      </c>
      <c r="K100" s="375">
        <v>49046.17</v>
      </c>
      <c r="L100" s="376">
        <f>(K100 * G100)</f>
        <v>0</v>
      </c>
      <c r="M100" s="377">
        <v>68664.64</v>
      </c>
      <c r="N100" s="378">
        <f>(G100 * M100)</f>
        <v>0</v>
      </c>
      <c r="O100">
        <v>0</v>
      </c>
      <c r="P100">
        <v>0</v>
      </c>
      <c r="Q100">
        <f>IF(O100&gt;G100,(O100-G100),0)</f>
        <v>0</v>
      </c>
      <c r="R100">
        <v>1</v>
      </c>
      <c r="S100">
        <f>IF(Q100&gt;0,Int(P100/Q100),0)</f>
        <v>0</v>
      </c>
      <c r="T100">
        <f>43140.49</f>
        <v>43140.49</v>
      </c>
      <c r="U100" t="s">
        <v>396</v>
      </c>
      <c r="V100">
        <v>49046.17</v>
      </c>
      <c r="W100" t="s">
        <v>75</v>
      </c>
      <c r="X100" t="s">
        <v>374</v>
      </c>
    </row>
    <row r="101" spans="1:27">
      <c r="A101" t="s">
        <v>35</v>
      </c>
      <c r="B101" t="s">
        <v>29</v>
      </c>
      <c r="C101" t="s">
        <v>397</v>
      </c>
      <c r="D101" t="s">
        <v>398</v>
      </c>
      <c r="E101" t="s">
        <v>399</v>
      </c>
      <c r="F101" t="s">
        <v>41</v>
      </c>
      <c r="G101">
        <v>1</v>
      </c>
      <c r="H101">
        <f>((0/1000) * G101)</f>
        <v>0</v>
      </c>
      <c r="I101">
        <v>0</v>
      </c>
      <c r="J101">
        <v>1</v>
      </c>
      <c r="K101" s="379">
        <v>47454.54</v>
      </c>
      <c r="L101" s="380">
        <f>(K101 * G101)</f>
        <v>47454.54</v>
      </c>
      <c r="M101" s="381">
        <v>66436.35</v>
      </c>
      <c r="N101" s="382">
        <f>(G101 * M101)</f>
        <v>66436.35</v>
      </c>
      <c r="O101">
        <v>0</v>
      </c>
      <c r="P101">
        <v>0</v>
      </c>
      <c r="Q101">
        <f>IF(O101&gt;G101,(O101-G101),0)</f>
        <v>0</v>
      </c>
      <c r="R101">
        <v>1</v>
      </c>
      <c r="S101">
        <f>IF(Q101&gt;0,Int(P101/Q101),0)</f>
        <v>0</v>
      </c>
      <c r="T101">
        <f>43140.49</f>
        <v>43140.49</v>
      </c>
      <c r="U101" t="s">
        <v>400</v>
      </c>
      <c r="V101">
        <v>47454.54</v>
      </c>
      <c r="W101" t="s">
        <v>75</v>
      </c>
      <c r="X101" t="s">
        <v>401</v>
      </c>
    </row>
    <row r="102" spans="1:27">
      <c r="A102" t="s">
        <v>35</v>
      </c>
      <c r="B102" t="s">
        <v>29</v>
      </c>
      <c r="C102" t="s">
        <v>402</v>
      </c>
      <c r="D102" t="s">
        <v>403</v>
      </c>
      <c r="E102" t="s">
        <v>404</v>
      </c>
      <c r="F102" t="s">
        <v>41</v>
      </c>
      <c r="G102">
        <v>0</v>
      </c>
      <c r="H102">
        <f>((1/1000) * G102)</f>
        <v>0</v>
      </c>
      <c r="I102">
        <v>0</v>
      </c>
      <c r="J102">
        <v>0</v>
      </c>
      <c r="K102" s="383">
        <v>84326.35</v>
      </c>
      <c r="L102" s="384">
        <f>(K102 * G102)</f>
        <v>0</v>
      </c>
      <c r="M102" s="385">
        <v>92758.98</v>
      </c>
      <c r="N102" s="386">
        <f>(G102 * M102)</f>
        <v>0</v>
      </c>
      <c r="O102">
        <v>0</v>
      </c>
      <c r="P102">
        <v>0</v>
      </c>
      <c r="Q102">
        <f>IF(O102&gt;G102,(O102-G102),0)</f>
        <v>0</v>
      </c>
      <c r="R102">
        <v>1</v>
      </c>
      <c r="S102">
        <f>IF(Q102&gt;0,Int(P102/Q102),0)</f>
        <v>0</v>
      </c>
      <c r="T102">
        <f>0</f>
        <v>0</v>
      </c>
      <c r="U102"/>
      <c r="V102">
        <v>84326.35</v>
      </c>
      <c r="W102" t="s">
        <v>43</v>
      </c>
      <c r="X102"/>
    </row>
    <row r="103" spans="1:27">
      <c r="A103" t="s">
        <v>35</v>
      </c>
      <c r="B103" t="s">
        <v>29</v>
      </c>
      <c r="C103" t="s">
        <v>405</v>
      </c>
      <c r="D103" t="s">
        <v>406</v>
      </c>
      <c r="E103" t="s">
        <v>407</v>
      </c>
      <c r="F103" t="s">
        <v>41</v>
      </c>
      <c r="G103">
        <v>34</v>
      </c>
      <c r="H103">
        <f>((0/1000) * G103)</f>
        <v>0</v>
      </c>
      <c r="I103">
        <v>0</v>
      </c>
      <c r="J103">
        <v>34</v>
      </c>
      <c r="K103" s="387">
        <v>39309</v>
      </c>
      <c r="L103" s="388">
        <f>(K103 * G103)</f>
        <v>1336506</v>
      </c>
      <c r="M103" s="389">
        <v>74380.17</v>
      </c>
      <c r="N103" s="390">
        <f>(G103 * M103)</f>
        <v>2528925.78</v>
      </c>
      <c r="O103">
        <v>0</v>
      </c>
      <c r="P103">
        <v>0</v>
      </c>
      <c r="Q103">
        <f>IF(O103&gt;G103,(O103-G103),0)</f>
        <v>0</v>
      </c>
      <c r="R103">
        <v>0</v>
      </c>
      <c r="S103">
        <f>IF(Q103&gt;0,Int(P103/Q103),0)</f>
        <v>0</v>
      </c>
      <c r="T103">
        <f>39309</f>
        <v>39309</v>
      </c>
      <c r="U103" t="s">
        <v>408</v>
      </c>
      <c r="V103">
        <v>39309</v>
      </c>
      <c r="W103" t="s">
        <v>54</v>
      </c>
      <c r="X103" t="s">
        <v>409</v>
      </c>
    </row>
    <row r="104" spans="1:27">
      <c r="A104" t="s">
        <v>35</v>
      </c>
      <c r="B104" t="s">
        <v>29</v>
      </c>
      <c r="C104" t="s">
        <v>410</v>
      </c>
      <c r="D104" t="s">
        <v>411</v>
      </c>
      <c r="E104" t="s">
        <v>412</v>
      </c>
      <c r="F104" t="s">
        <v>41</v>
      </c>
      <c r="G104">
        <v>0</v>
      </c>
      <c r="H104">
        <f>((0/1000) * G104)</f>
        <v>0</v>
      </c>
      <c r="I104">
        <v>0</v>
      </c>
      <c r="J104">
        <v>0</v>
      </c>
      <c r="K104" s="391">
        <v>81652.89</v>
      </c>
      <c r="L104" s="392">
        <f>(K104 * G104)</f>
        <v>0</v>
      </c>
      <c r="M104" s="393">
        <v>89818.18</v>
      </c>
      <c r="N104" s="394">
        <f>(G104 * M104)</f>
        <v>0</v>
      </c>
      <c r="O104">
        <v>0</v>
      </c>
      <c r="P104">
        <v>0</v>
      </c>
      <c r="Q104">
        <f>IF(O104&gt;G104,(O104-G104),0)</f>
        <v>0</v>
      </c>
      <c r="R104">
        <v>1</v>
      </c>
      <c r="S104">
        <f>IF(Q104&gt;0,Int(P104/Q104),0)</f>
        <v>0</v>
      </c>
      <c r="T104">
        <f>42749.81</f>
        <v>42749.81</v>
      </c>
      <c r="U104" t="s">
        <v>413</v>
      </c>
      <c r="V104">
        <v>81652.89</v>
      </c>
      <c r="W104" t="s">
        <v>43</v>
      </c>
      <c r="X104"/>
    </row>
    <row r="105" spans="1:27">
      <c r="A105" t="s">
        <v>35</v>
      </c>
      <c r="B105" t="s">
        <v>29</v>
      </c>
      <c r="C105" t="s">
        <v>414</v>
      </c>
      <c r="D105" t="s">
        <v>415</v>
      </c>
      <c r="E105" t="s">
        <v>416</v>
      </c>
      <c r="F105" t="s">
        <v>33</v>
      </c>
      <c r="G105">
        <v>1</v>
      </c>
      <c r="H105">
        <f>((0/1000) * G105)</f>
        <v>0</v>
      </c>
      <c r="I105">
        <v>0</v>
      </c>
      <c r="J105">
        <v>1</v>
      </c>
      <c r="K105" s="395">
        <v>66362.26</v>
      </c>
      <c r="L105" s="396">
        <f>(K105 * G105)</f>
        <v>66362.26</v>
      </c>
      <c r="M105" s="397">
        <v>82952.83</v>
      </c>
      <c r="N105" s="398">
        <f>(G105 * M105)</f>
        <v>82952.83</v>
      </c>
      <c r="O105">
        <v>0</v>
      </c>
      <c r="P105">
        <v>0</v>
      </c>
      <c r="Q105">
        <f>IF(O105&gt;G105,(O105-G105),0)</f>
        <v>0</v>
      </c>
      <c r="R105">
        <v>1</v>
      </c>
      <c r="S105">
        <f>IF(Q105&gt;0,Int(P105/Q105),0)</f>
        <v>0</v>
      </c>
      <c r="T105">
        <f>48173.55</f>
        <v>48173.55</v>
      </c>
      <c r="U105" t="s">
        <v>417</v>
      </c>
      <c r="V105">
        <v>66362.26</v>
      </c>
      <c r="W105" t="s">
        <v>43</v>
      </c>
      <c r="X105" t="s">
        <v>418</v>
      </c>
    </row>
    <row r="106" spans="1:27">
      <c r="A106" t="s">
        <v>35</v>
      </c>
      <c r="B106" t="s">
        <v>29</v>
      </c>
      <c r="C106" t="s">
        <v>419</v>
      </c>
      <c r="D106" t="s">
        <v>420</v>
      </c>
      <c r="E106" t="s">
        <v>421</v>
      </c>
      <c r="F106" t="s">
        <v>41</v>
      </c>
      <c r="G106">
        <v>6</v>
      </c>
      <c r="H106">
        <f>((0/1000) * G106)</f>
        <v>0</v>
      </c>
      <c r="I106">
        <v>0</v>
      </c>
      <c r="J106">
        <v>6</v>
      </c>
      <c r="K106" s="399">
        <v>59477</v>
      </c>
      <c r="L106" s="400">
        <f>(K106 * G106)</f>
        <v>356862</v>
      </c>
      <c r="M106" s="401">
        <v>107058.6</v>
      </c>
      <c r="N106" s="402">
        <f>(G106 * M106)</f>
        <v>642351.6</v>
      </c>
      <c r="O106">
        <v>0</v>
      </c>
      <c r="P106">
        <v>0</v>
      </c>
      <c r="Q106">
        <f>IF(O106&gt;G106,(O106-G106),0)</f>
        <v>0</v>
      </c>
      <c r="R106">
        <v>1</v>
      </c>
      <c r="S106">
        <f>IF(Q106&gt;0,Int(P106/Q106),0)</f>
        <v>0</v>
      </c>
      <c r="T106">
        <f>59477</f>
        <v>59477</v>
      </c>
      <c r="U106" t="s">
        <v>422</v>
      </c>
      <c r="V106">
        <v>59477</v>
      </c>
      <c r="W106" t="s">
        <v>423</v>
      </c>
      <c r="X106"/>
    </row>
    <row r="107" spans="1:27">
      <c r="A107" t="s">
        <v>35</v>
      </c>
      <c r="B107" t="s">
        <v>29</v>
      </c>
      <c r="C107" t="s">
        <v>424</v>
      </c>
      <c r="D107" t="s">
        <v>425</v>
      </c>
      <c r="E107" t="s">
        <v>426</v>
      </c>
      <c r="F107" t="s">
        <v>41</v>
      </c>
      <c r="G107">
        <v>28</v>
      </c>
      <c r="H107">
        <f>((0/1000) * G107)</f>
        <v>0</v>
      </c>
      <c r="I107">
        <v>0</v>
      </c>
      <c r="J107">
        <v>28</v>
      </c>
      <c r="K107" s="403">
        <v>42563</v>
      </c>
      <c r="L107" s="404">
        <f>(K107 * G107)</f>
        <v>1191764</v>
      </c>
      <c r="M107" s="405">
        <v>74380.17</v>
      </c>
      <c r="N107" s="406">
        <f>(G107 * M107)</f>
        <v>2082644.76</v>
      </c>
      <c r="O107">
        <v>0</v>
      </c>
      <c r="P107">
        <v>0</v>
      </c>
      <c r="Q107">
        <f>IF(O107&gt;G107,(O107-G107),0)</f>
        <v>0</v>
      </c>
      <c r="R107">
        <v>1</v>
      </c>
      <c r="S107">
        <f>IF(Q107&gt;0,Int(P107/Q107),0)</f>
        <v>0</v>
      </c>
      <c r="T107">
        <f>42563</f>
        <v>42563</v>
      </c>
      <c r="U107" t="s">
        <v>427</v>
      </c>
      <c r="V107">
        <v>42563</v>
      </c>
      <c r="W107" t="s">
        <v>123</v>
      </c>
      <c r="X107" t="s">
        <v>428</v>
      </c>
    </row>
    <row r="108" spans="1:27">
      <c r="A108" t="s">
        <v>35</v>
      </c>
      <c r="B108" t="s">
        <v>29</v>
      </c>
      <c r="C108" t="s">
        <v>429</v>
      </c>
      <c r="D108" t="s">
        <v>430</v>
      </c>
      <c r="E108" t="s">
        <v>431</v>
      </c>
      <c r="F108" t="s">
        <v>33</v>
      </c>
      <c r="G108">
        <v>0</v>
      </c>
      <c r="H108">
        <f>((0/1000) * G108)</f>
        <v>0</v>
      </c>
      <c r="I108">
        <v>0</v>
      </c>
      <c r="J108">
        <v>0</v>
      </c>
      <c r="K108" s="407">
        <v>50128.57</v>
      </c>
      <c r="L108" s="408">
        <f>(K108 * G108)</f>
        <v>0</v>
      </c>
      <c r="M108" s="409">
        <v>70180</v>
      </c>
      <c r="N108" s="410">
        <f>(G108 * M108)</f>
        <v>0</v>
      </c>
      <c r="O108">
        <v>0</v>
      </c>
      <c r="P108">
        <v>0</v>
      </c>
      <c r="Q108">
        <f>IF(O108&gt;G108,(O108-G108),0)</f>
        <v>0</v>
      </c>
      <c r="R108">
        <v>1</v>
      </c>
      <c r="S108">
        <f>IF(Q108&gt;0,Int(P108/Q108),0)</f>
        <v>0</v>
      </c>
      <c r="T108">
        <f>50662</f>
        <v>50662</v>
      </c>
      <c r="U108" t="s">
        <v>432</v>
      </c>
      <c r="V108">
        <v>50128.57</v>
      </c>
      <c r="W108" t="s">
        <v>75</v>
      </c>
      <c r="X108"/>
    </row>
    <row r="109" spans="1:27">
      <c r="A109" t="s">
        <v>35</v>
      </c>
      <c r="B109" t="s">
        <v>29</v>
      </c>
      <c r="C109" t="s">
        <v>433</v>
      </c>
      <c r="D109" t="s">
        <v>434</v>
      </c>
      <c r="E109" t="s">
        <v>435</v>
      </c>
      <c r="F109" t="s">
        <v>33</v>
      </c>
      <c r="G109">
        <v>0</v>
      </c>
      <c r="H109">
        <f>((0/1000) * G109)</f>
        <v>0</v>
      </c>
      <c r="I109">
        <v>0</v>
      </c>
      <c r="J109">
        <v>0</v>
      </c>
      <c r="K109" s="411">
        <v>61983.47</v>
      </c>
      <c r="L109" s="412">
        <f>(K109 * G109)</f>
        <v>0</v>
      </c>
      <c r="M109" s="413">
        <v>68181.82</v>
      </c>
      <c r="N109" s="414">
        <f>(G109 * M109)</f>
        <v>0</v>
      </c>
      <c r="O109">
        <v>0</v>
      </c>
      <c r="P109">
        <v>0</v>
      </c>
      <c r="Q109">
        <f>IF(O109&gt;G109,(O109-G109),0)</f>
        <v>0</v>
      </c>
      <c r="R109">
        <v>1</v>
      </c>
      <c r="S109">
        <f>IF(Q109&gt;0,Int(P109/Q109),0)</f>
        <v>0</v>
      </c>
      <c r="T109">
        <f>0</f>
        <v>0</v>
      </c>
      <c r="U109"/>
      <c r="V109">
        <v>61983.47</v>
      </c>
      <c r="W109" t="s">
        <v>43</v>
      </c>
      <c r="X109"/>
    </row>
    <row r="110" spans="1:27">
      <c r="A110" t="s">
        <v>35</v>
      </c>
      <c r="B110" t="s">
        <v>29</v>
      </c>
      <c r="C110" t="s">
        <v>436</v>
      </c>
      <c r="D110" t="s">
        <v>437</v>
      </c>
      <c r="E110" t="s">
        <v>438</v>
      </c>
      <c r="F110" t="s">
        <v>33</v>
      </c>
      <c r="G110">
        <v>0</v>
      </c>
      <c r="H110">
        <f>((0/1000) * G110)</f>
        <v>0</v>
      </c>
      <c r="I110">
        <v>0</v>
      </c>
      <c r="J110">
        <v>0</v>
      </c>
      <c r="K110" s="415">
        <v>49775.63</v>
      </c>
      <c r="L110" s="416">
        <f>(K110 * G110)</f>
        <v>0</v>
      </c>
      <c r="M110" s="417">
        <v>69685.88</v>
      </c>
      <c r="N110" s="418">
        <f>(G110 * M110)</f>
        <v>0</v>
      </c>
      <c r="O110">
        <v>0</v>
      </c>
      <c r="P110">
        <v>0</v>
      </c>
      <c r="Q110">
        <f>IF(O110&gt;G110,(O110-G110),0)</f>
        <v>0</v>
      </c>
      <c r="R110">
        <v>1</v>
      </c>
      <c r="S110">
        <f>IF(Q110&gt;0,Int(P110/Q110),0)</f>
        <v>0</v>
      </c>
      <c r="T110">
        <f>50661.15</f>
        <v>50661.15</v>
      </c>
      <c r="U110" t="s">
        <v>439</v>
      </c>
      <c r="V110">
        <v>49775.63</v>
      </c>
      <c r="W110" t="s">
        <v>75</v>
      </c>
      <c r="X110"/>
    </row>
    <row r="111" spans="1:27">
      <c r="A111" t="s">
        <v>35</v>
      </c>
      <c r="B111" t="s">
        <v>29</v>
      </c>
      <c r="C111" t="s">
        <v>440</v>
      </c>
      <c r="D111" t="s">
        <v>441</v>
      </c>
      <c r="E111" t="s">
        <v>442</v>
      </c>
      <c r="F111" t="s">
        <v>41</v>
      </c>
      <c r="G111">
        <v>3</v>
      </c>
      <c r="H111">
        <f>((0/1000) * G111)</f>
        <v>0</v>
      </c>
      <c r="I111">
        <v>0</v>
      </c>
      <c r="J111">
        <v>3</v>
      </c>
      <c r="K111" s="419">
        <v>58500</v>
      </c>
      <c r="L111" s="420">
        <f>(K111 * G111)</f>
        <v>175500</v>
      </c>
      <c r="M111" s="421">
        <v>93600</v>
      </c>
      <c r="N111" s="422">
        <f>(G111 * M111)</f>
        <v>280800</v>
      </c>
      <c r="O111">
        <v>0</v>
      </c>
      <c r="P111">
        <v>0</v>
      </c>
      <c r="Q111">
        <f>IF(O111&gt;G111,(O111-G111),0)</f>
        <v>0</v>
      </c>
      <c r="R111">
        <v>1</v>
      </c>
      <c r="S111">
        <f>IF(Q111&gt;0,Int(P111/Q111),0)</f>
        <v>0</v>
      </c>
      <c r="T111">
        <f>58500</f>
        <v>58500</v>
      </c>
      <c r="U111" t="s">
        <v>443</v>
      </c>
      <c r="V111">
        <v>58500</v>
      </c>
      <c r="W111" t="s">
        <v>423</v>
      </c>
      <c r="X111" t="s">
        <v>262</v>
      </c>
    </row>
    <row r="112" spans="1:27">
      <c r="A112" t="s">
        <v>35</v>
      </c>
      <c r="B112" t="s">
        <v>29</v>
      </c>
      <c r="C112" t="s">
        <v>444</v>
      </c>
      <c r="D112" t="s">
        <v>445</v>
      </c>
      <c r="E112" t="s">
        <v>446</v>
      </c>
      <c r="F112" t="s">
        <v>41</v>
      </c>
      <c r="G112">
        <v>0</v>
      </c>
      <c r="H112">
        <f>((1/1000) * G112)</f>
        <v>0</v>
      </c>
      <c r="I112">
        <v>0</v>
      </c>
      <c r="J112">
        <v>0</v>
      </c>
      <c r="K112" s="423">
        <v>0</v>
      </c>
      <c r="L112" s="424">
        <f>(K112 * G112)</f>
        <v>0</v>
      </c>
      <c r="M112" s="425">
        <v>0</v>
      </c>
      <c r="N112" s="426">
        <f>(G112 * M112)</f>
        <v>0</v>
      </c>
      <c r="O112">
        <v>0</v>
      </c>
      <c r="P112">
        <v>0</v>
      </c>
      <c r="Q112">
        <f>IF(O112&gt;G112,(O112-G112),0)</f>
        <v>0</v>
      </c>
      <c r="R112">
        <v>0</v>
      </c>
      <c r="S112">
        <f>IF(Q112&gt;0,Int(P112/Q112),0)</f>
        <v>0</v>
      </c>
      <c r="T112">
        <f>0</f>
        <v>0</v>
      </c>
      <c r="U112"/>
      <c r="V112">
        <v>0</v>
      </c>
      <c r="W112">
        <v>0</v>
      </c>
      <c r="X112"/>
    </row>
    <row r="113" spans="1:27">
      <c r="A113" t="s">
        <v>35</v>
      </c>
      <c r="B113" t="s">
        <v>29</v>
      </c>
      <c r="C113" t="s">
        <v>447</v>
      </c>
      <c r="D113" t="s">
        <v>448</v>
      </c>
      <c r="E113" t="s">
        <v>449</v>
      </c>
      <c r="F113" t="s">
        <v>41</v>
      </c>
      <c r="G113">
        <v>0</v>
      </c>
      <c r="H113">
        <f>((0/1000) * G113)</f>
        <v>0</v>
      </c>
      <c r="I113">
        <v>0</v>
      </c>
      <c r="J113">
        <v>0</v>
      </c>
      <c r="K113" s="427">
        <v>69841.15</v>
      </c>
      <c r="L113" s="428">
        <f>(K113 * G113)</f>
        <v>0</v>
      </c>
      <c r="M113" s="429">
        <v>97777.61</v>
      </c>
      <c r="N113" s="430">
        <f>(G113 * M113)</f>
        <v>0</v>
      </c>
      <c r="O113">
        <v>0</v>
      </c>
      <c r="P113">
        <v>0</v>
      </c>
      <c r="Q113">
        <f>IF(O113&gt;G113,(O113-G113),0)</f>
        <v>0</v>
      </c>
      <c r="R113">
        <v>1</v>
      </c>
      <c r="S113">
        <f>IF(Q113&gt;0,Int(P113/Q113),0)</f>
        <v>0</v>
      </c>
      <c r="T113">
        <f>73390.41</f>
        <v>73390.41</v>
      </c>
      <c r="U113" t="s">
        <v>450</v>
      </c>
      <c r="V113">
        <v>69841.15</v>
      </c>
      <c r="W113" t="s">
        <v>274</v>
      </c>
      <c r="X113"/>
    </row>
    <row r="114" spans="1:27">
      <c r="A114" t="s">
        <v>35</v>
      </c>
      <c r="B114" t="s">
        <v>29</v>
      </c>
      <c r="C114" t="s">
        <v>451</v>
      </c>
      <c r="D114" t="s">
        <v>452</v>
      </c>
      <c r="E114" t="s">
        <v>453</v>
      </c>
      <c r="F114" t="s">
        <v>33</v>
      </c>
      <c r="G114">
        <v>0</v>
      </c>
      <c r="H114">
        <f>((0/1000) * G114)</f>
        <v>0</v>
      </c>
      <c r="I114">
        <v>0</v>
      </c>
      <c r="J114">
        <v>0</v>
      </c>
      <c r="K114" s="431">
        <v>76727.62</v>
      </c>
      <c r="L114" s="432">
        <f>(K114 * G114)</f>
        <v>0</v>
      </c>
      <c r="M114" s="433">
        <v>107418.67</v>
      </c>
      <c r="N114" s="434">
        <f>(G114 * M114)</f>
        <v>0</v>
      </c>
      <c r="O114">
        <v>0</v>
      </c>
      <c r="P114">
        <v>0</v>
      </c>
      <c r="Q114">
        <f>IF(O114&gt;G114,(O114-G114),0)</f>
        <v>0</v>
      </c>
      <c r="R114">
        <v>1</v>
      </c>
      <c r="S114">
        <f>IF(Q114&gt;0,Int(P114/Q114),0)</f>
        <v>0</v>
      </c>
      <c r="T114">
        <f>73498.77</f>
        <v>73498.77</v>
      </c>
      <c r="U114" t="s">
        <v>454</v>
      </c>
      <c r="V114">
        <v>76727.62</v>
      </c>
      <c r="W114" t="s">
        <v>182</v>
      </c>
      <c r="X114"/>
    </row>
    <row r="115" spans="1:27">
      <c r="A115" t="s">
        <v>35</v>
      </c>
      <c r="B115" t="s">
        <v>29</v>
      </c>
      <c r="C115" t="s">
        <v>455</v>
      </c>
      <c r="D115" t="s">
        <v>456</v>
      </c>
      <c r="E115" t="s">
        <v>457</v>
      </c>
      <c r="F115" t="s">
        <v>33</v>
      </c>
      <c r="G115">
        <v>0</v>
      </c>
      <c r="H115">
        <f>((0/1000) * G115)</f>
        <v>0</v>
      </c>
      <c r="I115">
        <v>0</v>
      </c>
      <c r="J115">
        <v>0</v>
      </c>
      <c r="K115" s="435">
        <v>69727</v>
      </c>
      <c r="L115" s="436">
        <f>(K115 * G115)</f>
        <v>0</v>
      </c>
      <c r="M115" s="437">
        <v>97617.8</v>
      </c>
      <c r="N115" s="438">
        <f>(G115 * M115)</f>
        <v>0</v>
      </c>
      <c r="O115">
        <v>0</v>
      </c>
      <c r="P115">
        <v>0</v>
      </c>
      <c r="Q115">
        <f>IF(O115&gt;G115,(O115-G115),0)</f>
        <v>0</v>
      </c>
      <c r="R115">
        <v>0</v>
      </c>
      <c r="S115">
        <f>IF(Q115&gt;0,Int(P115/Q115),0)</f>
        <v>0</v>
      </c>
      <c r="T115">
        <f>69727</f>
        <v>69727</v>
      </c>
      <c r="U115" t="s">
        <v>458</v>
      </c>
      <c r="V115">
        <v>69727</v>
      </c>
      <c r="W115" t="s">
        <v>459</v>
      </c>
      <c r="X115"/>
    </row>
    <row r="116" spans="1:27">
      <c r="A116" t="s">
        <v>35</v>
      </c>
      <c r="B116" t="s">
        <v>29</v>
      </c>
      <c r="C116" t="s">
        <v>460</v>
      </c>
      <c r="D116" t="s">
        <v>461</v>
      </c>
      <c r="E116" t="s">
        <v>462</v>
      </c>
      <c r="F116" t="s">
        <v>41</v>
      </c>
      <c r="G116">
        <v>6</v>
      </c>
      <c r="H116">
        <f>((0/1000) * G116)</f>
        <v>0</v>
      </c>
      <c r="I116">
        <v>6</v>
      </c>
      <c r="J116">
        <v>0</v>
      </c>
      <c r="K116" s="439">
        <v>69727</v>
      </c>
      <c r="L116" s="440">
        <f>(K116 * G116)</f>
        <v>418362</v>
      </c>
      <c r="M116" s="441">
        <v>97617.8</v>
      </c>
      <c r="N116" s="442">
        <f>(G116 * M116)</f>
        <v>585706.8</v>
      </c>
      <c r="O116">
        <v>0</v>
      </c>
      <c r="P116">
        <v>0</v>
      </c>
      <c r="Q116">
        <f>IF(O116&gt;G116,(O116-G116),0)</f>
        <v>0</v>
      </c>
      <c r="R116">
        <v>1</v>
      </c>
      <c r="S116">
        <f>IF(Q116&gt;0,Int(P116/Q116),0)</f>
        <v>0</v>
      </c>
      <c r="T116">
        <f>76322.2</f>
        <v>76322.2</v>
      </c>
      <c r="U116" t="s">
        <v>463</v>
      </c>
      <c r="V116">
        <v>69727</v>
      </c>
      <c r="W116" t="s">
        <v>459</v>
      </c>
      <c r="X116" t="s">
        <v>401</v>
      </c>
    </row>
    <row r="117" spans="1:27">
      <c r="A117" t="s">
        <v>35</v>
      </c>
      <c r="B117" t="s">
        <v>29</v>
      </c>
      <c r="C117" t="s">
        <v>464</v>
      </c>
      <c r="D117" t="s">
        <v>465</v>
      </c>
      <c r="E117" t="s">
        <v>466</v>
      </c>
      <c r="F117" t="s">
        <v>33</v>
      </c>
      <c r="G117">
        <v>0</v>
      </c>
      <c r="H117">
        <f>((0/1000) * G117)</f>
        <v>0</v>
      </c>
      <c r="I117">
        <v>0</v>
      </c>
      <c r="J117">
        <v>0</v>
      </c>
      <c r="K117" s="443">
        <v>51861.78</v>
      </c>
      <c r="L117" s="444">
        <f>(K117 * G117)</f>
        <v>0</v>
      </c>
      <c r="M117" s="445">
        <v>72606.49</v>
      </c>
      <c r="N117" s="446">
        <f>(G117 * M117)</f>
        <v>0</v>
      </c>
      <c r="O117">
        <v>0</v>
      </c>
      <c r="P117">
        <v>0</v>
      </c>
      <c r="Q117">
        <f>IF(O117&gt;G117,(O117-G117),0)</f>
        <v>0</v>
      </c>
      <c r="R117">
        <v>1</v>
      </c>
      <c r="S117">
        <f>IF(Q117&gt;0,Int(P117/Q117),0)</f>
        <v>0</v>
      </c>
      <c r="T117">
        <f>54005.81</f>
        <v>54005.81</v>
      </c>
      <c r="U117" t="s">
        <v>467</v>
      </c>
      <c r="V117">
        <v>51861.78</v>
      </c>
      <c r="W117" t="s">
        <v>43</v>
      </c>
      <c r="X117"/>
    </row>
    <row r="118" spans="1:27">
      <c r="A118" t="s">
        <v>35</v>
      </c>
      <c r="B118" t="s">
        <v>29</v>
      </c>
      <c r="C118" t="s">
        <v>468</v>
      </c>
      <c r="D118" t="s">
        <v>469</v>
      </c>
      <c r="E118" t="s">
        <v>470</v>
      </c>
      <c r="F118" t="s">
        <v>41</v>
      </c>
      <c r="G118">
        <v>0</v>
      </c>
      <c r="H118">
        <f>((0/1000) * G118)</f>
        <v>0</v>
      </c>
      <c r="I118">
        <v>0</v>
      </c>
      <c r="J118">
        <v>0</v>
      </c>
      <c r="K118" s="447">
        <v>59173.63</v>
      </c>
      <c r="L118" s="448">
        <f>(K118 * G118)</f>
        <v>0</v>
      </c>
      <c r="M118" s="449">
        <v>79884.4</v>
      </c>
      <c r="N118" s="450">
        <f>(G118 * M118)</f>
        <v>0</v>
      </c>
      <c r="O118">
        <v>0</v>
      </c>
      <c r="P118">
        <v>0</v>
      </c>
      <c r="Q118">
        <f>IF(O118&gt;G118,(O118-G118),0)</f>
        <v>0</v>
      </c>
      <c r="R118">
        <v>1</v>
      </c>
      <c r="S118">
        <f>IF(Q118&gt;0,Int(P118/Q118),0)</f>
        <v>0</v>
      </c>
      <c r="T118">
        <f>53794.21</f>
        <v>53794.21</v>
      </c>
      <c r="U118" t="s">
        <v>471</v>
      </c>
      <c r="V118">
        <v>59173.63</v>
      </c>
      <c r="W118" t="s">
        <v>43</v>
      </c>
      <c r="X118" t="s">
        <v>386</v>
      </c>
    </row>
    <row r="119" spans="1:27">
      <c r="A119" t="s">
        <v>28</v>
      </c>
      <c r="B119" t="s">
        <v>29</v>
      </c>
      <c r="C119" t="s">
        <v>472</v>
      </c>
      <c r="D119" t="s">
        <v>473</v>
      </c>
      <c r="E119" t="s">
        <v>474</v>
      </c>
      <c r="F119" t="s">
        <v>41</v>
      </c>
      <c r="G119">
        <v>0</v>
      </c>
      <c r="H119">
        <f>((0/1000) * G119)</f>
        <v>0</v>
      </c>
      <c r="I119">
        <v>0</v>
      </c>
      <c r="J119">
        <v>0</v>
      </c>
      <c r="K119" s="451">
        <v>124029.83</v>
      </c>
      <c r="L119" s="452">
        <f>(K119 * G119)</f>
        <v>0</v>
      </c>
      <c r="M119" s="453">
        <v>173641.77</v>
      </c>
      <c r="N119" s="454">
        <f>(G119 * M119)</f>
        <v>0</v>
      </c>
      <c r="O119">
        <v>0</v>
      </c>
      <c r="P119">
        <v>0</v>
      </c>
      <c r="Q119">
        <f>IF(O119&gt;G119,(O119-G119),0)</f>
        <v>0</v>
      </c>
      <c r="R119">
        <v>1</v>
      </c>
      <c r="S119">
        <f>IF(Q119&gt;0,Int(P119/Q119),0)</f>
        <v>0</v>
      </c>
      <c r="T119">
        <f>105741</f>
        <v>105741</v>
      </c>
      <c r="U119" t="s">
        <v>475</v>
      </c>
      <c r="V119">
        <v>124029.83</v>
      </c>
      <c r="W119" t="s">
        <v>182</v>
      </c>
      <c r="X119"/>
    </row>
    <row r="120" spans="1:27">
      <c r="A120" t="s">
        <v>35</v>
      </c>
      <c r="B120" t="s">
        <v>29</v>
      </c>
      <c r="C120" t="s">
        <v>476</v>
      </c>
      <c r="D120" t="s">
        <v>477</v>
      </c>
      <c r="E120" t="s">
        <v>478</v>
      </c>
      <c r="F120" t="s">
        <v>41</v>
      </c>
      <c r="G120">
        <v>0</v>
      </c>
      <c r="H120">
        <f>((1/1000) * G120)</f>
        <v>0</v>
      </c>
      <c r="I120">
        <v>0</v>
      </c>
      <c r="J120">
        <v>0</v>
      </c>
      <c r="K120" s="455">
        <v>104198.17</v>
      </c>
      <c r="L120" s="456">
        <f>(K120 * G120)</f>
        <v>0</v>
      </c>
      <c r="M120" s="457">
        <v>104198.17</v>
      </c>
      <c r="N120" s="458">
        <f>(G120 * M120)</f>
        <v>0</v>
      </c>
      <c r="O120">
        <v>0</v>
      </c>
      <c r="P120">
        <v>0</v>
      </c>
      <c r="Q120">
        <f>IF(O120&gt;G120,(O120-G120),0)</f>
        <v>0</v>
      </c>
      <c r="R120">
        <v>1</v>
      </c>
      <c r="S120">
        <f>IF(Q120&gt;0,Int(P120/Q120),0)</f>
        <v>0</v>
      </c>
      <c r="T120">
        <f>74800</f>
        <v>74800</v>
      </c>
      <c r="U120" t="s">
        <v>479</v>
      </c>
      <c r="V120">
        <v>104198.17</v>
      </c>
      <c r="W120" t="s">
        <v>43</v>
      </c>
      <c r="X120"/>
    </row>
    <row r="121" spans="1:27">
      <c r="A121" t="s">
        <v>35</v>
      </c>
      <c r="B121" t="s">
        <v>29</v>
      </c>
      <c r="C121" t="s">
        <v>480</v>
      </c>
      <c r="D121" t="s">
        <v>481</v>
      </c>
      <c r="E121" t="s">
        <v>482</v>
      </c>
      <c r="F121" t="s">
        <v>41</v>
      </c>
      <c r="G121">
        <v>0</v>
      </c>
      <c r="H121">
        <f>((1/1000) * G121)</f>
        <v>0</v>
      </c>
      <c r="I121">
        <v>0</v>
      </c>
      <c r="J121">
        <v>0</v>
      </c>
      <c r="K121" s="459">
        <v>140949</v>
      </c>
      <c r="L121" s="460">
        <f>(K121 * G121)</f>
        <v>0</v>
      </c>
      <c r="M121" s="461">
        <v>155043.9</v>
      </c>
      <c r="N121" s="462">
        <f>(G121 * M121)</f>
        <v>0</v>
      </c>
      <c r="O121">
        <v>0</v>
      </c>
      <c r="P121">
        <v>0</v>
      </c>
      <c r="Q121">
        <f>IF(O121&gt;G121,(O121-G121),0)</f>
        <v>0</v>
      </c>
      <c r="R121">
        <v>1</v>
      </c>
      <c r="S121">
        <f>IF(Q121&gt;0,Int(P121/Q121),0)</f>
        <v>0</v>
      </c>
      <c r="T121">
        <f>0</f>
        <v>0</v>
      </c>
      <c r="U121"/>
      <c r="V121">
        <v>140949</v>
      </c>
      <c r="W121" t="s">
        <v>43</v>
      </c>
      <c r="X121"/>
    </row>
    <row r="122" spans="1:27">
      <c r="A122" t="s">
        <v>35</v>
      </c>
      <c r="B122" t="s">
        <v>29</v>
      </c>
      <c r="C122" t="s">
        <v>483</v>
      </c>
      <c r="D122" t="s">
        <v>484</v>
      </c>
      <c r="E122" t="s">
        <v>485</v>
      </c>
      <c r="F122" t="s">
        <v>41</v>
      </c>
      <c r="G122">
        <v>0</v>
      </c>
      <c r="H122">
        <f>((1/1000) * G122)</f>
        <v>0</v>
      </c>
      <c r="I122">
        <v>0</v>
      </c>
      <c r="J122">
        <v>0</v>
      </c>
      <c r="K122" s="463">
        <v>129828.41</v>
      </c>
      <c r="L122" s="464">
        <f>(K122 * G122)</f>
        <v>0</v>
      </c>
      <c r="M122" s="465">
        <v>142811.25</v>
      </c>
      <c r="N122" s="466">
        <f>(G122 * M122)</f>
        <v>0</v>
      </c>
      <c r="O122">
        <v>0</v>
      </c>
      <c r="P122">
        <v>0</v>
      </c>
      <c r="Q122">
        <f>IF(O122&gt;G122,(O122-G122),0)</f>
        <v>0</v>
      </c>
      <c r="R122">
        <v>1</v>
      </c>
      <c r="S122">
        <f>IF(Q122&gt;0,Int(P122/Q122),0)</f>
        <v>0</v>
      </c>
      <c r="T122">
        <f>0</f>
        <v>0</v>
      </c>
      <c r="U122"/>
      <c r="V122">
        <v>129828.41</v>
      </c>
      <c r="W122" t="s">
        <v>43</v>
      </c>
      <c r="X122"/>
    </row>
    <row r="123" spans="1:27">
      <c r="A123" t="s">
        <v>35</v>
      </c>
      <c r="B123" t="s">
        <v>29</v>
      </c>
      <c r="C123" t="s">
        <v>486</v>
      </c>
      <c r="D123" t="s">
        <v>487</v>
      </c>
      <c r="E123" t="s">
        <v>488</v>
      </c>
      <c r="F123" t="s">
        <v>41</v>
      </c>
      <c r="G123">
        <v>2</v>
      </c>
      <c r="H123">
        <f>((0/1000) * G123)</f>
        <v>0</v>
      </c>
      <c r="I123">
        <v>0</v>
      </c>
      <c r="J123">
        <v>2</v>
      </c>
      <c r="K123" s="467">
        <v>57000</v>
      </c>
      <c r="L123" s="468">
        <f>(K123 * G123)</f>
        <v>114000</v>
      </c>
      <c r="M123" s="469">
        <v>85500</v>
      </c>
      <c r="N123" s="470">
        <f>(G123 * M123)</f>
        <v>171000</v>
      </c>
      <c r="O123">
        <v>0</v>
      </c>
      <c r="P123">
        <v>0</v>
      </c>
      <c r="Q123">
        <f>IF(O123&gt;G123,(O123-G123),0)</f>
        <v>0</v>
      </c>
      <c r="R123">
        <v>1</v>
      </c>
      <c r="S123">
        <f>IF(Q123&gt;0,Int(P123/Q123),0)</f>
        <v>0</v>
      </c>
      <c r="T123">
        <f>53380.17</f>
        <v>53380.17</v>
      </c>
      <c r="U123" t="s">
        <v>489</v>
      </c>
      <c r="V123">
        <v>57000</v>
      </c>
      <c r="W123" t="s">
        <v>165</v>
      </c>
      <c r="X123" t="s">
        <v>490</v>
      </c>
    </row>
    <row r="124" spans="1:27">
      <c r="A124" t="s">
        <v>35</v>
      </c>
      <c r="B124" t="s">
        <v>29</v>
      </c>
      <c r="C124" t="s">
        <v>491</v>
      </c>
      <c r="D124" t="s">
        <v>492</v>
      </c>
      <c r="E124" t="s">
        <v>493</v>
      </c>
      <c r="F124" t="s">
        <v>33</v>
      </c>
      <c r="G124">
        <v>0</v>
      </c>
      <c r="H124">
        <f>((0/1000) * G124)</f>
        <v>0</v>
      </c>
      <c r="I124">
        <v>0</v>
      </c>
      <c r="J124">
        <v>0</v>
      </c>
      <c r="K124" s="471">
        <v>74380.16</v>
      </c>
      <c r="L124" s="472">
        <f>(K124 * G124)</f>
        <v>0</v>
      </c>
      <c r="M124" s="473">
        <v>104132.23</v>
      </c>
      <c r="N124" s="474">
        <f>(G124 * M124)</f>
        <v>0</v>
      </c>
      <c r="O124">
        <v>0</v>
      </c>
      <c r="P124">
        <v>0</v>
      </c>
      <c r="Q124">
        <f>IF(O124&gt;G124,(O124-G124),0)</f>
        <v>0</v>
      </c>
      <c r="R124">
        <v>1</v>
      </c>
      <c r="S124">
        <f>IF(Q124&gt;0,Int(P124/Q124),0)</f>
        <v>0</v>
      </c>
      <c r="T124">
        <f>67618.33</f>
        <v>67618.33</v>
      </c>
      <c r="U124" t="s">
        <v>494</v>
      </c>
      <c r="V124">
        <v>74380.16</v>
      </c>
      <c r="W124" t="s">
        <v>75</v>
      </c>
      <c r="X124"/>
    </row>
    <row r="125" spans="1:27">
      <c r="A125" t="s">
        <v>35</v>
      </c>
      <c r="B125" t="s">
        <v>29</v>
      </c>
      <c r="C125" t="s">
        <v>495</v>
      </c>
      <c r="D125" t="s">
        <v>495</v>
      </c>
      <c r="E125" t="s">
        <v>496</v>
      </c>
      <c r="F125" t="s">
        <v>33</v>
      </c>
      <c r="G125">
        <v>0</v>
      </c>
      <c r="H125">
        <f>((1/1000) * G125)</f>
        <v>0</v>
      </c>
      <c r="I125">
        <v>0</v>
      </c>
      <c r="J125">
        <v>0</v>
      </c>
      <c r="K125" s="475">
        <v>0</v>
      </c>
      <c r="L125" s="476">
        <f>(K125 * G125)</f>
        <v>0</v>
      </c>
      <c r="M125" s="477">
        <v>0</v>
      </c>
      <c r="N125" s="478">
        <f>(G125 * M125)</f>
        <v>0</v>
      </c>
      <c r="O125">
        <v>0</v>
      </c>
      <c r="P125">
        <v>0</v>
      </c>
      <c r="Q125">
        <f>IF(O125&gt;G125,(O125-G125),0)</f>
        <v>0</v>
      </c>
      <c r="R125">
        <v>0</v>
      </c>
      <c r="S125">
        <f>IF(Q125&gt;0,Int(P125/Q125),0)</f>
        <v>0</v>
      </c>
      <c r="T125">
        <f>0</f>
        <v>0</v>
      </c>
      <c r="U125"/>
      <c r="V125">
        <v>0</v>
      </c>
      <c r="W125">
        <v>0</v>
      </c>
      <c r="X125"/>
    </row>
    <row r="126" spans="1:27">
      <c r="A126" t="s">
        <v>35</v>
      </c>
      <c r="B126" t="s">
        <v>29</v>
      </c>
      <c r="C126" t="s">
        <v>497</v>
      </c>
      <c r="D126" t="s">
        <v>497</v>
      </c>
      <c r="E126" t="s">
        <v>498</v>
      </c>
      <c r="F126" t="s">
        <v>33</v>
      </c>
      <c r="G126">
        <v>0</v>
      </c>
      <c r="H126">
        <f>((1/1000) * G126)</f>
        <v>0</v>
      </c>
      <c r="I126">
        <v>0</v>
      </c>
      <c r="J126">
        <v>0</v>
      </c>
      <c r="K126" s="479">
        <v>0</v>
      </c>
      <c r="L126" s="480">
        <f>(K126 * G126)</f>
        <v>0</v>
      </c>
      <c r="M126" s="481">
        <v>0</v>
      </c>
      <c r="N126" s="482">
        <f>(G126 * M126)</f>
        <v>0</v>
      </c>
      <c r="O126">
        <v>0</v>
      </c>
      <c r="P126">
        <v>0</v>
      </c>
      <c r="Q126">
        <f>IF(O126&gt;G126,(O126-G126),0)</f>
        <v>0</v>
      </c>
      <c r="R126">
        <v>0</v>
      </c>
      <c r="S126">
        <f>IF(Q126&gt;0,Int(P126/Q126),0)</f>
        <v>0</v>
      </c>
      <c r="T126">
        <f>0</f>
        <v>0</v>
      </c>
      <c r="U126"/>
      <c r="V126">
        <v>0</v>
      </c>
      <c r="W126">
        <v>0</v>
      </c>
      <c r="X126"/>
    </row>
    <row r="127" spans="1:27">
      <c r="A127" t="s">
        <v>35</v>
      </c>
      <c r="B127" t="s">
        <v>29</v>
      </c>
      <c r="C127" t="s">
        <v>499</v>
      </c>
      <c r="D127" t="s">
        <v>499</v>
      </c>
      <c r="E127" t="s">
        <v>500</v>
      </c>
      <c r="F127" t="s">
        <v>33</v>
      </c>
      <c r="G127">
        <v>0</v>
      </c>
      <c r="H127">
        <f>((1/1000) * G127)</f>
        <v>0</v>
      </c>
      <c r="I127">
        <v>0</v>
      </c>
      <c r="J127">
        <v>0</v>
      </c>
      <c r="K127" s="483">
        <v>0</v>
      </c>
      <c r="L127" s="484">
        <f>(K127 * G127)</f>
        <v>0</v>
      </c>
      <c r="M127" s="485">
        <v>0</v>
      </c>
      <c r="N127" s="486">
        <f>(G127 * M127)</f>
        <v>0</v>
      </c>
      <c r="O127">
        <v>0</v>
      </c>
      <c r="P127">
        <v>0</v>
      </c>
      <c r="Q127">
        <f>IF(O127&gt;G127,(O127-G127),0)</f>
        <v>0</v>
      </c>
      <c r="R127">
        <v>0</v>
      </c>
      <c r="S127">
        <f>IF(Q127&gt;0,Int(P127/Q127),0)</f>
        <v>0</v>
      </c>
      <c r="T127">
        <f>0</f>
        <v>0</v>
      </c>
      <c r="U127"/>
      <c r="V127">
        <v>0</v>
      </c>
      <c r="W127">
        <v>0</v>
      </c>
      <c r="X127"/>
    </row>
    <row r="128" spans="1:27">
      <c r="A128" t="s">
        <v>35</v>
      </c>
      <c r="B128" t="s">
        <v>29</v>
      </c>
      <c r="C128" t="s">
        <v>501</v>
      </c>
      <c r="D128" t="s">
        <v>501</v>
      </c>
      <c r="E128" t="s">
        <v>502</v>
      </c>
      <c r="F128" t="s">
        <v>33</v>
      </c>
      <c r="G128">
        <v>0</v>
      </c>
      <c r="H128">
        <f>((1/1000) * G128)</f>
        <v>0</v>
      </c>
      <c r="I128">
        <v>0</v>
      </c>
      <c r="J128">
        <v>0</v>
      </c>
      <c r="K128" s="487">
        <v>0</v>
      </c>
      <c r="L128" s="488">
        <f>(K128 * G128)</f>
        <v>0</v>
      </c>
      <c r="M128" s="489">
        <v>0</v>
      </c>
      <c r="N128" s="490">
        <f>(G128 * M128)</f>
        <v>0</v>
      </c>
      <c r="O128">
        <v>0</v>
      </c>
      <c r="P128">
        <v>0</v>
      </c>
      <c r="Q128">
        <f>IF(O128&gt;G128,(O128-G128),0)</f>
        <v>0</v>
      </c>
      <c r="R128">
        <v>0</v>
      </c>
      <c r="S128">
        <f>IF(Q128&gt;0,Int(P128/Q128),0)</f>
        <v>0</v>
      </c>
      <c r="T128">
        <f>0</f>
        <v>0</v>
      </c>
      <c r="U128"/>
      <c r="V128">
        <v>0</v>
      </c>
      <c r="W128">
        <v>0</v>
      </c>
      <c r="X128"/>
    </row>
    <row r="129" spans="1:27">
      <c r="A129" t="s">
        <v>35</v>
      </c>
      <c r="B129" t="s">
        <v>29</v>
      </c>
      <c r="C129" t="s">
        <v>503</v>
      </c>
      <c r="D129" t="s">
        <v>504</v>
      </c>
      <c r="E129" t="s">
        <v>505</v>
      </c>
      <c r="F129" t="s">
        <v>41</v>
      </c>
      <c r="G129">
        <v>0</v>
      </c>
      <c r="H129">
        <f>((0/1000) * G129)</f>
        <v>0</v>
      </c>
      <c r="I129">
        <v>0</v>
      </c>
      <c r="J129">
        <v>0</v>
      </c>
      <c r="K129" s="491">
        <v>75818.18</v>
      </c>
      <c r="L129" s="492">
        <f>(K129 * G129)</f>
        <v>0</v>
      </c>
      <c r="M129" s="493">
        <v>106145.45</v>
      </c>
      <c r="N129" s="494">
        <f>(G129 * M129)</f>
        <v>0</v>
      </c>
      <c r="O129">
        <v>0</v>
      </c>
      <c r="P129">
        <v>0</v>
      </c>
      <c r="Q129">
        <f>IF(O129&gt;G129,(O129-G129),0)</f>
        <v>0</v>
      </c>
      <c r="R129">
        <v>1</v>
      </c>
      <c r="S129">
        <f>IF(Q129&gt;0,Int(P129/Q129),0)</f>
        <v>0</v>
      </c>
      <c r="T129">
        <f>19640.8</f>
        <v>19640.8</v>
      </c>
      <c r="U129" t="s">
        <v>506</v>
      </c>
      <c r="V129">
        <v>75818.18</v>
      </c>
      <c r="W129" t="s">
        <v>75</v>
      </c>
      <c r="X129"/>
    </row>
    <row r="130" spans="1:27">
      <c r="A130" t="s">
        <v>35</v>
      </c>
      <c r="B130" t="s">
        <v>29</v>
      </c>
      <c r="C130" t="s">
        <v>507</v>
      </c>
      <c r="D130" t="s">
        <v>508</v>
      </c>
      <c r="E130" t="s">
        <v>509</v>
      </c>
      <c r="F130" t="s">
        <v>41</v>
      </c>
      <c r="G130">
        <v>1</v>
      </c>
      <c r="H130">
        <f>((0/1000) * G130)</f>
        <v>0</v>
      </c>
      <c r="I130">
        <v>0</v>
      </c>
      <c r="J130">
        <v>1</v>
      </c>
      <c r="K130" s="495">
        <v>52067</v>
      </c>
      <c r="L130" s="496">
        <f>(K130 * G130)</f>
        <v>52067</v>
      </c>
      <c r="M130" s="497">
        <v>81818.18</v>
      </c>
      <c r="N130" s="498">
        <f>(G130 * M130)</f>
        <v>81818.18</v>
      </c>
      <c r="O130">
        <v>0</v>
      </c>
      <c r="P130">
        <v>0</v>
      </c>
      <c r="Q130">
        <f>IF(O130&gt;G130,(O130-G130),0)</f>
        <v>0</v>
      </c>
      <c r="R130">
        <v>1</v>
      </c>
      <c r="S130">
        <f>IF(Q130&gt;0,Int(P130/Q130),0)</f>
        <v>0</v>
      </c>
      <c r="T130">
        <f>43134</f>
        <v>43134</v>
      </c>
      <c r="U130" t="s">
        <v>510</v>
      </c>
      <c r="V130">
        <v>52067</v>
      </c>
      <c r="W130" t="s">
        <v>123</v>
      </c>
      <c r="X130" t="s">
        <v>280</v>
      </c>
    </row>
    <row r="131" spans="1:27">
      <c r="A131" t="s">
        <v>35</v>
      </c>
      <c r="B131" t="s">
        <v>29</v>
      </c>
      <c r="C131" t="s">
        <v>511</v>
      </c>
      <c r="D131" t="s">
        <v>512</v>
      </c>
      <c r="E131" t="s">
        <v>513</v>
      </c>
      <c r="F131" t="s">
        <v>41</v>
      </c>
      <c r="G131">
        <v>0</v>
      </c>
      <c r="H131">
        <f>((0/1000) * G131)</f>
        <v>0</v>
      </c>
      <c r="I131">
        <v>0</v>
      </c>
      <c r="J131">
        <v>0</v>
      </c>
      <c r="K131" s="499">
        <v>131735.54</v>
      </c>
      <c r="L131" s="500">
        <f>(K131 * G131)</f>
        <v>0</v>
      </c>
      <c r="M131" s="501">
        <v>144909.09</v>
      </c>
      <c r="N131" s="502">
        <f>(G131 * M131)</f>
        <v>0</v>
      </c>
      <c r="O131">
        <v>0</v>
      </c>
      <c r="P131">
        <v>0</v>
      </c>
      <c r="Q131">
        <f>IF(O131&gt;G131,(O131-G131),0)</f>
        <v>0</v>
      </c>
      <c r="R131">
        <v>1</v>
      </c>
      <c r="S131">
        <f>IF(Q131&gt;0,Int(P131/Q131),0)</f>
        <v>0</v>
      </c>
      <c r="T131">
        <f>85424.49</f>
        <v>85424.49</v>
      </c>
      <c r="U131" t="s">
        <v>514</v>
      </c>
      <c r="V131">
        <v>131735.54</v>
      </c>
      <c r="W131" t="s">
        <v>43</v>
      </c>
      <c r="X131"/>
    </row>
    <row r="132" spans="1:27">
      <c r="A132" t="s">
        <v>35</v>
      </c>
      <c r="B132" t="s">
        <v>29</v>
      </c>
      <c r="C132" t="s">
        <v>515</v>
      </c>
      <c r="D132" t="s">
        <v>516</v>
      </c>
      <c r="E132" t="s">
        <v>517</v>
      </c>
      <c r="F132" t="s">
        <v>41</v>
      </c>
      <c r="G132">
        <v>0</v>
      </c>
      <c r="H132">
        <f>((0/1000) * G132)</f>
        <v>0</v>
      </c>
      <c r="I132">
        <v>0</v>
      </c>
      <c r="J132">
        <v>0</v>
      </c>
      <c r="K132" s="503">
        <v>104380.17</v>
      </c>
      <c r="L132" s="504">
        <f>(K132 * G132)</f>
        <v>0</v>
      </c>
      <c r="M132" s="505">
        <v>114818.18</v>
      </c>
      <c r="N132" s="506">
        <f>(G132 * M132)</f>
        <v>0</v>
      </c>
      <c r="O132">
        <v>0</v>
      </c>
      <c r="P132">
        <v>0</v>
      </c>
      <c r="Q132">
        <f>IF(O132&gt;G132,(O132-G132),0)</f>
        <v>0</v>
      </c>
      <c r="R132">
        <v>1</v>
      </c>
      <c r="S132">
        <f>IF(Q132&gt;0,Int(P132/Q132),0)</f>
        <v>0</v>
      </c>
      <c r="T132">
        <f>119338.85</f>
        <v>119338.85</v>
      </c>
      <c r="U132" t="s">
        <v>518</v>
      </c>
      <c r="V132">
        <v>104380.17</v>
      </c>
      <c r="W132" t="s">
        <v>43</v>
      </c>
      <c r="X132"/>
    </row>
    <row r="133" spans="1:27">
      <c r="A133" t="s">
        <v>35</v>
      </c>
      <c r="B133" t="s">
        <v>29</v>
      </c>
      <c r="C133" t="s">
        <v>519</v>
      </c>
      <c r="D133" t="s">
        <v>520</v>
      </c>
      <c r="E133" t="s">
        <v>521</v>
      </c>
      <c r="F133" t="s">
        <v>33</v>
      </c>
      <c r="G133">
        <v>0</v>
      </c>
      <c r="H133">
        <f>((0/1000) * G133)</f>
        <v>0</v>
      </c>
      <c r="I133">
        <v>0</v>
      </c>
      <c r="J133">
        <v>0</v>
      </c>
      <c r="K133" s="507">
        <v>101181.82</v>
      </c>
      <c r="L133" s="508">
        <f>(K133 * G133)</f>
        <v>0</v>
      </c>
      <c r="M133" s="509">
        <v>141654.55</v>
      </c>
      <c r="N133" s="510">
        <f>(G133 * M133)</f>
        <v>0</v>
      </c>
      <c r="O133">
        <v>0</v>
      </c>
      <c r="P133">
        <v>0</v>
      </c>
      <c r="Q133">
        <f>IF(O133&gt;G133,(O133-G133),0)</f>
        <v>0</v>
      </c>
      <c r="R133">
        <v>1</v>
      </c>
      <c r="S133">
        <f>IF(Q133&gt;0,Int(P133/Q133),0)</f>
        <v>0</v>
      </c>
      <c r="T133">
        <f>0</f>
        <v>0</v>
      </c>
      <c r="U133"/>
      <c r="V133">
        <v>101181.82</v>
      </c>
      <c r="W133" t="s">
        <v>75</v>
      </c>
      <c r="X133"/>
    </row>
    <row r="134" spans="1:27">
      <c r="A134" t="s">
        <v>35</v>
      </c>
      <c r="B134" t="s">
        <v>29</v>
      </c>
      <c r="C134" t="s">
        <v>522</v>
      </c>
      <c r="D134" t="s">
        <v>523</v>
      </c>
      <c r="E134" t="s">
        <v>524</v>
      </c>
      <c r="F134" t="s">
        <v>41</v>
      </c>
      <c r="G134">
        <v>7</v>
      </c>
      <c r="H134">
        <f>((0/1000) * G134)</f>
        <v>0</v>
      </c>
      <c r="I134">
        <v>0</v>
      </c>
      <c r="J134">
        <v>7</v>
      </c>
      <c r="K134" s="511">
        <v>72892.55</v>
      </c>
      <c r="L134" s="512">
        <f>(K134 * G134)</f>
        <v>510247.85</v>
      </c>
      <c r="M134" s="513">
        <v>94760.32</v>
      </c>
      <c r="N134" s="514">
        <f>(G134 * M134)</f>
        <v>663322.24</v>
      </c>
      <c r="O134">
        <v>0</v>
      </c>
      <c r="P134">
        <v>0</v>
      </c>
      <c r="Q134">
        <f>IF(O134&gt;G134,(O134-G134),0)</f>
        <v>0</v>
      </c>
      <c r="R134">
        <v>1</v>
      </c>
      <c r="S134">
        <f>IF(Q134&gt;0,Int(P134/Q134),0)</f>
        <v>0</v>
      </c>
      <c r="T134">
        <f>66265.97</f>
        <v>66265.97</v>
      </c>
      <c r="U134" t="s">
        <v>525</v>
      </c>
      <c r="V134">
        <v>72892.55</v>
      </c>
      <c r="W134" t="s">
        <v>48</v>
      </c>
      <c r="X134" t="s">
        <v>49</v>
      </c>
    </row>
    <row r="135" spans="1:27">
      <c r="A135" t="s">
        <v>35</v>
      </c>
      <c r="B135" t="s">
        <v>29</v>
      </c>
      <c r="C135" t="s">
        <v>526</v>
      </c>
      <c r="D135" t="s">
        <v>527</v>
      </c>
      <c r="E135" t="s">
        <v>528</v>
      </c>
      <c r="F135" t="s">
        <v>33</v>
      </c>
      <c r="G135">
        <v>0</v>
      </c>
      <c r="H135">
        <f>((0/1000) * G135)</f>
        <v>0</v>
      </c>
      <c r="I135">
        <v>0</v>
      </c>
      <c r="J135">
        <v>0</v>
      </c>
      <c r="K135" s="515">
        <v>78178.87</v>
      </c>
      <c r="L135" s="516">
        <f>(K135 * G135)</f>
        <v>0</v>
      </c>
      <c r="M135" s="517">
        <v>109450.41</v>
      </c>
      <c r="N135" s="518">
        <f>(G135 * M135)</f>
        <v>0</v>
      </c>
      <c r="O135">
        <v>0</v>
      </c>
      <c r="P135">
        <v>0</v>
      </c>
      <c r="Q135">
        <f>IF(O135&gt;G135,(O135-G135),0)</f>
        <v>0</v>
      </c>
      <c r="R135">
        <v>0</v>
      </c>
      <c r="S135">
        <f>IF(Q135&gt;0,Int(P135/Q135),0)</f>
        <v>0</v>
      </c>
      <c r="T135">
        <f>0</f>
        <v>0</v>
      </c>
      <c r="U135"/>
      <c r="V135">
        <v>78178.87</v>
      </c>
      <c r="W135" t="s">
        <v>529</v>
      </c>
      <c r="X135"/>
    </row>
    <row r="136" spans="1:27">
      <c r="A136" t="s">
        <v>35</v>
      </c>
      <c r="B136" t="s">
        <v>29</v>
      </c>
      <c r="C136" t="s">
        <v>530</v>
      </c>
      <c r="D136" t="s">
        <v>531</v>
      </c>
      <c r="E136" t="s">
        <v>532</v>
      </c>
      <c r="F136" t="s">
        <v>41</v>
      </c>
      <c r="G136">
        <v>0</v>
      </c>
      <c r="H136">
        <f>((0/1000) * G136)</f>
        <v>0</v>
      </c>
      <c r="I136">
        <v>0</v>
      </c>
      <c r="J136">
        <v>0</v>
      </c>
      <c r="K136" s="519">
        <v>68727.27</v>
      </c>
      <c r="L136" s="520">
        <f>(K136 * G136)</f>
        <v>0</v>
      </c>
      <c r="M136" s="521">
        <v>75600</v>
      </c>
      <c r="N136" s="522">
        <f>(G136 * M136)</f>
        <v>0</v>
      </c>
      <c r="O136">
        <v>0</v>
      </c>
      <c r="P136">
        <v>0</v>
      </c>
      <c r="Q136">
        <f>IF(O136&gt;G136,(O136-G136),0)</f>
        <v>0</v>
      </c>
      <c r="R136">
        <v>1</v>
      </c>
      <c r="S136">
        <f>IF(Q136&gt;0,Int(P136/Q136),0)</f>
        <v>0</v>
      </c>
      <c r="T136">
        <f>0</f>
        <v>0</v>
      </c>
      <c r="U136"/>
      <c r="V136">
        <v>68727.27</v>
      </c>
      <c r="W136" t="s">
        <v>43</v>
      </c>
      <c r="X136"/>
    </row>
    <row r="137" spans="1:27">
      <c r="A137" t="s">
        <v>35</v>
      </c>
      <c r="B137" t="s">
        <v>29</v>
      </c>
      <c r="C137" t="s">
        <v>533</v>
      </c>
      <c r="D137" t="s">
        <v>534</v>
      </c>
      <c r="E137" t="s">
        <v>535</v>
      </c>
      <c r="F137" t="s">
        <v>41</v>
      </c>
      <c r="G137">
        <v>5</v>
      </c>
      <c r="H137">
        <f>((0/1000) * G137)</f>
        <v>0</v>
      </c>
      <c r="I137">
        <v>0</v>
      </c>
      <c r="J137">
        <v>5</v>
      </c>
      <c r="K137" s="523">
        <v>153636.36</v>
      </c>
      <c r="L137" s="524">
        <f>(K137 * G137)</f>
        <v>768181.8</v>
      </c>
      <c r="M137" s="525">
        <v>169000</v>
      </c>
      <c r="N137" s="526">
        <f>(G137 * M137)</f>
        <v>845000</v>
      </c>
      <c r="O137">
        <v>0</v>
      </c>
      <c r="P137">
        <v>0</v>
      </c>
      <c r="Q137">
        <f>IF(O137&gt;G137,(O137-G137),0)</f>
        <v>0</v>
      </c>
      <c r="R137">
        <v>1</v>
      </c>
      <c r="S137">
        <f>IF(Q137&gt;0,Int(P137/Q137),0)</f>
        <v>0</v>
      </c>
      <c r="T137">
        <f>161157.03</f>
        <v>161157.03</v>
      </c>
      <c r="U137" t="s">
        <v>536</v>
      </c>
      <c r="V137">
        <v>153636.36</v>
      </c>
      <c r="W137" t="s">
        <v>80</v>
      </c>
      <c r="X137" t="s">
        <v>81</v>
      </c>
    </row>
    <row r="138" spans="1:27">
      <c r="A138" t="s">
        <v>35</v>
      </c>
      <c r="B138" t="s">
        <v>29</v>
      </c>
      <c r="C138" t="s">
        <v>537</v>
      </c>
      <c r="D138" t="s">
        <v>538</v>
      </c>
      <c r="E138" t="s">
        <v>539</v>
      </c>
      <c r="F138" t="s">
        <v>41</v>
      </c>
      <c r="G138">
        <v>0</v>
      </c>
      <c r="H138">
        <f>((0/1000) * G138)</f>
        <v>0</v>
      </c>
      <c r="I138">
        <v>0</v>
      </c>
      <c r="J138">
        <v>0</v>
      </c>
      <c r="K138" s="527">
        <v>196605.19</v>
      </c>
      <c r="L138" s="528">
        <f>(K138 * G138)</f>
        <v>0</v>
      </c>
      <c r="M138" s="529">
        <v>275247.26</v>
      </c>
      <c r="N138" s="530">
        <f>(G138 * M138)</f>
        <v>0</v>
      </c>
      <c r="O138">
        <v>0</v>
      </c>
      <c r="P138">
        <v>0</v>
      </c>
      <c r="Q138">
        <f>IF(O138&gt;G138,(O138-G138),0)</f>
        <v>0</v>
      </c>
      <c r="R138">
        <v>1</v>
      </c>
      <c r="S138">
        <f>IF(Q138&gt;0,Int(P138/Q138),0)</f>
        <v>0</v>
      </c>
      <c r="T138">
        <f>144477.84</f>
        <v>144477.84</v>
      </c>
      <c r="U138" t="s">
        <v>540</v>
      </c>
      <c r="V138">
        <v>196605.19</v>
      </c>
      <c r="W138" t="s">
        <v>75</v>
      </c>
      <c r="X138"/>
    </row>
    <row r="139" spans="1:27">
      <c r="A139" t="s">
        <v>35</v>
      </c>
      <c r="B139" t="s">
        <v>29</v>
      </c>
      <c r="C139" t="s">
        <v>541</v>
      </c>
      <c r="D139" t="s">
        <v>542</v>
      </c>
      <c r="E139" t="s">
        <v>543</v>
      </c>
      <c r="F139" t="s">
        <v>33</v>
      </c>
      <c r="G139">
        <v>0</v>
      </c>
      <c r="H139">
        <f>((0/1000) * G139)</f>
        <v>0</v>
      </c>
      <c r="I139">
        <v>0</v>
      </c>
      <c r="J139">
        <v>0</v>
      </c>
      <c r="K139" s="531">
        <v>217109.14</v>
      </c>
      <c r="L139" s="532">
        <f>(K139 * G139)</f>
        <v>0</v>
      </c>
      <c r="M139" s="533">
        <v>303952.79</v>
      </c>
      <c r="N139" s="534">
        <f>(G139 * M139)</f>
        <v>0</v>
      </c>
      <c r="O139">
        <v>0</v>
      </c>
      <c r="P139">
        <v>0</v>
      </c>
      <c r="Q139">
        <f>IF(O139&gt;G139,(O139-G139),0)</f>
        <v>0</v>
      </c>
      <c r="R139">
        <v>1</v>
      </c>
      <c r="S139">
        <f>IF(Q139&gt;0,Int(P139/Q139),0)</f>
        <v>0</v>
      </c>
      <c r="T139">
        <f>0</f>
        <v>0</v>
      </c>
      <c r="U139"/>
      <c r="V139">
        <v>217109.14</v>
      </c>
      <c r="W139" t="s">
        <v>182</v>
      </c>
      <c r="X139"/>
    </row>
    <row r="140" spans="1:27">
      <c r="A140" t="s">
        <v>35</v>
      </c>
      <c r="B140" t="s">
        <v>29</v>
      </c>
      <c r="C140" t="s">
        <v>544</v>
      </c>
      <c r="D140" t="s">
        <v>545</v>
      </c>
      <c r="E140" t="s">
        <v>546</v>
      </c>
      <c r="F140" t="s">
        <v>41</v>
      </c>
      <c r="G140">
        <v>0</v>
      </c>
      <c r="H140">
        <f>((1/1000) * G140)</f>
        <v>0</v>
      </c>
      <c r="I140">
        <v>0</v>
      </c>
      <c r="J140">
        <v>0</v>
      </c>
      <c r="K140" s="535">
        <v>163141.81</v>
      </c>
      <c r="L140" s="536">
        <f>(K140 * G140)</f>
        <v>0</v>
      </c>
      <c r="M140" s="537">
        <v>163141.81</v>
      </c>
      <c r="N140" s="538">
        <f>(G140 * M140)</f>
        <v>0</v>
      </c>
      <c r="O140">
        <v>0</v>
      </c>
      <c r="P140">
        <v>0</v>
      </c>
      <c r="Q140">
        <f>IF(O140&gt;G140,(O140-G140),0)</f>
        <v>0</v>
      </c>
      <c r="R140">
        <v>1</v>
      </c>
      <c r="S140">
        <f>IF(Q140&gt;0,Int(P140/Q140),0)</f>
        <v>0</v>
      </c>
      <c r="T140">
        <f>131800.36</f>
        <v>131800.36</v>
      </c>
      <c r="U140" t="s">
        <v>547</v>
      </c>
      <c r="V140">
        <v>163141.81</v>
      </c>
      <c r="W140" t="s">
        <v>43</v>
      </c>
      <c r="X140"/>
    </row>
    <row r="141" spans="1:27">
      <c r="A141" t="s">
        <v>35</v>
      </c>
      <c r="B141" t="s">
        <v>29</v>
      </c>
      <c r="C141" t="s">
        <v>548</v>
      </c>
      <c r="D141" t="s">
        <v>549</v>
      </c>
      <c r="E141" t="s">
        <v>550</v>
      </c>
      <c r="F141" t="s">
        <v>41</v>
      </c>
      <c r="G141">
        <v>1</v>
      </c>
      <c r="H141">
        <f>((0/1000) * G141)</f>
        <v>0</v>
      </c>
      <c r="I141">
        <v>0</v>
      </c>
      <c r="J141">
        <v>1</v>
      </c>
      <c r="K141" s="539">
        <v>61981</v>
      </c>
      <c r="L141" s="540">
        <f>(K141 * G141)</f>
        <v>61981</v>
      </c>
      <c r="M141" s="541">
        <v>111570.25</v>
      </c>
      <c r="N141" s="542">
        <f>(G141 * M141)</f>
        <v>111570.25</v>
      </c>
      <c r="O141">
        <v>0</v>
      </c>
      <c r="P141">
        <v>0</v>
      </c>
      <c r="Q141">
        <f>IF(O141&gt;G141,(O141-G141),0)</f>
        <v>0</v>
      </c>
      <c r="R141">
        <v>0</v>
      </c>
      <c r="S141">
        <f>IF(Q141&gt;0,Int(P141/Q141),0)</f>
        <v>0</v>
      </c>
      <c r="T141">
        <f>52973</f>
        <v>52973</v>
      </c>
      <c r="U141" t="s">
        <v>551</v>
      </c>
      <c r="V141">
        <v>61981</v>
      </c>
      <c r="W141" t="s">
        <v>54</v>
      </c>
      <c r="X141" t="s">
        <v>490</v>
      </c>
    </row>
    <row r="142" spans="1:27">
      <c r="A142" t="s">
        <v>35</v>
      </c>
      <c r="B142" t="s">
        <v>29</v>
      </c>
      <c r="C142" t="s">
        <v>552</v>
      </c>
      <c r="D142" t="s">
        <v>553</v>
      </c>
      <c r="E142" t="s">
        <v>554</v>
      </c>
      <c r="F142" t="s">
        <v>33</v>
      </c>
      <c r="G142">
        <v>0</v>
      </c>
      <c r="H142">
        <f>((0/1000) * G142)</f>
        <v>0</v>
      </c>
      <c r="I142">
        <v>0</v>
      </c>
      <c r="J142">
        <v>0</v>
      </c>
      <c r="K142" s="543">
        <v>122014.88</v>
      </c>
      <c r="L142" s="544">
        <f>(K142 * G142)</f>
        <v>0</v>
      </c>
      <c r="M142" s="545">
        <v>134216.36</v>
      </c>
      <c r="N142" s="546">
        <f>(G142 * M142)</f>
        <v>0</v>
      </c>
      <c r="O142">
        <v>0</v>
      </c>
      <c r="P142">
        <v>0</v>
      </c>
      <c r="Q142">
        <f>IF(O142&gt;G142,(O142-G142),0)</f>
        <v>0</v>
      </c>
      <c r="R142">
        <v>1</v>
      </c>
      <c r="S142">
        <f>IF(Q142&gt;0,Int(P142/Q142),0)</f>
        <v>0</v>
      </c>
      <c r="T142">
        <f>104565.06</f>
        <v>104565.06</v>
      </c>
      <c r="U142" t="s">
        <v>555</v>
      </c>
      <c r="V142">
        <v>122014.88</v>
      </c>
      <c r="W142" t="s">
        <v>43</v>
      </c>
      <c r="X142"/>
    </row>
    <row r="143" spans="1:27">
      <c r="A143" t="s">
        <v>35</v>
      </c>
      <c r="B143" t="s">
        <v>29</v>
      </c>
      <c r="C143" t="s">
        <v>556</v>
      </c>
      <c r="D143" t="s">
        <v>556</v>
      </c>
      <c r="E143" t="s">
        <v>557</v>
      </c>
      <c r="F143" t="s">
        <v>33</v>
      </c>
      <c r="G143">
        <v>0</v>
      </c>
      <c r="H143">
        <f>((1/1000) * G143)</f>
        <v>0</v>
      </c>
      <c r="I143">
        <v>0</v>
      </c>
      <c r="J143">
        <v>0</v>
      </c>
      <c r="K143" s="547">
        <v>0</v>
      </c>
      <c r="L143" s="548">
        <f>(K143 * G143)</f>
        <v>0</v>
      </c>
      <c r="M143" s="549">
        <v>0</v>
      </c>
      <c r="N143" s="550">
        <f>(G143 * M143)</f>
        <v>0</v>
      </c>
      <c r="O143">
        <v>0</v>
      </c>
      <c r="P143">
        <v>0</v>
      </c>
      <c r="Q143">
        <f>IF(O143&gt;G143,(O143-G143),0)</f>
        <v>0</v>
      </c>
      <c r="R143">
        <v>0</v>
      </c>
      <c r="S143">
        <f>IF(Q143&gt;0,Int(P143/Q143),0)</f>
        <v>0</v>
      </c>
      <c r="T143">
        <f>0</f>
        <v>0</v>
      </c>
      <c r="U143"/>
      <c r="V143">
        <v>0</v>
      </c>
      <c r="W143">
        <v>0</v>
      </c>
      <c r="X143"/>
    </row>
    <row r="144" spans="1:27">
      <c r="A144" t="s">
        <v>35</v>
      </c>
      <c r="B144" t="s">
        <v>29</v>
      </c>
      <c r="C144" t="s">
        <v>558</v>
      </c>
      <c r="D144" t="s">
        <v>558</v>
      </c>
      <c r="E144" t="s">
        <v>559</v>
      </c>
      <c r="F144" t="s">
        <v>33</v>
      </c>
      <c r="G144">
        <v>0</v>
      </c>
      <c r="H144">
        <f>((1/1000) * G144)</f>
        <v>0</v>
      </c>
      <c r="I144">
        <v>0</v>
      </c>
      <c r="J144">
        <v>0</v>
      </c>
      <c r="K144" s="551">
        <v>0</v>
      </c>
      <c r="L144" s="552">
        <f>(K144 * G144)</f>
        <v>0</v>
      </c>
      <c r="M144" s="553">
        <v>0</v>
      </c>
      <c r="N144" s="554">
        <f>(G144 * M144)</f>
        <v>0</v>
      </c>
      <c r="O144">
        <v>0</v>
      </c>
      <c r="P144">
        <v>0</v>
      </c>
      <c r="Q144">
        <f>IF(O144&gt;G144,(O144-G144),0)</f>
        <v>0</v>
      </c>
      <c r="R144">
        <v>0</v>
      </c>
      <c r="S144">
        <f>IF(Q144&gt;0,Int(P144/Q144),0)</f>
        <v>0</v>
      </c>
      <c r="T144">
        <f>43951</f>
        <v>43951</v>
      </c>
      <c r="U144" t="s">
        <v>560</v>
      </c>
      <c r="V144">
        <v>0</v>
      </c>
      <c r="W144">
        <v>0</v>
      </c>
      <c r="X144"/>
    </row>
    <row r="145" spans="1:27">
      <c r="A145" t="s">
        <v>35</v>
      </c>
      <c r="B145" t="s">
        <v>29</v>
      </c>
      <c r="C145" t="s">
        <v>561</v>
      </c>
      <c r="D145" t="s">
        <v>561</v>
      </c>
      <c r="E145" t="s">
        <v>562</v>
      </c>
      <c r="F145" t="s">
        <v>33</v>
      </c>
      <c r="G145">
        <v>0</v>
      </c>
      <c r="H145">
        <f>((1/1000) * G145)</f>
        <v>0</v>
      </c>
      <c r="I145">
        <v>0</v>
      </c>
      <c r="J145">
        <v>0</v>
      </c>
      <c r="K145" s="555">
        <v>0</v>
      </c>
      <c r="L145" s="556">
        <f>(K145 * G145)</f>
        <v>0</v>
      </c>
      <c r="M145" s="557">
        <v>0</v>
      </c>
      <c r="N145" s="558">
        <f>(G145 * M145)</f>
        <v>0</v>
      </c>
      <c r="O145">
        <v>0</v>
      </c>
      <c r="P145">
        <v>0</v>
      </c>
      <c r="Q145">
        <f>IF(O145&gt;G145,(O145-G145),0)</f>
        <v>0</v>
      </c>
      <c r="R145">
        <v>0</v>
      </c>
      <c r="S145">
        <f>IF(Q145&gt;0,Int(P145/Q145),0)</f>
        <v>0</v>
      </c>
      <c r="T145">
        <f>0</f>
        <v>0</v>
      </c>
      <c r="U145"/>
      <c r="V145">
        <v>0</v>
      </c>
      <c r="W145">
        <v>0</v>
      </c>
      <c r="X145"/>
    </row>
    <row r="146" spans="1:27">
      <c r="A146" t="s">
        <v>35</v>
      </c>
      <c r="B146" t="s">
        <v>29</v>
      </c>
      <c r="C146" t="s">
        <v>563</v>
      </c>
      <c r="D146" t="s">
        <v>564</v>
      </c>
      <c r="E146" t="s">
        <v>565</v>
      </c>
      <c r="F146" t="s">
        <v>33</v>
      </c>
      <c r="G146">
        <v>0</v>
      </c>
      <c r="H146">
        <f>((0/1000) * G146)</f>
        <v>0</v>
      </c>
      <c r="I146">
        <v>0</v>
      </c>
      <c r="J146">
        <v>0</v>
      </c>
      <c r="K146" s="559">
        <v>55055.84</v>
      </c>
      <c r="L146" s="560">
        <f>(K146 * G146)</f>
        <v>0</v>
      </c>
      <c r="M146" s="561">
        <v>77078.18</v>
      </c>
      <c r="N146" s="562">
        <f>(G146 * M146)</f>
        <v>0</v>
      </c>
      <c r="O146">
        <v>0</v>
      </c>
      <c r="P146">
        <v>0</v>
      </c>
      <c r="Q146">
        <f>IF(O146&gt;G146,(O146-G146),0)</f>
        <v>0</v>
      </c>
      <c r="R146">
        <v>1</v>
      </c>
      <c r="S146">
        <f>IF(Q146&gt;0,Int(P146/Q146),0)</f>
        <v>0</v>
      </c>
      <c r="T146">
        <f>0</f>
        <v>0</v>
      </c>
      <c r="U146"/>
      <c r="V146">
        <v>55055.84</v>
      </c>
      <c r="W146" t="s">
        <v>75</v>
      </c>
      <c r="X146"/>
    </row>
    <row r="147" spans="1:27">
      <c r="A147" t="s">
        <v>35</v>
      </c>
      <c r="B147" t="s">
        <v>29</v>
      </c>
      <c r="C147" t="s">
        <v>566</v>
      </c>
      <c r="D147" t="s">
        <v>567</v>
      </c>
      <c r="E147" t="s">
        <v>568</v>
      </c>
      <c r="F147" t="s">
        <v>41</v>
      </c>
      <c r="G147">
        <v>0</v>
      </c>
      <c r="H147">
        <f>((1/1000) * G147)</f>
        <v>0</v>
      </c>
      <c r="I147">
        <v>0</v>
      </c>
      <c r="J147">
        <v>0</v>
      </c>
      <c r="K147" s="563">
        <v>114900.91</v>
      </c>
      <c r="L147" s="564">
        <f>(K147 * G147)</f>
        <v>0</v>
      </c>
      <c r="M147" s="565">
        <v>114900.91</v>
      </c>
      <c r="N147" s="566">
        <f>(G147 * M147)</f>
        <v>0</v>
      </c>
      <c r="O147">
        <v>0</v>
      </c>
      <c r="P147">
        <v>0</v>
      </c>
      <c r="Q147">
        <f>IF(O147&gt;G147,(O147-G147),0)</f>
        <v>0</v>
      </c>
      <c r="R147">
        <v>1</v>
      </c>
      <c r="S147">
        <f>IF(Q147&gt;0,Int(P147/Q147),0)</f>
        <v>0</v>
      </c>
      <c r="T147">
        <f>94711.77</f>
        <v>94711.77</v>
      </c>
      <c r="U147" t="s">
        <v>569</v>
      </c>
      <c r="V147">
        <v>114900.91</v>
      </c>
      <c r="W147" t="s">
        <v>43</v>
      </c>
      <c r="X147"/>
    </row>
    <row r="148" spans="1:27">
      <c r="A148" t="s">
        <v>35</v>
      </c>
      <c r="B148" t="s">
        <v>29</v>
      </c>
      <c r="C148" t="s">
        <v>570</v>
      </c>
      <c r="D148" t="s">
        <v>571</v>
      </c>
      <c r="E148" t="s">
        <v>572</v>
      </c>
      <c r="F148" t="s">
        <v>41</v>
      </c>
      <c r="G148">
        <v>3</v>
      </c>
      <c r="H148">
        <f>((0/1000) * G148)</f>
        <v>0</v>
      </c>
      <c r="I148">
        <v>0</v>
      </c>
      <c r="J148">
        <v>3</v>
      </c>
      <c r="K148" s="567">
        <v>60764</v>
      </c>
      <c r="L148" s="568">
        <f>(K148 * G148)</f>
        <v>182292</v>
      </c>
      <c r="M148" s="569">
        <v>109375.2</v>
      </c>
      <c r="N148" s="570">
        <f>(G148 * M148)</f>
        <v>328125.6</v>
      </c>
      <c r="O148">
        <v>0</v>
      </c>
      <c r="P148">
        <v>0</v>
      </c>
      <c r="Q148">
        <f>IF(O148&gt;G148,(O148-G148),0)</f>
        <v>0</v>
      </c>
      <c r="R148">
        <v>1</v>
      </c>
      <c r="S148">
        <f>IF(Q148&gt;0,Int(P148/Q148),0)</f>
        <v>0</v>
      </c>
      <c r="T148">
        <f>60764</f>
        <v>60764</v>
      </c>
      <c r="U148" t="s">
        <v>573</v>
      </c>
      <c r="V148">
        <v>60764</v>
      </c>
      <c r="W148" t="s">
        <v>197</v>
      </c>
      <c r="X148"/>
    </row>
    <row r="149" spans="1:27">
      <c r="A149" t="s">
        <v>35</v>
      </c>
      <c r="B149" t="s">
        <v>29</v>
      </c>
      <c r="C149" t="s">
        <v>574</v>
      </c>
      <c r="D149" t="s">
        <v>575</v>
      </c>
      <c r="E149" t="s">
        <v>576</v>
      </c>
      <c r="F149" t="s">
        <v>41</v>
      </c>
      <c r="G149">
        <v>12</v>
      </c>
      <c r="H149">
        <f>((0/1000) * G149)</f>
        <v>0</v>
      </c>
      <c r="I149">
        <v>0</v>
      </c>
      <c r="J149">
        <v>12</v>
      </c>
      <c r="K149" s="571">
        <v>59947.8</v>
      </c>
      <c r="L149" s="572">
        <f>(K149 * G149)</f>
        <v>719373.6</v>
      </c>
      <c r="M149" s="573">
        <v>83926.92</v>
      </c>
      <c r="N149" s="574">
        <f>(G149 * M149)</f>
        <v>1007123.04</v>
      </c>
      <c r="O149">
        <v>0</v>
      </c>
      <c r="P149">
        <v>0</v>
      </c>
      <c r="Q149">
        <f>IF(O149&gt;G149,(O149-G149),0)</f>
        <v>0</v>
      </c>
      <c r="R149">
        <v>1</v>
      </c>
      <c r="S149">
        <f>IF(Q149&gt;0,Int(P149/Q149),0)</f>
        <v>0</v>
      </c>
      <c r="T149">
        <f>59947.8</f>
        <v>59947.8</v>
      </c>
      <c r="U149" t="s">
        <v>573</v>
      </c>
      <c r="V149">
        <v>59947.8</v>
      </c>
      <c r="W149" t="s">
        <v>577</v>
      </c>
      <c r="X149" t="s">
        <v>578</v>
      </c>
    </row>
    <row r="150" spans="1:27">
      <c r="A150" t="s">
        <v>35</v>
      </c>
      <c r="B150" t="s">
        <v>29</v>
      </c>
      <c r="C150" t="s">
        <v>579</v>
      </c>
      <c r="D150" t="s">
        <v>580</v>
      </c>
      <c r="E150" t="s">
        <v>581</v>
      </c>
      <c r="F150" t="s">
        <v>41</v>
      </c>
      <c r="G150">
        <v>2</v>
      </c>
      <c r="H150">
        <f>((0/1000) * G150)</f>
        <v>0</v>
      </c>
      <c r="I150">
        <v>2</v>
      </c>
      <c r="J150">
        <v>0</v>
      </c>
      <c r="K150" s="575">
        <v>80507.94</v>
      </c>
      <c r="L150" s="576">
        <f>(K150 * G150)</f>
        <v>161015.88</v>
      </c>
      <c r="M150" s="577">
        <v>112711.12</v>
      </c>
      <c r="N150" s="578">
        <f>(G150 * M150)</f>
        <v>225422.24</v>
      </c>
      <c r="O150">
        <v>0</v>
      </c>
      <c r="P150">
        <v>0</v>
      </c>
      <c r="Q150">
        <f>IF(O150&gt;G150,(O150-G150),0)</f>
        <v>0</v>
      </c>
      <c r="R150">
        <v>1</v>
      </c>
      <c r="S150">
        <f>IF(Q150&gt;0,Int(P150/Q150),0)</f>
        <v>0</v>
      </c>
      <c r="T150">
        <f>96092.56</f>
        <v>96092.56</v>
      </c>
      <c r="U150" t="s">
        <v>582</v>
      </c>
      <c r="V150">
        <v>80507.94</v>
      </c>
      <c r="W150" t="s">
        <v>274</v>
      </c>
      <c r="X150" t="s">
        <v>262</v>
      </c>
    </row>
    <row r="151" spans="1:27">
      <c r="A151" t="s">
        <v>35</v>
      </c>
      <c r="B151" t="s">
        <v>29</v>
      </c>
      <c r="C151" t="s">
        <v>583</v>
      </c>
      <c r="D151" t="s">
        <v>584</v>
      </c>
      <c r="E151" t="s">
        <v>585</v>
      </c>
      <c r="F151" t="s">
        <v>33</v>
      </c>
      <c r="G151">
        <v>0</v>
      </c>
      <c r="H151">
        <f>((0/1000) * G151)</f>
        <v>0</v>
      </c>
      <c r="I151">
        <v>0</v>
      </c>
      <c r="J151">
        <v>0</v>
      </c>
      <c r="K151" s="579">
        <v>56848.63</v>
      </c>
      <c r="L151" s="580">
        <f>(K151 * G151)</f>
        <v>0</v>
      </c>
      <c r="M151" s="581">
        <v>79588.08</v>
      </c>
      <c r="N151" s="582">
        <f>(G151 * M151)</f>
        <v>0</v>
      </c>
      <c r="O151">
        <v>0</v>
      </c>
      <c r="P151">
        <v>0</v>
      </c>
      <c r="Q151">
        <f>IF(O151&gt;G151,(O151-G151),0)</f>
        <v>0</v>
      </c>
      <c r="R151">
        <v>0</v>
      </c>
      <c r="S151">
        <f>IF(Q151&gt;0,Int(P151/Q151),0)</f>
        <v>0</v>
      </c>
      <c r="T151">
        <f>47752</f>
        <v>47752</v>
      </c>
      <c r="U151" t="s">
        <v>586</v>
      </c>
      <c r="V151">
        <v>56848.63</v>
      </c>
      <c r="W151" t="s">
        <v>75</v>
      </c>
      <c r="X151"/>
    </row>
    <row r="152" spans="1:27">
      <c r="A152" t="s">
        <v>35</v>
      </c>
      <c r="B152" t="s">
        <v>29</v>
      </c>
      <c r="C152" t="s">
        <v>587</v>
      </c>
      <c r="D152" t="s">
        <v>588</v>
      </c>
      <c r="E152" t="s">
        <v>589</v>
      </c>
      <c r="F152" t="s">
        <v>33</v>
      </c>
      <c r="G152">
        <v>0</v>
      </c>
      <c r="H152">
        <f>((0/1000) * G152)</f>
        <v>0</v>
      </c>
      <c r="I152">
        <v>0</v>
      </c>
      <c r="J152">
        <v>0</v>
      </c>
      <c r="K152" s="583">
        <v>77843.07</v>
      </c>
      <c r="L152" s="584">
        <f>(K152 * G152)</f>
        <v>0</v>
      </c>
      <c r="M152" s="585">
        <v>108980.3</v>
      </c>
      <c r="N152" s="586">
        <f>(G152 * M152)</f>
        <v>0</v>
      </c>
      <c r="O152">
        <v>0</v>
      </c>
      <c r="P152">
        <v>0</v>
      </c>
      <c r="Q152">
        <f>IF(O152&gt;G152,(O152-G152),0)</f>
        <v>0</v>
      </c>
      <c r="R152">
        <v>1</v>
      </c>
      <c r="S152">
        <f>IF(Q152&gt;0,Int(P152/Q152),0)</f>
        <v>0</v>
      </c>
      <c r="T152">
        <f>54400</f>
        <v>54400</v>
      </c>
      <c r="U152" t="s">
        <v>590</v>
      </c>
      <c r="V152">
        <v>77843.07</v>
      </c>
      <c r="W152" t="s">
        <v>75</v>
      </c>
      <c r="X152"/>
    </row>
    <row r="153" spans="1:27">
      <c r="A153" t="s">
        <v>35</v>
      </c>
      <c r="B153" t="s">
        <v>29</v>
      </c>
      <c r="C153" t="s">
        <v>591</v>
      </c>
      <c r="D153" t="s">
        <v>592</v>
      </c>
      <c r="E153" t="s">
        <v>593</v>
      </c>
      <c r="F153" t="s">
        <v>41</v>
      </c>
      <c r="G153">
        <v>1</v>
      </c>
      <c r="H153">
        <f>((0/1000) * G153)</f>
        <v>0</v>
      </c>
      <c r="I153">
        <v>1</v>
      </c>
      <c r="J153">
        <v>0</v>
      </c>
      <c r="K153" s="587">
        <v>110763.79</v>
      </c>
      <c r="L153" s="588">
        <f>(K153 * G153)</f>
        <v>110763.79</v>
      </c>
      <c r="M153" s="589">
        <v>155069.31</v>
      </c>
      <c r="N153" s="590">
        <f>(G153 * M153)</f>
        <v>155069.31</v>
      </c>
      <c r="O153">
        <v>0</v>
      </c>
      <c r="P153">
        <v>0</v>
      </c>
      <c r="Q153">
        <f>IF(O153&gt;G153,(O153-G153),0)</f>
        <v>0</v>
      </c>
      <c r="R153">
        <v>1</v>
      </c>
      <c r="S153">
        <f>IF(Q153&gt;0,Int(P153/Q153),0)</f>
        <v>0</v>
      </c>
      <c r="T153">
        <f>94431.14</f>
        <v>94431.14</v>
      </c>
      <c r="U153" t="s">
        <v>594</v>
      </c>
      <c r="V153">
        <v>110763.79</v>
      </c>
      <c r="W153" t="s">
        <v>182</v>
      </c>
      <c r="X153" t="s">
        <v>401</v>
      </c>
    </row>
    <row r="154" spans="1:27">
      <c r="A154" t="s">
        <v>35</v>
      </c>
      <c r="B154" t="s">
        <v>29</v>
      </c>
      <c r="C154" t="s">
        <v>595</v>
      </c>
      <c r="D154" t="s">
        <v>596</v>
      </c>
      <c r="E154" t="s">
        <v>597</v>
      </c>
      <c r="F154" t="s">
        <v>33</v>
      </c>
      <c r="G154">
        <v>1</v>
      </c>
      <c r="H154">
        <f>((0/1000) * G154)</f>
        <v>0</v>
      </c>
      <c r="I154">
        <v>0</v>
      </c>
      <c r="J154">
        <v>1</v>
      </c>
      <c r="K154" s="591">
        <v>74379.54</v>
      </c>
      <c r="L154" s="592">
        <f>(K154 * G154)</f>
        <v>74379.54</v>
      </c>
      <c r="M154" s="593">
        <v>86776.86</v>
      </c>
      <c r="N154" s="594">
        <f>(G154 * M154)</f>
        <v>86776.86</v>
      </c>
      <c r="O154">
        <v>0</v>
      </c>
      <c r="P154">
        <v>0</v>
      </c>
      <c r="Q154">
        <f>IF(O154&gt;G154,(O154-G154),0)</f>
        <v>0</v>
      </c>
      <c r="R154">
        <v>1</v>
      </c>
      <c r="S154">
        <f>IF(Q154&gt;0,Int(P154/Q154),0)</f>
        <v>0</v>
      </c>
      <c r="T154">
        <f>74379.54</f>
        <v>74379.54</v>
      </c>
      <c r="U154" t="s">
        <v>135</v>
      </c>
      <c r="V154">
        <v>74379.54</v>
      </c>
      <c r="W154" t="s">
        <v>165</v>
      </c>
      <c r="X154" t="s">
        <v>280</v>
      </c>
    </row>
    <row r="155" spans="1:27">
      <c r="A155" t="s">
        <v>35</v>
      </c>
      <c r="B155" t="s">
        <v>29</v>
      </c>
      <c r="C155" t="s">
        <v>598</v>
      </c>
      <c r="D155" t="s">
        <v>599</v>
      </c>
      <c r="E155" t="s">
        <v>600</v>
      </c>
      <c r="F155" t="s">
        <v>41</v>
      </c>
      <c r="G155">
        <v>0</v>
      </c>
      <c r="H155">
        <f>((0/1000) * G155)</f>
        <v>0</v>
      </c>
      <c r="I155">
        <v>0</v>
      </c>
      <c r="J155">
        <v>0</v>
      </c>
      <c r="K155" s="595">
        <v>87603.31</v>
      </c>
      <c r="L155" s="596">
        <f>(K155 * G155)</f>
        <v>0</v>
      </c>
      <c r="M155" s="597">
        <v>96363.64</v>
      </c>
      <c r="N155" s="598">
        <f>(G155 * M155)</f>
        <v>0</v>
      </c>
      <c r="O155">
        <v>0</v>
      </c>
      <c r="P155">
        <v>0</v>
      </c>
      <c r="Q155">
        <f>IF(O155&gt;G155,(O155-G155),0)</f>
        <v>0</v>
      </c>
      <c r="R155">
        <v>1</v>
      </c>
      <c r="S155">
        <f>IF(Q155&gt;0,Int(P155/Q155),0)</f>
        <v>0</v>
      </c>
      <c r="T155">
        <f>51465.06</f>
        <v>51465.06</v>
      </c>
      <c r="U155" t="s">
        <v>601</v>
      </c>
      <c r="V155">
        <v>87603.31</v>
      </c>
      <c r="W155" t="s">
        <v>43</v>
      </c>
      <c r="X155"/>
    </row>
    <row r="156" spans="1:27">
      <c r="A156" t="s">
        <v>35</v>
      </c>
      <c r="B156" t="s">
        <v>29</v>
      </c>
      <c r="C156" t="s">
        <v>602</v>
      </c>
      <c r="D156" t="s">
        <v>603</v>
      </c>
      <c r="E156" t="s">
        <v>604</v>
      </c>
      <c r="F156" t="s">
        <v>41</v>
      </c>
      <c r="G156">
        <v>0</v>
      </c>
      <c r="H156">
        <f>((0/1000) * G156)</f>
        <v>0</v>
      </c>
      <c r="I156">
        <v>0</v>
      </c>
      <c r="J156">
        <v>0</v>
      </c>
      <c r="K156" s="599">
        <v>51522.31</v>
      </c>
      <c r="L156" s="600">
        <f>(K156 * G156)</f>
        <v>0</v>
      </c>
      <c r="M156" s="601">
        <v>77283.47</v>
      </c>
      <c r="N156" s="602">
        <f>(G156 * M156)</f>
        <v>0</v>
      </c>
      <c r="O156">
        <v>0</v>
      </c>
      <c r="P156">
        <v>0</v>
      </c>
      <c r="Q156">
        <f>IF(O156&gt;G156,(O156-G156),0)</f>
        <v>0</v>
      </c>
      <c r="R156">
        <v>0</v>
      </c>
      <c r="S156">
        <f>IF(Q156&gt;0,Int(P156/Q156),0)</f>
        <v>0</v>
      </c>
      <c r="T156">
        <f>51522.31</f>
        <v>51522.31</v>
      </c>
      <c r="U156" t="s">
        <v>605</v>
      </c>
      <c r="V156">
        <v>51522.31</v>
      </c>
      <c r="W156" t="s">
        <v>606</v>
      </c>
      <c r="X156"/>
    </row>
    <row r="157" spans="1:27">
      <c r="A157" t="s">
        <v>35</v>
      </c>
      <c r="B157" t="s">
        <v>29</v>
      </c>
      <c r="C157" t="s">
        <v>607</v>
      </c>
      <c r="D157" t="s">
        <v>608</v>
      </c>
      <c r="E157" t="s">
        <v>609</v>
      </c>
      <c r="F157" t="s">
        <v>33</v>
      </c>
      <c r="G157">
        <v>0</v>
      </c>
      <c r="H157">
        <f>((0/1000) * G157)</f>
        <v>0</v>
      </c>
      <c r="I157">
        <v>0</v>
      </c>
      <c r="J157">
        <v>0</v>
      </c>
      <c r="K157" s="603">
        <v>66687.97</v>
      </c>
      <c r="L157" s="604">
        <f>(K157 * G157)</f>
        <v>0</v>
      </c>
      <c r="M157" s="605">
        <v>93363.16</v>
      </c>
      <c r="N157" s="606">
        <f>(G157 * M157)</f>
        <v>0</v>
      </c>
      <c r="O157">
        <v>0</v>
      </c>
      <c r="P157">
        <v>0</v>
      </c>
      <c r="Q157">
        <f>IF(O157&gt;G157,(O157-G157),0)</f>
        <v>0</v>
      </c>
      <c r="R157">
        <v>0</v>
      </c>
      <c r="S157">
        <f>IF(Q157&gt;0,Int(P157/Q157),0)</f>
        <v>0</v>
      </c>
      <c r="T157">
        <f>0</f>
        <v>0</v>
      </c>
      <c r="U157"/>
      <c r="V157">
        <v>66687.97</v>
      </c>
      <c r="W157" t="s">
        <v>75</v>
      </c>
      <c r="X157"/>
    </row>
    <row r="158" spans="1:27">
      <c r="A158" t="s">
        <v>35</v>
      </c>
      <c r="B158" t="s">
        <v>29</v>
      </c>
      <c r="C158" t="s">
        <v>610</v>
      </c>
      <c r="D158" t="s">
        <v>611</v>
      </c>
      <c r="E158" t="s">
        <v>612</v>
      </c>
      <c r="F158" t="s">
        <v>33</v>
      </c>
      <c r="G158">
        <v>0</v>
      </c>
      <c r="H158">
        <f>((0/1000) * G158)</f>
        <v>0</v>
      </c>
      <c r="I158">
        <v>0</v>
      </c>
      <c r="J158">
        <v>0</v>
      </c>
      <c r="K158" s="607">
        <v>56234.02</v>
      </c>
      <c r="L158" s="608">
        <f>(K158 * G158)</f>
        <v>0</v>
      </c>
      <c r="M158" s="609">
        <v>78727.63</v>
      </c>
      <c r="N158" s="610">
        <f>(G158 * M158)</f>
        <v>0</v>
      </c>
      <c r="O158">
        <v>0</v>
      </c>
      <c r="P158">
        <v>0</v>
      </c>
      <c r="Q158">
        <f>IF(O158&gt;G158,(O158-G158),0)</f>
        <v>0</v>
      </c>
      <c r="R158">
        <v>1</v>
      </c>
      <c r="S158">
        <f>IF(Q158&gt;0,Int(P158/Q158),0)</f>
        <v>0</v>
      </c>
      <c r="T158">
        <f>47550.41</f>
        <v>47550.41</v>
      </c>
      <c r="U158" t="s">
        <v>613</v>
      </c>
      <c r="V158">
        <v>56234.02</v>
      </c>
      <c r="W158" t="s">
        <v>75</v>
      </c>
      <c r="X158"/>
    </row>
    <row r="159" spans="1:27">
      <c r="A159" t="s">
        <v>35</v>
      </c>
      <c r="B159" t="s">
        <v>29</v>
      </c>
      <c r="C159" t="s">
        <v>614</v>
      </c>
      <c r="D159" t="s">
        <v>615</v>
      </c>
      <c r="E159" t="s">
        <v>616</v>
      </c>
      <c r="F159" t="s">
        <v>41</v>
      </c>
      <c r="G159">
        <v>0</v>
      </c>
      <c r="H159">
        <f>((1/1000) * G159)</f>
        <v>0</v>
      </c>
      <c r="I159">
        <v>0</v>
      </c>
      <c r="J159">
        <v>0</v>
      </c>
      <c r="K159" s="611">
        <v>103922.49</v>
      </c>
      <c r="L159" s="612">
        <f>(K159 * G159)</f>
        <v>0</v>
      </c>
      <c r="M159" s="613">
        <v>114314.74</v>
      </c>
      <c r="N159" s="614">
        <f>(G159 * M159)</f>
        <v>0</v>
      </c>
      <c r="O159">
        <v>0</v>
      </c>
      <c r="P159">
        <v>0</v>
      </c>
      <c r="Q159">
        <f>IF(O159&gt;G159,(O159-G159),0)</f>
        <v>0</v>
      </c>
      <c r="R159">
        <v>1</v>
      </c>
      <c r="S159">
        <f>IF(Q159&gt;0,Int(P159/Q159),0)</f>
        <v>0</v>
      </c>
      <c r="T159">
        <f>0</f>
        <v>0</v>
      </c>
      <c r="U159"/>
      <c r="V159">
        <v>103922.49</v>
      </c>
      <c r="W159" t="s">
        <v>43</v>
      </c>
      <c r="X159"/>
    </row>
    <row r="160" spans="1:27">
      <c r="A160" t="s">
        <v>35</v>
      </c>
      <c r="B160" t="s">
        <v>29</v>
      </c>
      <c r="C160" t="s">
        <v>617</v>
      </c>
      <c r="D160" t="s">
        <v>618</v>
      </c>
      <c r="E160" t="s">
        <v>619</v>
      </c>
      <c r="F160" t="s">
        <v>33</v>
      </c>
      <c r="G160">
        <v>0</v>
      </c>
      <c r="H160">
        <f>((0/1000) * G160)</f>
        <v>0</v>
      </c>
      <c r="I160">
        <v>0</v>
      </c>
      <c r="J160">
        <v>0</v>
      </c>
      <c r="K160" s="615">
        <v>55760.57</v>
      </c>
      <c r="L160" s="616">
        <f>(K160 * G160)</f>
        <v>0</v>
      </c>
      <c r="M160" s="617">
        <v>78064.8</v>
      </c>
      <c r="N160" s="618">
        <f>(G160 * M160)</f>
        <v>0</v>
      </c>
      <c r="O160">
        <v>0</v>
      </c>
      <c r="P160">
        <v>0</v>
      </c>
      <c r="Q160">
        <f>IF(O160&gt;G160,(O160-G160),0)</f>
        <v>0</v>
      </c>
      <c r="R160">
        <v>1</v>
      </c>
      <c r="S160">
        <f>IF(Q160&gt;0,Int(P160/Q160),0)</f>
        <v>0</v>
      </c>
      <c r="T160">
        <f>70509.09</f>
        <v>70509.09</v>
      </c>
      <c r="U160" t="s">
        <v>620</v>
      </c>
      <c r="V160">
        <v>55760.57</v>
      </c>
      <c r="W160" t="s">
        <v>75</v>
      </c>
      <c r="X160"/>
    </row>
    <row r="161" spans="1:27">
      <c r="A161" t="s">
        <v>35</v>
      </c>
      <c r="B161" t="s">
        <v>29</v>
      </c>
      <c r="C161" t="s">
        <v>621</v>
      </c>
      <c r="D161" t="s">
        <v>622</v>
      </c>
      <c r="E161" t="s">
        <v>623</v>
      </c>
      <c r="F161" t="s">
        <v>33</v>
      </c>
      <c r="G161">
        <v>0</v>
      </c>
      <c r="H161">
        <f>((0/1000) * G161)</f>
        <v>0</v>
      </c>
      <c r="I161">
        <v>0</v>
      </c>
      <c r="J161">
        <v>0</v>
      </c>
      <c r="K161" s="619">
        <v>80165.29</v>
      </c>
      <c r="L161" s="620">
        <f>(K161 * G161)</f>
        <v>0</v>
      </c>
      <c r="M161" s="621">
        <v>112231.41</v>
      </c>
      <c r="N161" s="622">
        <f>(G161 * M161)</f>
        <v>0</v>
      </c>
      <c r="O161">
        <v>0</v>
      </c>
      <c r="P161">
        <v>0</v>
      </c>
      <c r="Q161">
        <f>IF(O161&gt;G161,(O161-G161),0)</f>
        <v>0</v>
      </c>
      <c r="R161">
        <v>1</v>
      </c>
      <c r="S161">
        <f>IF(Q161&gt;0,Int(P161/Q161),0)</f>
        <v>0</v>
      </c>
      <c r="T161">
        <f>72877.54</f>
        <v>72877.54</v>
      </c>
      <c r="U161" t="s">
        <v>624</v>
      </c>
      <c r="V161">
        <v>80165.29</v>
      </c>
      <c r="W161" t="s">
        <v>75</v>
      </c>
      <c r="X161"/>
    </row>
    <row r="162" spans="1:27">
      <c r="A162" t="s">
        <v>35</v>
      </c>
      <c r="B162" t="s">
        <v>29</v>
      </c>
      <c r="C162" t="s">
        <v>625</v>
      </c>
      <c r="D162" t="s">
        <v>626</v>
      </c>
      <c r="E162" t="s">
        <v>627</v>
      </c>
      <c r="F162" t="s">
        <v>41</v>
      </c>
      <c r="G162">
        <v>0</v>
      </c>
      <c r="H162">
        <f>((0/1000) * G162)</f>
        <v>0</v>
      </c>
      <c r="I162">
        <v>0</v>
      </c>
      <c r="J162">
        <v>0</v>
      </c>
      <c r="K162" s="623">
        <v>22363.64</v>
      </c>
      <c r="L162" s="624">
        <f>(K162 * G162)</f>
        <v>0</v>
      </c>
      <c r="M162" s="625">
        <v>24600</v>
      </c>
      <c r="N162" s="626">
        <f>(G162 * M162)</f>
        <v>0</v>
      </c>
      <c r="O162">
        <v>0</v>
      </c>
      <c r="P162">
        <v>0</v>
      </c>
      <c r="Q162">
        <f>IF(O162&gt;G162,(O162-G162),0)</f>
        <v>0</v>
      </c>
      <c r="R162">
        <v>1</v>
      </c>
      <c r="S162">
        <f>IF(Q162&gt;0,Int(P162/Q162),0)</f>
        <v>0</v>
      </c>
      <c r="T162">
        <f>0</f>
        <v>0</v>
      </c>
      <c r="U162"/>
      <c r="V162">
        <v>22363.64</v>
      </c>
      <c r="W162" t="s">
        <v>43</v>
      </c>
      <c r="X162"/>
    </row>
    <row r="163" spans="1:27">
      <c r="A163" t="s">
        <v>35</v>
      </c>
      <c r="B163" t="s">
        <v>29</v>
      </c>
      <c r="C163" t="s">
        <v>628</v>
      </c>
      <c r="D163" t="s">
        <v>629</v>
      </c>
      <c r="E163" t="s">
        <v>630</v>
      </c>
      <c r="F163" t="s">
        <v>41</v>
      </c>
      <c r="G163">
        <v>0</v>
      </c>
      <c r="H163">
        <f>((1/1000) * G163)</f>
        <v>0</v>
      </c>
      <c r="I163">
        <v>0</v>
      </c>
      <c r="J163">
        <v>0</v>
      </c>
      <c r="K163" s="627">
        <v>131775.61</v>
      </c>
      <c r="L163" s="628">
        <f>(K163 * G163)</f>
        <v>0</v>
      </c>
      <c r="M163" s="629">
        <v>144953.17</v>
      </c>
      <c r="N163" s="630">
        <f>(G163 * M163)</f>
        <v>0</v>
      </c>
      <c r="O163">
        <v>0</v>
      </c>
      <c r="P163">
        <v>0</v>
      </c>
      <c r="Q163">
        <f>IF(O163&gt;G163,(O163-G163),0)</f>
        <v>0</v>
      </c>
      <c r="R163">
        <v>1</v>
      </c>
      <c r="S163">
        <f>IF(Q163&gt;0,Int(P163/Q163),0)</f>
        <v>0</v>
      </c>
      <c r="T163">
        <f>119796.01</f>
        <v>119796.01</v>
      </c>
      <c r="U163" t="s">
        <v>631</v>
      </c>
      <c r="V163">
        <v>131775.61</v>
      </c>
      <c r="W163" t="s">
        <v>43</v>
      </c>
      <c r="X163"/>
    </row>
    <row r="164" spans="1:27">
      <c r="A164" t="s">
        <v>35</v>
      </c>
      <c r="B164" t="s">
        <v>29</v>
      </c>
      <c r="C164" t="s">
        <v>632</v>
      </c>
      <c r="D164" t="s">
        <v>633</v>
      </c>
      <c r="E164" t="s">
        <v>634</v>
      </c>
      <c r="F164" t="s">
        <v>41</v>
      </c>
      <c r="G164">
        <v>0</v>
      </c>
      <c r="H164">
        <f>((0/1000) * G164)</f>
        <v>0</v>
      </c>
      <c r="I164">
        <v>0</v>
      </c>
      <c r="J164">
        <v>0</v>
      </c>
      <c r="K164" s="631">
        <v>0</v>
      </c>
      <c r="L164" s="632">
        <f>(K164 * G164)</f>
        <v>0</v>
      </c>
      <c r="M164" s="633">
        <v>0</v>
      </c>
      <c r="N164" s="634">
        <f>(G164 * M164)</f>
        <v>0</v>
      </c>
      <c r="O164">
        <v>0</v>
      </c>
      <c r="P164">
        <v>0</v>
      </c>
      <c r="Q164">
        <f>IF(O164&gt;G164,(O164-G164),0)</f>
        <v>0</v>
      </c>
      <c r="R164">
        <v>1</v>
      </c>
      <c r="S164">
        <f>IF(Q164&gt;0,Int(P164/Q164),0)</f>
        <v>0</v>
      </c>
      <c r="T164">
        <f>95341.85</f>
        <v>95341.85</v>
      </c>
      <c r="U164" t="s">
        <v>635</v>
      </c>
      <c r="V164">
        <v>0</v>
      </c>
      <c r="W164">
        <v>0</v>
      </c>
      <c r="X164"/>
    </row>
    <row r="165" spans="1:27">
      <c r="A165" t="s">
        <v>35</v>
      </c>
      <c r="B165" t="s">
        <v>29</v>
      </c>
      <c r="C165" t="s">
        <v>636</v>
      </c>
      <c r="D165" t="s">
        <v>637</v>
      </c>
      <c r="E165" t="s">
        <v>638</v>
      </c>
      <c r="F165" t="s">
        <v>33</v>
      </c>
      <c r="G165">
        <v>0</v>
      </c>
      <c r="H165">
        <f>((0/1000) * G165)</f>
        <v>0</v>
      </c>
      <c r="I165">
        <v>0</v>
      </c>
      <c r="J165">
        <v>0</v>
      </c>
      <c r="K165" s="635">
        <v>61841.37</v>
      </c>
      <c r="L165" s="636">
        <f>(K165 * G165)</f>
        <v>0</v>
      </c>
      <c r="M165" s="637">
        <v>86577.92</v>
      </c>
      <c r="N165" s="638">
        <f>(G165 * M165)</f>
        <v>0</v>
      </c>
      <c r="O165">
        <v>0</v>
      </c>
      <c r="P165">
        <v>0</v>
      </c>
      <c r="Q165">
        <f>IF(O165&gt;G165,(O165-G165),0)</f>
        <v>0</v>
      </c>
      <c r="R165">
        <v>1</v>
      </c>
      <c r="S165">
        <f>IF(Q165&gt;0,Int(P165/Q165),0)</f>
        <v>0</v>
      </c>
      <c r="T165">
        <f>52648</f>
        <v>52648</v>
      </c>
      <c r="U165" t="s">
        <v>639</v>
      </c>
      <c r="V165">
        <v>61841.37</v>
      </c>
      <c r="W165" t="s">
        <v>75</v>
      </c>
      <c r="X165"/>
    </row>
    <row r="166" spans="1:27">
      <c r="A166" t="s">
        <v>35</v>
      </c>
      <c r="B166" t="s">
        <v>29</v>
      </c>
      <c r="C166" t="s">
        <v>640</v>
      </c>
      <c r="D166" t="s">
        <v>641</v>
      </c>
      <c r="E166" t="s">
        <v>642</v>
      </c>
      <c r="F166" t="s">
        <v>33</v>
      </c>
      <c r="G166">
        <v>0</v>
      </c>
      <c r="H166">
        <f>((0/1000) * G166)</f>
        <v>0</v>
      </c>
      <c r="I166">
        <v>0</v>
      </c>
      <c r="J166">
        <v>0</v>
      </c>
      <c r="K166" s="639">
        <v>56483.47</v>
      </c>
      <c r="L166" s="640">
        <f>(K166 * G166)</f>
        <v>0</v>
      </c>
      <c r="M166" s="641">
        <v>79076.86</v>
      </c>
      <c r="N166" s="642">
        <f>(G166 * M166)</f>
        <v>0</v>
      </c>
      <c r="O166">
        <v>0</v>
      </c>
      <c r="P166">
        <v>0</v>
      </c>
      <c r="Q166">
        <f>IF(O166&gt;G166,(O166-G166),0)</f>
        <v>0</v>
      </c>
      <c r="R166">
        <v>0</v>
      </c>
      <c r="S166">
        <f>IF(Q166&gt;0,Int(P166/Q166),0)</f>
        <v>0</v>
      </c>
      <c r="T166">
        <f>0</f>
        <v>0</v>
      </c>
      <c r="U166"/>
      <c r="V166">
        <v>56483.47</v>
      </c>
      <c r="W166" t="s">
        <v>529</v>
      </c>
      <c r="X166"/>
    </row>
    <row r="167" spans="1:27">
      <c r="A167" t="s">
        <v>35</v>
      </c>
      <c r="B167" t="s">
        <v>29</v>
      </c>
      <c r="C167" t="s">
        <v>643</v>
      </c>
      <c r="D167" t="s">
        <v>644</v>
      </c>
      <c r="E167" t="s">
        <v>645</v>
      </c>
      <c r="F167" t="s">
        <v>33</v>
      </c>
      <c r="G167">
        <v>0</v>
      </c>
      <c r="H167">
        <f>((0/1000) * G167)</f>
        <v>0</v>
      </c>
      <c r="I167">
        <v>0</v>
      </c>
      <c r="J167">
        <v>0</v>
      </c>
      <c r="K167" s="643">
        <v>58747.07</v>
      </c>
      <c r="L167" s="644">
        <f>(K167 * G167)</f>
        <v>0</v>
      </c>
      <c r="M167" s="645">
        <v>82245.9</v>
      </c>
      <c r="N167" s="646">
        <f>(G167 * M167)</f>
        <v>0</v>
      </c>
      <c r="O167">
        <v>0</v>
      </c>
      <c r="P167">
        <v>0</v>
      </c>
      <c r="Q167">
        <f>IF(O167&gt;G167,(O167-G167),0)</f>
        <v>0</v>
      </c>
      <c r="R167">
        <v>1</v>
      </c>
      <c r="S167">
        <f>IF(Q167&gt;0,Int(P167/Q167),0)</f>
        <v>0</v>
      </c>
      <c r="T167">
        <f>60743.8</f>
        <v>60743.8</v>
      </c>
      <c r="U167" t="s">
        <v>646</v>
      </c>
      <c r="V167">
        <v>58747.07</v>
      </c>
      <c r="W167" t="s">
        <v>75</v>
      </c>
      <c r="X167"/>
    </row>
    <row r="168" spans="1:27">
      <c r="A168" t="s">
        <v>35</v>
      </c>
      <c r="B168" t="s">
        <v>29</v>
      </c>
      <c r="C168" t="s">
        <v>647</v>
      </c>
      <c r="D168" t="s">
        <v>648</v>
      </c>
      <c r="E168" t="s">
        <v>649</v>
      </c>
      <c r="F168" t="s">
        <v>41</v>
      </c>
      <c r="G168">
        <v>1</v>
      </c>
      <c r="H168">
        <f>((0/1000) * G168)</f>
        <v>0</v>
      </c>
      <c r="I168">
        <v>0</v>
      </c>
      <c r="J168">
        <v>1</v>
      </c>
      <c r="K168" s="647">
        <v>61547</v>
      </c>
      <c r="L168" s="648">
        <f>(K168 * G168)</f>
        <v>61547</v>
      </c>
      <c r="M168" s="649">
        <v>110784.6</v>
      </c>
      <c r="N168" s="650">
        <f>(G168 * M168)</f>
        <v>110784.6</v>
      </c>
      <c r="O168">
        <v>0</v>
      </c>
      <c r="P168">
        <v>0</v>
      </c>
      <c r="Q168">
        <f>IF(O168&gt;G168,(O168-G168),0)</f>
        <v>0</v>
      </c>
      <c r="R168">
        <v>1</v>
      </c>
      <c r="S168">
        <f>IF(Q168&gt;0,Int(P168/Q168),0)</f>
        <v>0</v>
      </c>
      <c r="T168">
        <f>61547</f>
        <v>61547</v>
      </c>
      <c r="U168" t="s">
        <v>650</v>
      </c>
      <c r="V168">
        <v>61547</v>
      </c>
      <c r="W168" t="s">
        <v>651</v>
      </c>
      <c r="X168" t="s">
        <v>418</v>
      </c>
    </row>
    <row r="169" spans="1:27">
      <c r="A169" t="s">
        <v>35</v>
      </c>
      <c r="B169" t="s">
        <v>29</v>
      </c>
      <c r="C169" t="s">
        <v>652</v>
      </c>
      <c r="D169" t="s">
        <v>653</v>
      </c>
      <c r="E169" t="s">
        <v>654</v>
      </c>
      <c r="F169" t="s">
        <v>41</v>
      </c>
      <c r="G169">
        <v>0</v>
      </c>
      <c r="H169">
        <f>((1/1000) * G169)</f>
        <v>0</v>
      </c>
      <c r="I169">
        <v>0</v>
      </c>
      <c r="J169">
        <v>0</v>
      </c>
      <c r="K169" s="651">
        <v>0</v>
      </c>
      <c r="L169" s="652">
        <f>(K169 * G169)</f>
        <v>0</v>
      </c>
      <c r="M169" s="653">
        <v>0</v>
      </c>
      <c r="N169" s="654">
        <f>(G169 * M169)</f>
        <v>0</v>
      </c>
      <c r="O169">
        <v>0</v>
      </c>
      <c r="P169">
        <v>0</v>
      </c>
      <c r="Q169">
        <f>IF(O169&gt;G169,(O169-G169),0)</f>
        <v>0</v>
      </c>
      <c r="R169">
        <v>0</v>
      </c>
      <c r="S169">
        <f>IF(Q169&gt;0,Int(P169/Q169),0)</f>
        <v>0</v>
      </c>
      <c r="T169">
        <f>0</f>
        <v>0</v>
      </c>
      <c r="U169"/>
      <c r="V169">
        <v>0</v>
      </c>
      <c r="W169">
        <v>0</v>
      </c>
      <c r="X169"/>
    </row>
    <row r="170" spans="1:27">
      <c r="A170" t="s">
        <v>35</v>
      </c>
      <c r="B170" t="s">
        <v>29</v>
      </c>
      <c r="C170" t="s">
        <v>655</v>
      </c>
      <c r="D170" t="s">
        <v>656</v>
      </c>
      <c r="E170" t="s">
        <v>657</v>
      </c>
      <c r="F170" t="s">
        <v>33</v>
      </c>
      <c r="G170">
        <v>0</v>
      </c>
      <c r="H170">
        <f>((0/1000) * G170)</f>
        <v>0</v>
      </c>
      <c r="I170">
        <v>0</v>
      </c>
      <c r="J170">
        <v>0</v>
      </c>
      <c r="K170" s="655">
        <v>97783.75</v>
      </c>
      <c r="L170" s="656">
        <f>(K170 * G170)</f>
        <v>0</v>
      </c>
      <c r="M170" s="657">
        <v>136897.25</v>
      </c>
      <c r="N170" s="658">
        <f>(G170 * M170)</f>
        <v>0</v>
      </c>
      <c r="O170">
        <v>0</v>
      </c>
      <c r="P170">
        <v>0</v>
      </c>
      <c r="Q170">
        <f>IF(O170&gt;G170,(O170-G170),0)</f>
        <v>0</v>
      </c>
      <c r="R170">
        <v>0</v>
      </c>
      <c r="S170">
        <f>IF(Q170&gt;0,Int(P170/Q170),0)</f>
        <v>0</v>
      </c>
      <c r="T170">
        <f>97783.75</f>
        <v>97783.75</v>
      </c>
      <c r="U170" t="s">
        <v>658</v>
      </c>
      <c r="V170">
        <v>97783.75</v>
      </c>
      <c r="W170" t="s">
        <v>75</v>
      </c>
      <c r="X170"/>
    </row>
    <row r="171" spans="1:27">
      <c r="A171" t="s">
        <v>35</v>
      </c>
      <c r="B171" t="s">
        <v>29</v>
      </c>
      <c r="C171" t="s">
        <v>659</v>
      </c>
      <c r="D171" t="s">
        <v>660</v>
      </c>
      <c r="E171" t="s">
        <v>661</v>
      </c>
      <c r="F171" t="s">
        <v>41</v>
      </c>
      <c r="G171">
        <v>0</v>
      </c>
      <c r="H171">
        <f>((0/1000) * G171)</f>
        <v>0</v>
      </c>
      <c r="I171">
        <v>0</v>
      </c>
      <c r="J171">
        <v>0</v>
      </c>
      <c r="K171" s="659">
        <v>145110</v>
      </c>
      <c r="L171" s="660">
        <f>(K171 * G171)</f>
        <v>0</v>
      </c>
      <c r="M171" s="661">
        <v>145110</v>
      </c>
      <c r="N171" s="662">
        <f>(G171 * M171)</f>
        <v>0</v>
      </c>
      <c r="O171">
        <v>0</v>
      </c>
      <c r="P171">
        <v>0</v>
      </c>
      <c r="Q171">
        <f>IF(O171&gt;G171,(O171-G171),0)</f>
        <v>0</v>
      </c>
      <c r="R171">
        <v>1</v>
      </c>
      <c r="S171">
        <f>IF(Q171&gt;0,Int(P171/Q171),0)</f>
        <v>0</v>
      </c>
      <c r="T171">
        <f>88000</f>
        <v>88000</v>
      </c>
      <c r="U171" t="s">
        <v>662</v>
      </c>
      <c r="V171">
        <v>145110</v>
      </c>
      <c r="W171" t="s">
        <v>43</v>
      </c>
      <c r="X171"/>
    </row>
    <row r="172" spans="1:27">
      <c r="A172" t="s">
        <v>35</v>
      </c>
      <c r="B172" t="s">
        <v>29</v>
      </c>
      <c r="C172" t="s">
        <v>663</v>
      </c>
      <c r="D172" t="s">
        <v>664</v>
      </c>
      <c r="E172" t="s">
        <v>665</v>
      </c>
      <c r="F172" t="s">
        <v>41</v>
      </c>
      <c r="G172">
        <v>0</v>
      </c>
      <c r="H172">
        <f>((0/1000) * G172)</f>
        <v>0</v>
      </c>
      <c r="I172">
        <v>0</v>
      </c>
      <c r="J172">
        <v>0</v>
      </c>
      <c r="K172" s="663">
        <v>96363.64</v>
      </c>
      <c r="L172" s="664">
        <f>(K172 * G172)</f>
        <v>0</v>
      </c>
      <c r="M172" s="665">
        <v>106000</v>
      </c>
      <c r="N172" s="666">
        <f>(G172 * M172)</f>
        <v>0</v>
      </c>
      <c r="O172">
        <v>0</v>
      </c>
      <c r="P172">
        <v>0</v>
      </c>
      <c r="Q172">
        <f>IF(O172&gt;G172,(O172-G172),0)</f>
        <v>0</v>
      </c>
      <c r="R172">
        <v>1</v>
      </c>
      <c r="S172">
        <f>IF(Q172&gt;0,Int(P172/Q172),0)</f>
        <v>0</v>
      </c>
      <c r="T172">
        <f>93238.17</f>
        <v>93238.17</v>
      </c>
      <c r="U172" t="s">
        <v>666</v>
      </c>
      <c r="V172">
        <v>96363.64</v>
      </c>
      <c r="W172" t="s">
        <v>43</v>
      </c>
      <c r="X172"/>
    </row>
    <row r="173" spans="1:27">
      <c r="A173" t="s">
        <v>35</v>
      </c>
      <c r="B173" t="s">
        <v>29</v>
      </c>
      <c r="C173" t="s">
        <v>667</v>
      </c>
      <c r="D173" t="s">
        <v>668</v>
      </c>
      <c r="E173" t="s">
        <v>669</v>
      </c>
      <c r="F173" t="s">
        <v>41</v>
      </c>
      <c r="G173">
        <v>0</v>
      </c>
      <c r="H173">
        <f>((0/1000) * G173)</f>
        <v>0</v>
      </c>
      <c r="I173">
        <v>0</v>
      </c>
      <c r="J173">
        <v>0</v>
      </c>
      <c r="K173" s="667">
        <v>53066</v>
      </c>
      <c r="L173" s="668">
        <f>(K173 * G173)</f>
        <v>0</v>
      </c>
      <c r="M173" s="669">
        <v>95518.8</v>
      </c>
      <c r="N173" s="670">
        <f>(G173 * M173)</f>
        <v>0</v>
      </c>
      <c r="O173">
        <v>0</v>
      </c>
      <c r="P173">
        <v>0</v>
      </c>
      <c r="Q173">
        <f>IF(O173&gt;G173,(O173-G173),0)</f>
        <v>0</v>
      </c>
      <c r="R173">
        <v>1</v>
      </c>
      <c r="S173">
        <f>IF(Q173&gt;0,Int(P173/Q173),0)</f>
        <v>0</v>
      </c>
      <c r="T173">
        <f>53066</f>
        <v>53066</v>
      </c>
      <c r="U173" t="s">
        <v>670</v>
      </c>
      <c r="V173">
        <v>53066</v>
      </c>
      <c r="W173" t="s">
        <v>197</v>
      </c>
      <c r="X173" t="s">
        <v>671</v>
      </c>
    </row>
    <row r="174" spans="1:27">
      <c r="A174" t="s">
        <v>35</v>
      </c>
      <c r="B174" t="s">
        <v>29</v>
      </c>
      <c r="C174" t="s">
        <v>672</v>
      </c>
      <c r="D174" t="s">
        <v>673</v>
      </c>
      <c r="E174" t="s">
        <v>674</v>
      </c>
      <c r="F174" t="s">
        <v>33</v>
      </c>
      <c r="G174">
        <v>0</v>
      </c>
      <c r="H174">
        <f>((0/1000) * G174)</f>
        <v>0</v>
      </c>
      <c r="I174">
        <v>0</v>
      </c>
      <c r="J174">
        <v>0</v>
      </c>
      <c r="K174" s="671">
        <v>66000</v>
      </c>
      <c r="L174" s="672">
        <f>(K174 * G174)</f>
        <v>0</v>
      </c>
      <c r="M174" s="673">
        <v>72600</v>
      </c>
      <c r="N174" s="674">
        <f>(G174 * M174)</f>
        <v>0</v>
      </c>
      <c r="O174">
        <v>0</v>
      </c>
      <c r="P174">
        <v>0</v>
      </c>
      <c r="Q174">
        <f>IF(O174&gt;G174,(O174-G174),0)</f>
        <v>0</v>
      </c>
      <c r="R174">
        <v>1</v>
      </c>
      <c r="S174">
        <f>IF(Q174&gt;0,Int(P174/Q174),0)</f>
        <v>0</v>
      </c>
      <c r="T174">
        <f>0</f>
        <v>0</v>
      </c>
      <c r="U174"/>
      <c r="V174">
        <v>66000</v>
      </c>
      <c r="W174" t="s">
        <v>43</v>
      </c>
      <c r="X174"/>
    </row>
    <row r="175" spans="1:27">
      <c r="A175" t="s">
        <v>35</v>
      </c>
      <c r="B175" t="s">
        <v>29</v>
      </c>
      <c r="C175" t="s">
        <v>675</v>
      </c>
      <c r="D175" t="s">
        <v>676</v>
      </c>
      <c r="E175" t="s">
        <v>677</v>
      </c>
      <c r="F175" t="s">
        <v>33</v>
      </c>
      <c r="G175">
        <v>0</v>
      </c>
      <c r="H175">
        <f>((0/1000) * G175)</f>
        <v>0</v>
      </c>
      <c r="I175">
        <v>0</v>
      </c>
      <c r="J175">
        <v>0</v>
      </c>
      <c r="K175" s="675">
        <v>97783.68</v>
      </c>
      <c r="L175" s="676">
        <f>(K175 * G175)</f>
        <v>0</v>
      </c>
      <c r="M175" s="677">
        <v>136897.15</v>
      </c>
      <c r="N175" s="678">
        <f>(G175 * M175)</f>
        <v>0</v>
      </c>
      <c r="O175">
        <v>0</v>
      </c>
      <c r="P175">
        <v>0</v>
      </c>
      <c r="Q175">
        <f>IF(O175&gt;G175,(O175-G175),0)</f>
        <v>0</v>
      </c>
      <c r="R175">
        <v>1</v>
      </c>
      <c r="S175">
        <f>IF(Q175&gt;0,Int(P175/Q175),0)</f>
        <v>0</v>
      </c>
      <c r="T175">
        <f>97783.68</f>
        <v>97783.68</v>
      </c>
      <c r="U175" t="s">
        <v>678</v>
      </c>
      <c r="V175">
        <v>97783.68</v>
      </c>
      <c r="W175" t="s">
        <v>75</v>
      </c>
      <c r="X175"/>
    </row>
    <row r="176" spans="1:27">
      <c r="A176" t="s">
        <v>35</v>
      </c>
      <c r="B176" t="s">
        <v>29</v>
      </c>
      <c r="C176" t="s">
        <v>679</v>
      </c>
      <c r="D176" t="s">
        <v>680</v>
      </c>
      <c r="E176" t="s">
        <v>681</v>
      </c>
      <c r="F176" t="s">
        <v>33</v>
      </c>
      <c r="G176">
        <v>0</v>
      </c>
      <c r="H176">
        <f>((0/1000) * G176)</f>
        <v>0</v>
      </c>
      <c r="I176">
        <v>0</v>
      </c>
      <c r="J176">
        <v>0</v>
      </c>
      <c r="K176" s="679">
        <v>75978.57</v>
      </c>
      <c r="L176" s="680">
        <f>(K176 * G176)</f>
        <v>0</v>
      </c>
      <c r="M176" s="681">
        <v>106370</v>
      </c>
      <c r="N176" s="682">
        <f>(G176 * M176)</f>
        <v>0</v>
      </c>
      <c r="O176">
        <v>0</v>
      </c>
      <c r="P176">
        <v>0</v>
      </c>
      <c r="Q176">
        <f>IF(O176&gt;G176,(O176-G176),0)</f>
        <v>0</v>
      </c>
      <c r="R176">
        <v>1</v>
      </c>
      <c r="S176">
        <f>IF(Q176&gt;0,Int(P176/Q176),0)</f>
        <v>0</v>
      </c>
      <c r="T176">
        <f>71201.27</f>
        <v>71201.27</v>
      </c>
      <c r="U176" t="s">
        <v>682</v>
      </c>
      <c r="V176">
        <v>75978.57</v>
      </c>
      <c r="W176" t="s">
        <v>301</v>
      </c>
      <c r="X176"/>
    </row>
    <row r="177" spans="1:27">
      <c r="A177" t="s">
        <v>35</v>
      </c>
      <c r="B177" t="s">
        <v>29</v>
      </c>
      <c r="C177" t="s">
        <v>683</v>
      </c>
      <c r="D177" t="s">
        <v>684</v>
      </c>
      <c r="E177" t="s">
        <v>685</v>
      </c>
      <c r="F177" t="s">
        <v>33</v>
      </c>
      <c r="G177">
        <v>0</v>
      </c>
      <c r="H177">
        <f>((0/1000) * G177)</f>
        <v>0</v>
      </c>
      <c r="I177">
        <v>0</v>
      </c>
      <c r="J177">
        <v>0</v>
      </c>
      <c r="K177" s="683">
        <v>115660.81</v>
      </c>
      <c r="L177" s="684">
        <f>(K177 * G177)</f>
        <v>0</v>
      </c>
      <c r="M177" s="685">
        <v>161925.14</v>
      </c>
      <c r="N177" s="686">
        <f>(G177 * M177)</f>
        <v>0</v>
      </c>
      <c r="O177">
        <v>0</v>
      </c>
      <c r="P177">
        <v>0</v>
      </c>
      <c r="Q177">
        <f>IF(O177&gt;G177,(O177-G177),0)</f>
        <v>0</v>
      </c>
      <c r="R177">
        <v>1</v>
      </c>
      <c r="S177">
        <f>IF(Q177&gt;0,Int(P177/Q177),0)</f>
        <v>0</v>
      </c>
      <c r="T177">
        <f>92494.32</f>
        <v>92494.32</v>
      </c>
      <c r="U177" t="s">
        <v>686</v>
      </c>
      <c r="V177">
        <v>115660.81</v>
      </c>
      <c r="W177" t="s">
        <v>182</v>
      </c>
      <c r="X177" t="s">
        <v>687</v>
      </c>
    </row>
    <row r="178" spans="1:27">
      <c r="A178" t="s">
        <v>35</v>
      </c>
      <c r="B178" t="s">
        <v>29</v>
      </c>
      <c r="C178" t="s">
        <v>688</v>
      </c>
      <c r="D178" t="s">
        <v>689</v>
      </c>
      <c r="E178" t="s">
        <v>690</v>
      </c>
      <c r="F178" t="s">
        <v>41</v>
      </c>
      <c r="G178">
        <v>32</v>
      </c>
      <c r="H178">
        <f>((0/1000) * G178)</f>
        <v>0</v>
      </c>
      <c r="I178">
        <v>0</v>
      </c>
      <c r="J178">
        <v>32</v>
      </c>
      <c r="K178" s="687">
        <v>45526</v>
      </c>
      <c r="L178" s="688">
        <f>(K178 * G178)</f>
        <v>1456832</v>
      </c>
      <c r="M178" s="689">
        <v>81946.8</v>
      </c>
      <c r="N178" s="690">
        <f>(G178 * M178)</f>
        <v>2622297.6</v>
      </c>
      <c r="O178">
        <v>0</v>
      </c>
      <c r="P178">
        <v>0</v>
      </c>
      <c r="Q178">
        <f>IF(O178&gt;G178,(O178-G178),0)</f>
        <v>0</v>
      </c>
      <c r="R178">
        <v>1</v>
      </c>
      <c r="S178">
        <f>IF(Q178&gt;0,Int(P178/Q178),0)</f>
        <v>0</v>
      </c>
      <c r="T178">
        <f>45526</f>
        <v>45526</v>
      </c>
      <c r="U178" t="s">
        <v>691</v>
      </c>
      <c r="V178">
        <v>45526</v>
      </c>
      <c r="W178" t="s">
        <v>651</v>
      </c>
      <c r="X178" t="s">
        <v>692</v>
      </c>
    </row>
    <row r="179" spans="1:27">
      <c r="A179" t="s">
        <v>35</v>
      </c>
      <c r="B179" t="s">
        <v>29</v>
      </c>
      <c r="C179" t="s">
        <v>693</v>
      </c>
      <c r="D179" t="s">
        <v>694</v>
      </c>
      <c r="E179" t="s">
        <v>695</v>
      </c>
      <c r="F179" t="s">
        <v>33</v>
      </c>
      <c r="G179">
        <v>0</v>
      </c>
      <c r="H179">
        <f>((0/1000) * G179)</f>
        <v>0</v>
      </c>
      <c r="I179">
        <v>0</v>
      </c>
      <c r="J179">
        <v>0</v>
      </c>
      <c r="K179" s="691">
        <v>77440</v>
      </c>
      <c r="L179" s="692">
        <f>(K179 * G179)</f>
        <v>0</v>
      </c>
      <c r="M179" s="693">
        <v>96800</v>
      </c>
      <c r="N179" s="694">
        <f>(G179 * M179)</f>
        <v>0</v>
      </c>
      <c r="O179">
        <v>0</v>
      </c>
      <c r="P179">
        <v>0</v>
      </c>
      <c r="Q179">
        <f>IF(O179&gt;G179,(O179-G179),0)</f>
        <v>0</v>
      </c>
      <c r="R179">
        <v>1</v>
      </c>
      <c r="S179">
        <f>IF(Q179&gt;0,Int(P179/Q179),0)</f>
        <v>0</v>
      </c>
      <c r="T179">
        <f>59373.55</f>
        <v>59373.55</v>
      </c>
      <c r="U179" t="s">
        <v>489</v>
      </c>
      <c r="V179">
        <v>77440</v>
      </c>
      <c r="W179" t="s">
        <v>279</v>
      </c>
      <c r="X179" t="s">
        <v>81</v>
      </c>
    </row>
    <row r="180" spans="1:27">
      <c r="A180" t="s">
        <v>35</v>
      </c>
      <c r="B180" t="s">
        <v>29</v>
      </c>
      <c r="C180" t="s">
        <v>696</v>
      </c>
      <c r="D180" t="s">
        <v>697</v>
      </c>
      <c r="E180" t="s">
        <v>698</v>
      </c>
      <c r="F180" t="s">
        <v>33</v>
      </c>
      <c r="G180">
        <v>0</v>
      </c>
      <c r="H180">
        <f>((0/1000) * G180)</f>
        <v>0</v>
      </c>
      <c r="I180">
        <v>0</v>
      </c>
      <c r="J180">
        <v>0</v>
      </c>
      <c r="K180" s="695">
        <v>115702.48</v>
      </c>
      <c r="L180" s="696">
        <f>(K180 * G180)</f>
        <v>0</v>
      </c>
      <c r="M180" s="697">
        <v>127272.73</v>
      </c>
      <c r="N180" s="698">
        <f>(G180 * M180)</f>
        <v>0</v>
      </c>
      <c r="O180">
        <v>0</v>
      </c>
      <c r="P180">
        <v>0</v>
      </c>
      <c r="Q180">
        <f>IF(O180&gt;G180,(O180-G180),0)</f>
        <v>0</v>
      </c>
      <c r="R180">
        <v>1</v>
      </c>
      <c r="S180">
        <f>IF(Q180&gt;0,Int(P180/Q180),0)</f>
        <v>0</v>
      </c>
      <c r="T180">
        <f>106461.31</f>
        <v>106461.31</v>
      </c>
      <c r="U180" t="s">
        <v>699</v>
      </c>
      <c r="V180">
        <v>115702.48</v>
      </c>
      <c r="W180" t="s">
        <v>43</v>
      </c>
      <c r="X180"/>
    </row>
    <row r="181" spans="1:27">
      <c r="A181" t="s">
        <v>35</v>
      </c>
      <c r="B181" t="s">
        <v>29</v>
      </c>
      <c r="C181" t="s">
        <v>700</v>
      </c>
      <c r="D181" t="s">
        <v>701</v>
      </c>
      <c r="E181" t="s">
        <v>702</v>
      </c>
      <c r="F181" t="s">
        <v>33</v>
      </c>
      <c r="G181">
        <v>0</v>
      </c>
      <c r="H181">
        <f>((0/1000) * G181)</f>
        <v>0</v>
      </c>
      <c r="I181">
        <v>0</v>
      </c>
      <c r="J181">
        <v>0</v>
      </c>
      <c r="K181" s="699">
        <v>0</v>
      </c>
      <c r="L181" s="700">
        <f>(K181 * G181)</f>
        <v>0</v>
      </c>
      <c r="M181" s="701">
        <v>0</v>
      </c>
      <c r="N181" s="702">
        <f>(G181 * M181)</f>
        <v>0</v>
      </c>
      <c r="O181">
        <v>0</v>
      </c>
      <c r="P181">
        <v>0</v>
      </c>
      <c r="Q181">
        <f>IF(O181&gt;G181,(O181-G181),0)</f>
        <v>0</v>
      </c>
      <c r="R181">
        <v>1</v>
      </c>
      <c r="S181">
        <f>IF(Q181&gt;0,Int(P181/Q181),0)</f>
        <v>0</v>
      </c>
      <c r="T181">
        <f>18500</f>
        <v>18500</v>
      </c>
      <c r="U181" t="s">
        <v>703</v>
      </c>
      <c r="V181">
        <v>0</v>
      </c>
      <c r="W181">
        <v>0</v>
      </c>
      <c r="X181"/>
    </row>
    <row r="182" spans="1:27">
      <c r="A182" t="s">
        <v>35</v>
      </c>
      <c r="B182" t="s">
        <v>29</v>
      </c>
      <c r="C182" t="s">
        <v>704</v>
      </c>
      <c r="D182" t="s">
        <v>704</v>
      </c>
      <c r="E182" t="s">
        <v>705</v>
      </c>
      <c r="F182" t="s">
        <v>33</v>
      </c>
      <c r="G182">
        <v>0</v>
      </c>
      <c r="H182">
        <f>((1/1000) * G182)</f>
        <v>0</v>
      </c>
      <c r="I182">
        <v>0</v>
      </c>
      <c r="J182">
        <v>0</v>
      </c>
      <c r="K182" s="703">
        <v>0</v>
      </c>
      <c r="L182" s="704">
        <f>(K182 * G182)</f>
        <v>0</v>
      </c>
      <c r="M182" s="705">
        <v>0</v>
      </c>
      <c r="N182" s="706">
        <f>(G182 * M182)</f>
        <v>0</v>
      </c>
      <c r="O182">
        <v>0</v>
      </c>
      <c r="P182">
        <v>0</v>
      </c>
      <c r="Q182">
        <f>IF(O182&gt;G182,(O182-G182),0)</f>
        <v>0</v>
      </c>
      <c r="R182">
        <v>1</v>
      </c>
      <c r="S182">
        <f>IF(Q182&gt;0,Int(P182/Q182),0)</f>
        <v>0</v>
      </c>
      <c r="T182">
        <f>0</f>
        <v>0</v>
      </c>
      <c r="U182"/>
      <c r="V182">
        <v>0</v>
      </c>
      <c r="W182">
        <v>0</v>
      </c>
      <c r="X182"/>
    </row>
    <row r="183" spans="1:27">
      <c r="A183" t="s">
        <v>35</v>
      </c>
      <c r="B183" t="s">
        <v>29</v>
      </c>
      <c r="C183" t="s">
        <v>706</v>
      </c>
      <c r="D183" t="s">
        <v>706</v>
      </c>
      <c r="E183" t="s">
        <v>707</v>
      </c>
      <c r="F183" t="s">
        <v>33</v>
      </c>
      <c r="G183">
        <v>0</v>
      </c>
      <c r="H183">
        <f>((1/1000) * G183)</f>
        <v>0</v>
      </c>
      <c r="I183">
        <v>0</v>
      </c>
      <c r="J183">
        <v>0</v>
      </c>
      <c r="K183" s="707">
        <v>0</v>
      </c>
      <c r="L183" s="708">
        <f>(K183 * G183)</f>
        <v>0</v>
      </c>
      <c r="M183" s="709">
        <v>0</v>
      </c>
      <c r="N183" s="710">
        <f>(G183 * M183)</f>
        <v>0</v>
      </c>
      <c r="O183">
        <v>0</v>
      </c>
      <c r="P183">
        <v>0</v>
      </c>
      <c r="Q183">
        <f>IF(O183&gt;G183,(O183-G183),0)</f>
        <v>0</v>
      </c>
      <c r="R183">
        <v>1</v>
      </c>
      <c r="S183">
        <f>IF(Q183&gt;0,Int(P183/Q183),0)</f>
        <v>0</v>
      </c>
      <c r="T183">
        <f>0</f>
        <v>0</v>
      </c>
      <c r="U183"/>
      <c r="V183">
        <v>0</v>
      </c>
      <c r="W183">
        <v>0</v>
      </c>
      <c r="X183"/>
    </row>
    <row r="184" spans="1:27">
      <c r="A184" t="s">
        <v>35</v>
      </c>
      <c r="B184" t="s">
        <v>29</v>
      </c>
      <c r="C184" t="s">
        <v>708</v>
      </c>
      <c r="D184" t="s">
        <v>709</v>
      </c>
      <c r="E184" t="s">
        <v>710</v>
      </c>
      <c r="F184" t="s">
        <v>41</v>
      </c>
      <c r="G184">
        <v>0</v>
      </c>
      <c r="H184">
        <f>((1/1000) * G184)</f>
        <v>0</v>
      </c>
      <c r="I184">
        <v>0</v>
      </c>
      <c r="J184">
        <v>0</v>
      </c>
      <c r="K184" s="711">
        <v>109691.81</v>
      </c>
      <c r="L184" s="712">
        <f>(K184 * G184)</f>
        <v>0</v>
      </c>
      <c r="M184" s="713">
        <v>109691.81</v>
      </c>
      <c r="N184" s="714">
        <f>(G184 * M184)</f>
        <v>0</v>
      </c>
      <c r="O184">
        <v>0</v>
      </c>
      <c r="P184">
        <v>0</v>
      </c>
      <c r="Q184">
        <f>IF(O184&gt;G184,(O184-G184),0)</f>
        <v>0</v>
      </c>
      <c r="R184">
        <v>1</v>
      </c>
      <c r="S184">
        <f>IF(Q184&gt;0,Int(P184/Q184),0)</f>
        <v>0</v>
      </c>
      <c r="T184">
        <f>99719.83</f>
        <v>99719.83</v>
      </c>
      <c r="U184" t="s">
        <v>711</v>
      </c>
      <c r="V184">
        <v>109691.81</v>
      </c>
      <c r="W184" t="s">
        <v>43</v>
      </c>
      <c r="X184" t="s">
        <v>374</v>
      </c>
    </row>
    <row r="185" spans="1:27">
      <c r="A185" t="s">
        <v>35</v>
      </c>
      <c r="B185" t="s">
        <v>29</v>
      </c>
      <c r="C185" t="s">
        <v>712</v>
      </c>
      <c r="D185" t="s">
        <v>713</v>
      </c>
      <c r="E185" t="s">
        <v>714</v>
      </c>
      <c r="F185" t="s">
        <v>41</v>
      </c>
      <c r="G185">
        <v>0</v>
      </c>
      <c r="H185">
        <f>((0/1000) * G185)</f>
        <v>0</v>
      </c>
      <c r="I185">
        <v>0</v>
      </c>
      <c r="J185">
        <v>0</v>
      </c>
      <c r="K185" s="715">
        <v>90909.09</v>
      </c>
      <c r="L185" s="716">
        <f>(K185 * G185)</f>
        <v>0</v>
      </c>
      <c r="M185" s="717">
        <v>100000</v>
      </c>
      <c r="N185" s="718">
        <f>(G185 * M185)</f>
        <v>0</v>
      </c>
      <c r="O185">
        <v>0</v>
      </c>
      <c r="P185">
        <v>0</v>
      </c>
      <c r="Q185">
        <f>IF(O185&gt;G185,(O185-G185),0)</f>
        <v>0</v>
      </c>
      <c r="R185">
        <v>1</v>
      </c>
      <c r="S185">
        <f>IF(Q185&gt;0,Int(P185/Q185),0)</f>
        <v>0</v>
      </c>
      <c r="T185">
        <f>0</f>
        <v>0</v>
      </c>
      <c r="U185"/>
      <c r="V185">
        <v>90909.09</v>
      </c>
      <c r="W185" t="s">
        <v>43</v>
      </c>
      <c r="X185" t="s">
        <v>374</v>
      </c>
    </row>
    <row r="186" spans="1:27">
      <c r="A186" t="s">
        <v>35</v>
      </c>
      <c r="B186" t="s">
        <v>29</v>
      </c>
      <c r="C186" t="s">
        <v>715</v>
      </c>
      <c r="D186" t="s">
        <v>716</v>
      </c>
      <c r="E186" t="s">
        <v>717</v>
      </c>
      <c r="F186" t="s">
        <v>41</v>
      </c>
      <c r="G186">
        <v>0</v>
      </c>
      <c r="H186">
        <f>((1/1000) * G186)</f>
        <v>0</v>
      </c>
      <c r="I186">
        <v>0</v>
      </c>
      <c r="J186">
        <v>0</v>
      </c>
      <c r="K186" s="719">
        <v>0</v>
      </c>
      <c r="L186" s="720">
        <f>(K186 * G186)</f>
        <v>0</v>
      </c>
      <c r="M186" s="721">
        <v>0</v>
      </c>
      <c r="N186" s="722">
        <f>(G186 * M186)</f>
        <v>0</v>
      </c>
      <c r="O186">
        <v>0</v>
      </c>
      <c r="P186">
        <v>0</v>
      </c>
      <c r="Q186">
        <f>IF(O186&gt;G186,(O186-G186),0)</f>
        <v>0</v>
      </c>
      <c r="R186">
        <v>0</v>
      </c>
      <c r="S186">
        <f>IF(Q186&gt;0,Int(P186/Q186),0)</f>
        <v>0</v>
      </c>
      <c r="T186">
        <f>0</f>
        <v>0</v>
      </c>
      <c r="U186"/>
      <c r="V186">
        <v>0</v>
      </c>
      <c r="W186">
        <v>0</v>
      </c>
      <c r="X186"/>
    </row>
    <row r="187" spans="1:27">
      <c r="A187" t="s">
        <v>35</v>
      </c>
      <c r="B187" t="s">
        <v>29</v>
      </c>
      <c r="C187" t="s">
        <v>718</v>
      </c>
      <c r="D187" t="s">
        <v>719</v>
      </c>
      <c r="E187" t="s">
        <v>720</v>
      </c>
      <c r="F187" t="s">
        <v>41</v>
      </c>
      <c r="G187">
        <v>0</v>
      </c>
      <c r="H187">
        <f>((0/1000) * G187)</f>
        <v>0</v>
      </c>
      <c r="I187">
        <v>0</v>
      </c>
      <c r="J187">
        <v>0</v>
      </c>
      <c r="K187" s="723">
        <v>82644.63</v>
      </c>
      <c r="L187" s="724">
        <f>(K187 * G187)</f>
        <v>0</v>
      </c>
      <c r="M187" s="725">
        <v>90909.09</v>
      </c>
      <c r="N187" s="726">
        <f>(G187 * M187)</f>
        <v>0</v>
      </c>
      <c r="O187">
        <v>0</v>
      </c>
      <c r="P187">
        <v>0</v>
      </c>
      <c r="Q187">
        <f>IF(O187&gt;G187,(O187-G187),0)</f>
        <v>0</v>
      </c>
      <c r="R187">
        <v>1</v>
      </c>
      <c r="S187">
        <f>IF(Q187&gt;0,Int(P187/Q187),0)</f>
        <v>0</v>
      </c>
      <c r="T187">
        <f>85950.41</f>
        <v>85950.41</v>
      </c>
      <c r="U187" t="s">
        <v>721</v>
      </c>
      <c r="V187">
        <v>82644.63</v>
      </c>
      <c r="W187" t="s">
        <v>43</v>
      </c>
      <c r="X187"/>
    </row>
    <row r="188" spans="1:27">
      <c r="A188" t="s">
        <v>35</v>
      </c>
      <c r="B188" t="s">
        <v>29</v>
      </c>
      <c r="C188" t="s">
        <v>722</v>
      </c>
      <c r="D188" t="s">
        <v>723</v>
      </c>
      <c r="E188" t="s">
        <v>724</v>
      </c>
      <c r="F188" t="s">
        <v>41</v>
      </c>
      <c r="G188">
        <v>1</v>
      </c>
      <c r="H188">
        <f>((0/1000) * G188)</f>
        <v>0</v>
      </c>
      <c r="I188">
        <v>0</v>
      </c>
      <c r="J188">
        <v>1</v>
      </c>
      <c r="K188" s="727">
        <v>47107</v>
      </c>
      <c r="L188" s="728">
        <f>(K188 * G188)</f>
        <v>47107</v>
      </c>
      <c r="M188" s="729">
        <v>75619.83</v>
      </c>
      <c r="N188" s="730">
        <f>(G188 * M188)</f>
        <v>75619.83</v>
      </c>
      <c r="O188">
        <v>0</v>
      </c>
      <c r="P188">
        <v>0</v>
      </c>
      <c r="Q188">
        <f>IF(O188&gt;G188,(O188-G188),0)</f>
        <v>0</v>
      </c>
      <c r="R188">
        <v>1</v>
      </c>
      <c r="S188">
        <f>IF(Q188&gt;0,Int(P188/Q188),0)</f>
        <v>0</v>
      </c>
      <c r="T188">
        <f>47107</f>
        <v>47107</v>
      </c>
      <c r="U188" t="s">
        <v>322</v>
      </c>
      <c r="V188">
        <v>47107</v>
      </c>
      <c r="W188" t="s">
        <v>97</v>
      </c>
      <c r="X188" t="s">
        <v>280</v>
      </c>
    </row>
    <row r="189" spans="1:27">
      <c r="A189" t="s">
        <v>35</v>
      </c>
      <c r="B189" t="s">
        <v>29</v>
      </c>
      <c r="C189" t="s">
        <v>725</v>
      </c>
      <c r="D189" t="s">
        <v>726</v>
      </c>
      <c r="E189" t="s">
        <v>727</v>
      </c>
      <c r="F189" t="s">
        <v>33</v>
      </c>
      <c r="G189">
        <v>0</v>
      </c>
      <c r="H189">
        <f>((0/1000) * G189)</f>
        <v>0</v>
      </c>
      <c r="I189">
        <v>0</v>
      </c>
      <c r="J189">
        <v>0</v>
      </c>
      <c r="K189" s="731">
        <v>48455</v>
      </c>
      <c r="L189" s="732">
        <f>(K189 * G189)</f>
        <v>0</v>
      </c>
      <c r="M189" s="733">
        <v>72682.5</v>
      </c>
      <c r="N189" s="734">
        <f>(G189 * M189)</f>
        <v>0</v>
      </c>
      <c r="O189">
        <v>0</v>
      </c>
      <c r="P189">
        <v>0</v>
      </c>
      <c r="Q189">
        <f>IF(O189&gt;G189,(O189-G189),0)</f>
        <v>0</v>
      </c>
      <c r="R189">
        <v>1</v>
      </c>
      <c r="S189">
        <f>IF(Q189&gt;0,Int(P189/Q189),0)</f>
        <v>0</v>
      </c>
      <c r="T189">
        <f>44050</f>
        <v>44050</v>
      </c>
      <c r="U189" t="s">
        <v>728</v>
      </c>
      <c r="V189">
        <v>48455</v>
      </c>
      <c r="W189" t="s">
        <v>43</v>
      </c>
      <c r="X189"/>
    </row>
    <row r="190" spans="1:27">
      <c r="A190" t="s">
        <v>35</v>
      </c>
      <c r="B190" t="s">
        <v>29</v>
      </c>
      <c r="C190" t="s">
        <v>729</v>
      </c>
      <c r="D190" t="s">
        <v>729</v>
      </c>
      <c r="E190" t="s">
        <v>730</v>
      </c>
      <c r="F190" t="s">
        <v>33</v>
      </c>
      <c r="G190">
        <v>0</v>
      </c>
      <c r="H190">
        <f>((0/1000) * G190)</f>
        <v>0</v>
      </c>
      <c r="I190">
        <v>0</v>
      </c>
      <c r="J190">
        <v>0</v>
      </c>
      <c r="K190" s="735">
        <v>61818.19</v>
      </c>
      <c r="L190" s="736">
        <f>(K190 * G190)</f>
        <v>0</v>
      </c>
      <c r="M190" s="737">
        <v>86545.46</v>
      </c>
      <c r="N190" s="738">
        <f>(G190 * M190)</f>
        <v>0</v>
      </c>
      <c r="O190">
        <v>0</v>
      </c>
      <c r="P190">
        <v>0</v>
      </c>
      <c r="Q190">
        <f>IF(O190&gt;G190,(O190-G190),0)</f>
        <v>0</v>
      </c>
      <c r="R190">
        <v>1</v>
      </c>
      <c r="S190">
        <f>IF(Q190&gt;0,Int(P190/Q190),0)</f>
        <v>0</v>
      </c>
      <c r="T190">
        <f>0</f>
        <v>0</v>
      </c>
      <c r="U190"/>
      <c r="V190">
        <v>61818.19</v>
      </c>
      <c r="W190" t="s">
        <v>75</v>
      </c>
      <c r="X190"/>
    </row>
    <row r="191" spans="1:27">
      <c r="A191" t="s">
        <v>35</v>
      </c>
      <c r="B191" t="s">
        <v>29</v>
      </c>
      <c r="C191" t="s">
        <v>731</v>
      </c>
      <c r="D191" t="s">
        <v>732</v>
      </c>
      <c r="E191" t="s">
        <v>730</v>
      </c>
      <c r="F191" t="s">
        <v>33</v>
      </c>
      <c r="G191">
        <v>0</v>
      </c>
      <c r="H191">
        <f>((0/1000) * G191)</f>
        <v>0</v>
      </c>
      <c r="I191">
        <v>0</v>
      </c>
      <c r="J191">
        <v>0</v>
      </c>
      <c r="K191" s="739">
        <v>61718.17</v>
      </c>
      <c r="L191" s="740">
        <f>(K191 * G191)</f>
        <v>0</v>
      </c>
      <c r="M191" s="741">
        <v>86405.44</v>
      </c>
      <c r="N191" s="742">
        <f>(G191 * M191)</f>
        <v>0</v>
      </c>
      <c r="O191">
        <v>0</v>
      </c>
      <c r="P191">
        <v>0</v>
      </c>
      <c r="Q191">
        <f>IF(O191&gt;G191,(O191-G191),0)</f>
        <v>0</v>
      </c>
      <c r="R191">
        <v>1</v>
      </c>
      <c r="S191">
        <f>IF(Q191&gt;0,Int(P191/Q191),0)</f>
        <v>0</v>
      </c>
      <c r="T191">
        <f>49530</f>
        <v>49530</v>
      </c>
      <c r="U191" t="s">
        <v>733</v>
      </c>
      <c r="V191">
        <v>61718.17</v>
      </c>
      <c r="W191" t="s">
        <v>75</v>
      </c>
      <c r="X191"/>
    </row>
    <row r="192" spans="1:27">
      <c r="A192" t="s">
        <v>35</v>
      </c>
      <c r="B192" t="s">
        <v>29</v>
      </c>
      <c r="C192" t="s">
        <v>734</v>
      </c>
      <c r="D192" t="s">
        <v>735</v>
      </c>
      <c r="E192" t="s">
        <v>736</v>
      </c>
      <c r="F192" t="s">
        <v>33</v>
      </c>
      <c r="G192">
        <v>0</v>
      </c>
      <c r="H192">
        <f>((0/1000) * G192)</f>
        <v>0</v>
      </c>
      <c r="I192">
        <v>0</v>
      </c>
      <c r="J192">
        <v>0</v>
      </c>
      <c r="K192" s="743">
        <v>75206.6</v>
      </c>
      <c r="L192" s="744">
        <f>(K192 * G192)</f>
        <v>0</v>
      </c>
      <c r="M192" s="745">
        <v>105289.24</v>
      </c>
      <c r="N192" s="746">
        <f>(G192 * M192)</f>
        <v>0</v>
      </c>
      <c r="O192">
        <v>0</v>
      </c>
      <c r="P192">
        <v>0</v>
      </c>
      <c r="Q192">
        <f>IF(O192&gt;G192,(O192-G192),0)</f>
        <v>0</v>
      </c>
      <c r="R192">
        <v>1</v>
      </c>
      <c r="S192">
        <f>IF(Q192&gt;0,Int(P192/Q192),0)</f>
        <v>0</v>
      </c>
      <c r="T192">
        <f>26821.94</f>
        <v>26821.94</v>
      </c>
      <c r="U192" t="s">
        <v>737</v>
      </c>
      <c r="V192">
        <v>75206.6</v>
      </c>
      <c r="W192" t="s">
        <v>75</v>
      </c>
      <c r="X192"/>
    </row>
    <row r="193" spans="1:27">
      <c r="A193" t="s">
        <v>35</v>
      </c>
      <c r="B193" t="s">
        <v>29</v>
      </c>
      <c r="C193" t="s">
        <v>738</v>
      </c>
      <c r="D193" t="s">
        <v>739</v>
      </c>
      <c r="E193" t="s">
        <v>740</v>
      </c>
      <c r="F193" t="s">
        <v>33</v>
      </c>
      <c r="G193">
        <v>0</v>
      </c>
      <c r="H193">
        <f>((0/1000) * G193)</f>
        <v>0</v>
      </c>
      <c r="I193">
        <v>0</v>
      </c>
      <c r="J193">
        <v>0</v>
      </c>
      <c r="K193" s="747">
        <v>79985.71</v>
      </c>
      <c r="L193" s="748">
        <f>(K193 * G193)</f>
        <v>0</v>
      </c>
      <c r="M193" s="749">
        <v>111980</v>
      </c>
      <c r="N193" s="750">
        <f>(G193 * M193)</f>
        <v>0</v>
      </c>
      <c r="O193">
        <v>0</v>
      </c>
      <c r="P193">
        <v>0</v>
      </c>
      <c r="Q193">
        <f>IF(O193&gt;G193,(O193-G193),0)</f>
        <v>0</v>
      </c>
      <c r="R193">
        <v>1</v>
      </c>
      <c r="S193">
        <f>IF(Q193&gt;0,Int(P193/Q193),0)</f>
        <v>0</v>
      </c>
      <c r="T193">
        <f>0</f>
        <v>0</v>
      </c>
      <c r="U193"/>
      <c r="V193">
        <v>79985.71</v>
      </c>
      <c r="W193" t="s">
        <v>301</v>
      </c>
      <c r="X193"/>
    </row>
    <row r="194" spans="1:27">
      <c r="A194" t="s">
        <v>35</v>
      </c>
      <c r="B194" t="s">
        <v>29</v>
      </c>
      <c r="C194" t="s">
        <v>741</v>
      </c>
      <c r="D194" t="s">
        <v>742</v>
      </c>
      <c r="E194" t="s">
        <v>743</v>
      </c>
      <c r="F194" t="s">
        <v>41</v>
      </c>
      <c r="G194">
        <v>0</v>
      </c>
      <c r="H194">
        <f>((0/1000) * G194)</f>
        <v>0</v>
      </c>
      <c r="I194">
        <v>0</v>
      </c>
      <c r="J194">
        <v>0</v>
      </c>
      <c r="K194" s="751">
        <v>89256.2</v>
      </c>
      <c r="L194" s="752">
        <f>(K194 * G194)</f>
        <v>0</v>
      </c>
      <c r="M194" s="753">
        <v>98181.82</v>
      </c>
      <c r="N194" s="754">
        <f>(G194 * M194)</f>
        <v>0</v>
      </c>
      <c r="O194">
        <v>0</v>
      </c>
      <c r="P194">
        <v>0</v>
      </c>
      <c r="Q194">
        <f>IF(O194&gt;G194,(O194-G194),0)</f>
        <v>0</v>
      </c>
      <c r="R194">
        <v>1</v>
      </c>
      <c r="S194">
        <f>IF(Q194&gt;0,Int(P194/Q194),0)</f>
        <v>0</v>
      </c>
      <c r="T194">
        <f>81142</f>
        <v>81142</v>
      </c>
      <c r="U194" t="s">
        <v>744</v>
      </c>
      <c r="V194">
        <v>89256.2</v>
      </c>
      <c r="W194" t="s">
        <v>43</v>
      </c>
      <c r="X194"/>
    </row>
    <row r="195" spans="1:27">
      <c r="A195" t="s">
        <v>35</v>
      </c>
      <c r="B195" t="s">
        <v>29</v>
      </c>
      <c r="C195" t="s">
        <v>745</v>
      </c>
      <c r="D195" t="s">
        <v>746</v>
      </c>
      <c r="E195" t="s">
        <v>747</v>
      </c>
      <c r="F195" t="s">
        <v>33</v>
      </c>
      <c r="G195">
        <v>0</v>
      </c>
      <c r="H195">
        <f>((0/1000) * G195)</f>
        <v>0</v>
      </c>
      <c r="I195">
        <v>0</v>
      </c>
      <c r="J195">
        <v>0</v>
      </c>
      <c r="K195" s="755">
        <v>87685.95</v>
      </c>
      <c r="L195" s="756">
        <f>(K195 * G195)</f>
        <v>0</v>
      </c>
      <c r="M195" s="757">
        <v>96454.55</v>
      </c>
      <c r="N195" s="758">
        <f>(G195 * M195)</f>
        <v>0</v>
      </c>
      <c r="O195">
        <v>0</v>
      </c>
      <c r="P195">
        <v>0</v>
      </c>
      <c r="Q195">
        <f>IF(O195&gt;G195,(O195-G195),0)</f>
        <v>0</v>
      </c>
      <c r="R195">
        <v>1</v>
      </c>
      <c r="S195">
        <f>IF(Q195&gt;0,Int(P195/Q195),0)</f>
        <v>0</v>
      </c>
      <c r="T195">
        <f>0</f>
        <v>0</v>
      </c>
      <c r="U195" t="s">
        <v>748</v>
      </c>
      <c r="V195">
        <v>87685.95</v>
      </c>
      <c r="W195" t="s">
        <v>43</v>
      </c>
      <c r="X195"/>
    </row>
    <row r="196" spans="1:27">
      <c r="A196" t="s">
        <v>35</v>
      </c>
      <c r="B196" t="s">
        <v>29</v>
      </c>
      <c r="C196" t="s">
        <v>749</v>
      </c>
      <c r="D196" t="s">
        <v>750</v>
      </c>
      <c r="E196" t="s">
        <v>751</v>
      </c>
      <c r="F196" t="s">
        <v>41</v>
      </c>
      <c r="G196">
        <v>10</v>
      </c>
      <c r="H196">
        <f>((0/1000) * G196)</f>
        <v>0</v>
      </c>
      <c r="I196">
        <v>0</v>
      </c>
      <c r="J196">
        <v>10</v>
      </c>
      <c r="K196" s="759">
        <v>52074</v>
      </c>
      <c r="L196" s="760">
        <f>(K196 * G196)</f>
        <v>520740</v>
      </c>
      <c r="M196" s="761">
        <v>93733.2</v>
      </c>
      <c r="N196" s="762">
        <f>(G196 * M196)</f>
        <v>937332</v>
      </c>
      <c r="O196">
        <v>0</v>
      </c>
      <c r="P196">
        <v>0</v>
      </c>
      <c r="Q196">
        <f>IF(O196&gt;G196,(O196-G196),0)</f>
        <v>0</v>
      </c>
      <c r="R196">
        <v>1</v>
      </c>
      <c r="S196">
        <f>IF(Q196&gt;0,Int(P196/Q196),0)</f>
        <v>0</v>
      </c>
      <c r="T196">
        <f>52074</f>
        <v>52074</v>
      </c>
      <c r="U196" t="s">
        <v>752</v>
      </c>
      <c r="V196">
        <v>52074</v>
      </c>
      <c r="W196" t="s">
        <v>197</v>
      </c>
      <c r="X196" t="s">
        <v>753</v>
      </c>
    </row>
    <row r="197" spans="1:27">
      <c r="A197" t="s">
        <v>35</v>
      </c>
      <c r="B197" t="s">
        <v>29</v>
      </c>
      <c r="C197" t="s">
        <v>754</v>
      </c>
      <c r="D197" t="s">
        <v>755</v>
      </c>
      <c r="E197" t="s">
        <v>756</v>
      </c>
      <c r="F197" t="s">
        <v>33</v>
      </c>
      <c r="G197">
        <v>0</v>
      </c>
      <c r="H197">
        <f>((0/1000) * G197)</f>
        <v>0</v>
      </c>
      <c r="I197">
        <v>0</v>
      </c>
      <c r="J197">
        <v>0</v>
      </c>
      <c r="K197" s="763">
        <v>57056.53</v>
      </c>
      <c r="L197" s="764">
        <f>(K197 * G197)</f>
        <v>0</v>
      </c>
      <c r="M197" s="765">
        <v>79879.14</v>
      </c>
      <c r="N197" s="766">
        <f>(G197 * M197)</f>
        <v>0</v>
      </c>
      <c r="O197">
        <v>0</v>
      </c>
      <c r="P197">
        <v>0</v>
      </c>
      <c r="Q197">
        <f>IF(O197&gt;G197,(O197-G197),0)</f>
        <v>0</v>
      </c>
      <c r="R197">
        <v>0</v>
      </c>
      <c r="S197">
        <f>IF(Q197&gt;0,Int(P197/Q197),0)</f>
        <v>0</v>
      </c>
      <c r="T197">
        <f>49230</f>
        <v>49230</v>
      </c>
      <c r="U197" t="s">
        <v>757</v>
      </c>
      <c r="V197">
        <v>57056.53</v>
      </c>
      <c r="W197" t="s">
        <v>75</v>
      </c>
      <c r="X197"/>
    </row>
    <row r="198" spans="1:27">
      <c r="A198" t="s">
        <v>35</v>
      </c>
      <c r="B198" t="s">
        <v>29</v>
      </c>
      <c r="C198" t="s">
        <v>758</v>
      </c>
      <c r="D198" t="s">
        <v>758</v>
      </c>
      <c r="E198" t="s">
        <v>759</v>
      </c>
      <c r="F198" t="s">
        <v>33</v>
      </c>
      <c r="G198">
        <v>0</v>
      </c>
      <c r="H198">
        <f>((0/1000) * G198)</f>
        <v>0</v>
      </c>
      <c r="I198">
        <v>0</v>
      </c>
      <c r="J198">
        <v>0</v>
      </c>
      <c r="K198" s="767">
        <v>61818.19</v>
      </c>
      <c r="L198" s="768">
        <f>(K198 * G198)</f>
        <v>0</v>
      </c>
      <c r="M198" s="769">
        <v>86545.46</v>
      </c>
      <c r="N198" s="770">
        <f>(G198 * M198)</f>
        <v>0</v>
      </c>
      <c r="O198">
        <v>0</v>
      </c>
      <c r="P198">
        <v>0</v>
      </c>
      <c r="Q198">
        <f>IF(O198&gt;G198,(O198-G198),0)</f>
        <v>0</v>
      </c>
      <c r="R198">
        <v>1</v>
      </c>
      <c r="S198">
        <f>IF(Q198&gt;0,Int(P198/Q198),0)</f>
        <v>0</v>
      </c>
      <c r="T198">
        <f>0</f>
        <v>0</v>
      </c>
      <c r="U198"/>
      <c r="V198">
        <v>61818.19</v>
      </c>
      <c r="W198" t="s">
        <v>75</v>
      </c>
      <c r="X198"/>
    </row>
    <row r="199" spans="1:27">
      <c r="A199" t="s">
        <v>35</v>
      </c>
      <c r="B199" t="s">
        <v>29</v>
      </c>
      <c r="C199" t="s">
        <v>760</v>
      </c>
      <c r="D199" t="s">
        <v>761</v>
      </c>
      <c r="E199" t="s">
        <v>759</v>
      </c>
      <c r="F199" t="s">
        <v>33</v>
      </c>
      <c r="G199">
        <v>0</v>
      </c>
      <c r="H199">
        <f>((0/1000) * G199)</f>
        <v>0</v>
      </c>
      <c r="I199">
        <v>0</v>
      </c>
      <c r="J199">
        <v>0</v>
      </c>
      <c r="K199" s="771">
        <v>61818.18</v>
      </c>
      <c r="L199" s="772">
        <f>(K199 * G199)</f>
        <v>0</v>
      </c>
      <c r="M199" s="773">
        <v>86545.45</v>
      </c>
      <c r="N199" s="774">
        <f>(G199 * M199)</f>
        <v>0</v>
      </c>
      <c r="O199">
        <v>0</v>
      </c>
      <c r="P199">
        <v>0</v>
      </c>
      <c r="Q199">
        <f>IF(O199&gt;G199,(O199-G199),0)</f>
        <v>0</v>
      </c>
      <c r="R199">
        <v>1</v>
      </c>
      <c r="S199">
        <f>IF(Q199&gt;0,Int(P199/Q199),0)</f>
        <v>0</v>
      </c>
      <c r="T199">
        <f>56198.35</f>
        <v>56198.35</v>
      </c>
      <c r="U199" t="s">
        <v>762</v>
      </c>
      <c r="V199">
        <v>61818.18</v>
      </c>
      <c r="W199" t="s">
        <v>75</v>
      </c>
      <c r="X199"/>
    </row>
    <row r="200" spans="1:27">
      <c r="A200" t="s">
        <v>35</v>
      </c>
      <c r="B200" t="s">
        <v>29</v>
      </c>
      <c r="C200" t="s">
        <v>763</v>
      </c>
      <c r="D200" t="s">
        <v>764</v>
      </c>
      <c r="E200" t="s">
        <v>765</v>
      </c>
      <c r="F200" t="s">
        <v>41</v>
      </c>
      <c r="G200">
        <v>6</v>
      </c>
      <c r="H200">
        <f>((0/1000) * G200)</f>
        <v>0</v>
      </c>
      <c r="I200">
        <v>2</v>
      </c>
      <c r="J200">
        <v>4</v>
      </c>
      <c r="K200" s="775">
        <v>60337</v>
      </c>
      <c r="L200" s="776">
        <f>(K200 * G200)</f>
        <v>362022</v>
      </c>
      <c r="M200" s="777">
        <v>93522.35</v>
      </c>
      <c r="N200" s="778">
        <f>(G200 * M200)</f>
        <v>561134.1</v>
      </c>
      <c r="O200">
        <v>0</v>
      </c>
      <c r="P200">
        <v>0</v>
      </c>
      <c r="Q200">
        <f>IF(O200&gt;G200,(O200-G200),0)</f>
        <v>0</v>
      </c>
      <c r="R200">
        <v>1</v>
      </c>
      <c r="S200">
        <f>IF(Q200&gt;0,Int(P200/Q200),0)</f>
        <v>0</v>
      </c>
      <c r="T200">
        <f>60337</f>
        <v>60337</v>
      </c>
      <c r="U200" t="s">
        <v>766</v>
      </c>
      <c r="V200">
        <v>60337</v>
      </c>
      <c r="W200" t="s">
        <v>144</v>
      </c>
      <c r="X200" t="s">
        <v>136</v>
      </c>
    </row>
    <row r="201" spans="1:27">
      <c r="A201" t="s">
        <v>35</v>
      </c>
      <c r="B201" t="s">
        <v>29</v>
      </c>
      <c r="C201" t="s">
        <v>767</v>
      </c>
      <c r="D201" t="s">
        <v>768</v>
      </c>
      <c r="E201" t="s">
        <v>769</v>
      </c>
      <c r="F201" t="s">
        <v>33</v>
      </c>
      <c r="G201">
        <v>0</v>
      </c>
      <c r="H201">
        <f>((0/1000) * G201)</f>
        <v>0</v>
      </c>
      <c r="I201">
        <v>0</v>
      </c>
      <c r="J201">
        <v>0</v>
      </c>
      <c r="K201" s="779">
        <v>19536.22</v>
      </c>
      <c r="L201" s="780">
        <f>(K201 * G201)</f>
        <v>0</v>
      </c>
      <c r="M201" s="781">
        <v>27350.71</v>
      </c>
      <c r="N201" s="782">
        <f>(G201 * M201)</f>
        <v>0</v>
      </c>
      <c r="O201">
        <v>0</v>
      </c>
      <c r="P201">
        <v>0</v>
      </c>
      <c r="Q201">
        <f>IF(O201&gt;G201,(O201-G201),0)</f>
        <v>0</v>
      </c>
      <c r="R201">
        <v>1</v>
      </c>
      <c r="S201">
        <f>IF(Q201&gt;0,Int(P201/Q201),0)</f>
        <v>0</v>
      </c>
      <c r="T201">
        <f>8815.97</f>
        <v>8815.97</v>
      </c>
      <c r="U201" t="s">
        <v>770</v>
      </c>
      <c r="V201">
        <v>19536.22</v>
      </c>
      <c r="W201" t="s">
        <v>75</v>
      </c>
      <c r="X201"/>
    </row>
    <row r="202" spans="1:27">
      <c r="A202" t="s">
        <v>35</v>
      </c>
      <c r="B202" t="s">
        <v>29</v>
      </c>
      <c r="C202" t="s">
        <v>771</v>
      </c>
      <c r="D202" t="s">
        <v>772</v>
      </c>
      <c r="E202" t="s">
        <v>773</v>
      </c>
      <c r="F202" t="s">
        <v>41</v>
      </c>
      <c r="G202">
        <v>0</v>
      </c>
      <c r="H202">
        <f>((0/1000) * G202)</f>
        <v>0</v>
      </c>
      <c r="I202">
        <v>0</v>
      </c>
      <c r="J202">
        <v>0</v>
      </c>
      <c r="K202" s="783">
        <v>88875.58</v>
      </c>
      <c r="L202" s="784">
        <f>(K202 * G202)</f>
        <v>0</v>
      </c>
      <c r="M202" s="785">
        <v>124425.82</v>
      </c>
      <c r="N202" s="786">
        <f>(G202 * M202)</f>
        <v>0</v>
      </c>
      <c r="O202">
        <v>0</v>
      </c>
      <c r="P202">
        <v>0</v>
      </c>
      <c r="Q202">
        <f>IF(O202&gt;G202,(O202-G202),0)</f>
        <v>0</v>
      </c>
      <c r="R202">
        <v>1</v>
      </c>
      <c r="S202">
        <f>IF(Q202&gt;0,Int(P202/Q202),0)</f>
        <v>0</v>
      </c>
      <c r="T202">
        <f>64031.32</f>
        <v>64031.32</v>
      </c>
      <c r="U202" t="s">
        <v>774</v>
      </c>
      <c r="V202">
        <v>88875.58</v>
      </c>
      <c r="W202" t="s">
        <v>182</v>
      </c>
      <c r="X202" t="s">
        <v>262</v>
      </c>
    </row>
    <row r="203" spans="1:27">
      <c r="A203" t="s">
        <v>35</v>
      </c>
      <c r="B203" t="s">
        <v>29</v>
      </c>
      <c r="C203" t="s">
        <v>775</v>
      </c>
      <c r="D203" t="s">
        <v>776</v>
      </c>
      <c r="E203" t="s">
        <v>777</v>
      </c>
      <c r="F203" t="s">
        <v>33</v>
      </c>
      <c r="G203">
        <v>0</v>
      </c>
      <c r="H203">
        <f>((0/1000) * G203)</f>
        <v>0</v>
      </c>
      <c r="I203">
        <v>0</v>
      </c>
      <c r="J203">
        <v>0</v>
      </c>
      <c r="K203" s="787">
        <v>89471.17</v>
      </c>
      <c r="L203" s="788">
        <f>(K203 * G203)</f>
        <v>0</v>
      </c>
      <c r="M203" s="789">
        <v>125259.64</v>
      </c>
      <c r="N203" s="790">
        <f>(G203 * M203)</f>
        <v>0</v>
      </c>
      <c r="O203">
        <v>0</v>
      </c>
      <c r="P203">
        <v>0</v>
      </c>
      <c r="Q203">
        <f>IF(O203&gt;G203,(O203-G203),0)</f>
        <v>0</v>
      </c>
      <c r="R203">
        <v>1</v>
      </c>
      <c r="S203">
        <f>IF(Q203&gt;0,Int(P203/Q203),0)</f>
        <v>0</v>
      </c>
      <c r="T203">
        <f>85706.05</f>
        <v>85706.05</v>
      </c>
      <c r="U203" t="s">
        <v>778</v>
      </c>
      <c r="V203">
        <v>89471.17</v>
      </c>
      <c r="W203" t="s">
        <v>182</v>
      </c>
      <c r="X203" t="s">
        <v>687</v>
      </c>
    </row>
    <row r="204" spans="1:27">
      <c r="A204" t="s">
        <v>35</v>
      </c>
      <c r="B204" t="s">
        <v>29</v>
      </c>
      <c r="C204" t="s">
        <v>779</v>
      </c>
      <c r="D204" t="s">
        <v>780</v>
      </c>
      <c r="E204" t="s">
        <v>781</v>
      </c>
      <c r="F204" t="s">
        <v>41</v>
      </c>
      <c r="G204">
        <v>2</v>
      </c>
      <c r="H204">
        <f>((0/1000) * G204)</f>
        <v>0</v>
      </c>
      <c r="I204">
        <v>1</v>
      </c>
      <c r="J204">
        <v>1</v>
      </c>
      <c r="K204" s="791">
        <v>82500</v>
      </c>
      <c r="L204" s="792">
        <f>(K204 * G204)</f>
        <v>165000</v>
      </c>
      <c r="M204" s="793">
        <v>115500</v>
      </c>
      <c r="N204" s="794">
        <f>(G204 * M204)</f>
        <v>231000</v>
      </c>
      <c r="O204">
        <v>0</v>
      </c>
      <c r="P204">
        <v>0</v>
      </c>
      <c r="Q204">
        <f>IF(O204&gt;G204,(O204-G204),0)</f>
        <v>0</v>
      </c>
      <c r="R204">
        <v>1</v>
      </c>
      <c r="S204">
        <f>IF(Q204&gt;0,Int(P204/Q204),0)</f>
        <v>0</v>
      </c>
      <c r="T204">
        <f>82500</f>
        <v>82500</v>
      </c>
      <c r="U204" t="s">
        <v>782</v>
      </c>
      <c r="V204">
        <v>82500</v>
      </c>
      <c r="W204" t="s">
        <v>75</v>
      </c>
      <c r="X204" t="s">
        <v>275</v>
      </c>
    </row>
    <row r="205" spans="1:27">
      <c r="A205" t="s">
        <v>35</v>
      </c>
      <c r="B205" t="s">
        <v>29</v>
      </c>
      <c r="C205" t="s">
        <v>783</v>
      </c>
      <c r="D205" t="s">
        <v>784</v>
      </c>
      <c r="E205" t="s">
        <v>785</v>
      </c>
      <c r="F205" t="s">
        <v>33</v>
      </c>
      <c r="G205">
        <v>0</v>
      </c>
      <c r="H205">
        <f>((0/1000) * G205)</f>
        <v>0</v>
      </c>
      <c r="I205">
        <v>0</v>
      </c>
      <c r="J205">
        <v>0</v>
      </c>
      <c r="K205" s="795">
        <v>0</v>
      </c>
      <c r="L205" s="796">
        <f>(K205 * G205)</f>
        <v>0</v>
      </c>
      <c r="M205" s="797">
        <v>0</v>
      </c>
      <c r="N205" s="798">
        <f>(G205 * M205)</f>
        <v>0</v>
      </c>
      <c r="O205">
        <v>0</v>
      </c>
      <c r="P205">
        <v>0</v>
      </c>
      <c r="Q205">
        <f>IF(O205&gt;G205,(O205-G205),0)</f>
        <v>0</v>
      </c>
      <c r="R205">
        <v>1</v>
      </c>
      <c r="S205">
        <f>IF(Q205&gt;0,Int(P205/Q205),0)</f>
        <v>0</v>
      </c>
      <c r="T205">
        <f>0</f>
        <v>0</v>
      </c>
      <c r="U205"/>
      <c r="V205">
        <v>0</v>
      </c>
      <c r="W205">
        <v>0</v>
      </c>
      <c r="X205"/>
    </row>
    <row r="206" spans="1:27">
      <c r="A206" t="s">
        <v>35</v>
      </c>
      <c r="B206" t="s">
        <v>29</v>
      </c>
      <c r="C206" t="s">
        <v>786</v>
      </c>
      <c r="D206" t="s">
        <v>787</v>
      </c>
      <c r="E206" t="s">
        <v>788</v>
      </c>
      <c r="F206" t="s">
        <v>41</v>
      </c>
      <c r="G206">
        <v>0</v>
      </c>
      <c r="H206">
        <f>((0/1000) * G206)</f>
        <v>0</v>
      </c>
      <c r="I206">
        <v>0</v>
      </c>
      <c r="J206">
        <v>0</v>
      </c>
      <c r="K206" s="799">
        <v>98347.11</v>
      </c>
      <c r="L206" s="800">
        <f>(K206 * G206)</f>
        <v>0</v>
      </c>
      <c r="M206" s="801">
        <v>108181.82</v>
      </c>
      <c r="N206" s="802">
        <f>(G206 * M206)</f>
        <v>0</v>
      </c>
      <c r="O206">
        <v>0</v>
      </c>
      <c r="P206">
        <v>0</v>
      </c>
      <c r="Q206">
        <f>IF(O206&gt;G206,(O206-G206),0)</f>
        <v>0</v>
      </c>
      <c r="R206">
        <v>1</v>
      </c>
      <c r="S206">
        <f>IF(Q206&gt;0,Int(P206/Q206),0)</f>
        <v>0</v>
      </c>
      <c r="T206">
        <f>0</f>
        <v>0</v>
      </c>
      <c r="U206" t="s">
        <v>789</v>
      </c>
      <c r="V206">
        <v>98347.11</v>
      </c>
      <c r="W206" t="s">
        <v>43</v>
      </c>
      <c r="X206"/>
    </row>
    <row r="207" spans="1:27">
      <c r="A207" t="s">
        <v>35</v>
      </c>
      <c r="B207" t="s">
        <v>29</v>
      </c>
      <c r="C207" t="s">
        <v>790</v>
      </c>
      <c r="D207" t="s">
        <v>791</v>
      </c>
      <c r="E207" t="s">
        <v>792</v>
      </c>
      <c r="F207" t="s">
        <v>41</v>
      </c>
      <c r="G207">
        <v>0</v>
      </c>
      <c r="H207">
        <f>((1/1000) * G207)</f>
        <v>0</v>
      </c>
      <c r="I207">
        <v>0</v>
      </c>
      <c r="J207">
        <v>0</v>
      </c>
      <c r="K207" s="803">
        <v>145251.06</v>
      </c>
      <c r="L207" s="804">
        <f>(K207 * G207)</f>
        <v>0</v>
      </c>
      <c r="M207" s="805">
        <v>159776.16</v>
      </c>
      <c r="N207" s="806">
        <f>(G207 * M207)</f>
        <v>0</v>
      </c>
      <c r="O207">
        <v>0</v>
      </c>
      <c r="P207">
        <v>0</v>
      </c>
      <c r="Q207">
        <f>IF(O207&gt;G207,(O207-G207),0)</f>
        <v>0</v>
      </c>
      <c r="R207">
        <v>1</v>
      </c>
      <c r="S207">
        <f>IF(Q207&gt;0,Int(P207/Q207),0)</f>
        <v>0</v>
      </c>
      <c r="T207">
        <f>0</f>
        <v>0</v>
      </c>
      <c r="U207"/>
      <c r="V207">
        <v>145251.06</v>
      </c>
      <c r="W207" t="s">
        <v>43</v>
      </c>
      <c r="X207"/>
    </row>
    <row r="208" spans="1:27">
      <c r="A208" t="s">
        <v>35</v>
      </c>
      <c r="B208" t="s">
        <v>29</v>
      </c>
      <c r="C208" t="s">
        <v>793</v>
      </c>
      <c r="D208" t="s">
        <v>794</v>
      </c>
      <c r="E208" t="s">
        <v>795</v>
      </c>
      <c r="F208" t="s">
        <v>33</v>
      </c>
      <c r="G208">
        <v>2</v>
      </c>
      <c r="H208">
        <f>((0/1000) * G208)</f>
        <v>0</v>
      </c>
      <c r="I208">
        <v>0</v>
      </c>
      <c r="J208">
        <v>2</v>
      </c>
      <c r="K208" s="807">
        <v>77928.57</v>
      </c>
      <c r="L208" s="808">
        <f>(K208 * G208)</f>
        <v>155857.14</v>
      </c>
      <c r="M208" s="809">
        <v>94214.88</v>
      </c>
      <c r="N208" s="810">
        <f>(G208 * M208)</f>
        <v>188429.76</v>
      </c>
      <c r="O208">
        <v>0</v>
      </c>
      <c r="P208">
        <v>0</v>
      </c>
      <c r="Q208">
        <f>IF(O208&gt;G208,(O208-G208),0)</f>
        <v>0</v>
      </c>
      <c r="R208">
        <v>1</v>
      </c>
      <c r="S208">
        <f>IF(Q208&gt;0,Int(P208/Q208),0)</f>
        <v>0</v>
      </c>
      <c r="T208">
        <f>54000</f>
        <v>54000</v>
      </c>
      <c r="U208" t="s">
        <v>489</v>
      </c>
      <c r="V208">
        <v>77928.57</v>
      </c>
      <c r="W208" t="s">
        <v>165</v>
      </c>
      <c r="X208" t="s">
        <v>280</v>
      </c>
    </row>
    <row r="209" spans="1:27">
      <c r="A209" t="s">
        <v>35</v>
      </c>
      <c r="B209" t="s">
        <v>29</v>
      </c>
      <c r="C209" t="s">
        <v>796</v>
      </c>
      <c r="D209" t="s">
        <v>797</v>
      </c>
      <c r="E209" t="s">
        <v>798</v>
      </c>
      <c r="F209" t="s">
        <v>41</v>
      </c>
      <c r="G209">
        <v>0</v>
      </c>
      <c r="H209">
        <f>((0/1000) * G209)</f>
        <v>0</v>
      </c>
      <c r="I209">
        <v>0</v>
      </c>
      <c r="J209">
        <v>0</v>
      </c>
      <c r="K209" s="811">
        <v>111014.71</v>
      </c>
      <c r="L209" s="812">
        <f>(K209 * G209)</f>
        <v>0</v>
      </c>
      <c r="M209" s="813">
        <v>138768.39</v>
      </c>
      <c r="N209" s="814">
        <f>(G209 * M209)</f>
        <v>0</v>
      </c>
      <c r="O209">
        <v>0</v>
      </c>
      <c r="P209">
        <v>0</v>
      </c>
      <c r="Q209">
        <f>IF(O209&gt;G209,(O209-G209),0)</f>
        <v>0</v>
      </c>
      <c r="R209">
        <v>1</v>
      </c>
      <c r="S209">
        <f>IF(Q209&gt;0,Int(P209/Q209),0)</f>
        <v>0</v>
      </c>
      <c r="T209">
        <f>11295.83</f>
        <v>11295.83</v>
      </c>
      <c r="U209" t="s">
        <v>799</v>
      </c>
      <c r="V209">
        <v>111014.71</v>
      </c>
      <c r="W209" t="s">
        <v>43</v>
      </c>
      <c r="X209"/>
    </row>
    <row r="210" spans="1:27">
      <c r="A210" t="s">
        <v>35</v>
      </c>
      <c r="B210" t="s">
        <v>29</v>
      </c>
      <c r="C210" t="s">
        <v>800</v>
      </c>
      <c r="D210" t="s">
        <v>801</v>
      </c>
      <c r="E210" t="s">
        <v>802</v>
      </c>
      <c r="F210" t="s">
        <v>41</v>
      </c>
      <c r="G210">
        <v>1</v>
      </c>
      <c r="H210">
        <f>((0/1000) * G210)</f>
        <v>0</v>
      </c>
      <c r="I210">
        <v>0</v>
      </c>
      <c r="J210">
        <v>1</v>
      </c>
      <c r="K210" s="815">
        <v>68666.12</v>
      </c>
      <c r="L210" s="816">
        <f>(K210 * G210)</f>
        <v>68666.12</v>
      </c>
      <c r="M210" s="817">
        <v>116732.4</v>
      </c>
      <c r="N210" s="818">
        <f>(G210 * M210)</f>
        <v>116732.4</v>
      </c>
      <c r="O210">
        <v>0</v>
      </c>
      <c r="P210">
        <v>0</v>
      </c>
      <c r="Q210">
        <f>IF(O210&gt;G210,(O210-G210),0)</f>
        <v>0</v>
      </c>
      <c r="R210">
        <v>1</v>
      </c>
      <c r="S210">
        <f>IF(Q210&gt;0,Int(P210/Q210),0)</f>
        <v>0</v>
      </c>
      <c r="T210">
        <f>68666.12</f>
        <v>68666.12</v>
      </c>
      <c r="U210" t="s">
        <v>803</v>
      </c>
      <c r="V210">
        <v>68666.12</v>
      </c>
      <c r="W210" t="s">
        <v>197</v>
      </c>
      <c r="X210" t="s">
        <v>280</v>
      </c>
    </row>
    <row r="211" spans="1:27">
      <c r="A211" t="s">
        <v>35</v>
      </c>
      <c r="B211" t="s">
        <v>29</v>
      </c>
      <c r="C211" t="s">
        <v>804</v>
      </c>
      <c r="D211" t="s">
        <v>805</v>
      </c>
      <c r="E211" t="s">
        <v>806</v>
      </c>
      <c r="F211" t="s">
        <v>41</v>
      </c>
      <c r="G211">
        <v>0</v>
      </c>
      <c r="H211">
        <f>((1/1000) * G211)</f>
        <v>0</v>
      </c>
      <c r="I211">
        <v>0</v>
      </c>
      <c r="J211">
        <v>0</v>
      </c>
      <c r="K211" s="819">
        <v>0</v>
      </c>
      <c r="L211" s="820">
        <f>(K211 * G211)</f>
        <v>0</v>
      </c>
      <c r="M211" s="821">
        <v>0</v>
      </c>
      <c r="N211" s="822">
        <f>(G211 * M211)</f>
        <v>0</v>
      </c>
      <c r="O211">
        <v>0</v>
      </c>
      <c r="P211">
        <v>0</v>
      </c>
      <c r="Q211">
        <f>IF(O211&gt;G211,(O211-G211),0)</f>
        <v>0</v>
      </c>
      <c r="R211">
        <v>0</v>
      </c>
      <c r="S211">
        <f>IF(Q211&gt;0,Int(P211/Q211),0)</f>
        <v>0</v>
      </c>
      <c r="T211">
        <f>0</f>
        <v>0</v>
      </c>
      <c r="U211"/>
      <c r="V211">
        <v>0</v>
      </c>
      <c r="W211">
        <v>0</v>
      </c>
      <c r="X211"/>
    </row>
    <row r="212" spans="1:27">
      <c r="A212" t="s">
        <v>35</v>
      </c>
      <c r="B212" t="s">
        <v>29</v>
      </c>
      <c r="C212" t="s">
        <v>807</v>
      </c>
      <c r="D212" t="s">
        <v>808</v>
      </c>
      <c r="E212" t="s">
        <v>809</v>
      </c>
      <c r="F212" t="s">
        <v>41</v>
      </c>
      <c r="G212">
        <v>0</v>
      </c>
      <c r="H212">
        <f>((0/1000) * G212)</f>
        <v>0</v>
      </c>
      <c r="I212">
        <v>0</v>
      </c>
      <c r="J212">
        <v>0</v>
      </c>
      <c r="K212" s="823">
        <v>86776.87</v>
      </c>
      <c r="L212" s="824">
        <f>(K212 * G212)</f>
        <v>0</v>
      </c>
      <c r="M212" s="825">
        <v>95454.56</v>
      </c>
      <c r="N212" s="826">
        <f>(G212 * M212)</f>
        <v>0</v>
      </c>
      <c r="O212">
        <v>0</v>
      </c>
      <c r="P212">
        <v>0</v>
      </c>
      <c r="Q212">
        <f>IF(O212&gt;G212,(O212-G212),0)</f>
        <v>0</v>
      </c>
      <c r="R212">
        <v>1</v>
      </c>
      <c r="S212">
        <f>IF(Q212&gt;0,Int(P212/Q212),0)</f>
        <v>0</v>
      </c>
      <c r="T212">
        <f>78888.06</f>
        <v>78888.06</v>
      </c>
      <c r="U212" t="s">
        <v>810</v>
      </c>
      <c r="V212">
        <v>86776.87</v>
      </c>
      <c r="W212" t="s">
        <v>43</v>
      </c>
      <c r="X212"/>
    </row>
    <row r="213" spans="1:27">
      <c r="A213" t="s">
        <v>35</v>
      </c>
      <c r="B213" t="s">
        <v>29</v>
      </c>
      <c r="C213" t="s">
        <v>811</v>
      </c>
      <c r="D213" t="s">
        <v>812</v>
      </c>
      <c r="E213" t="s">
        <v>813</v>
      </c>
      <c r="F213" t="s">
        <v>41</v>
      </c>
      <c r="G213">
        <v>40</v>
      </c>
      <c r="H213">
        <f>((0/1000) * G213)</f>
        <v>0</v>
      </c>
      <c r="I213">
        <v>0</v>
      </c>
      <c r="J213">
        <v>40</v>
      </c>
      <c r="K213" s="827">
        <v>55784</v>
      </c>
      <c r="L213" s="828">
        <f>(K213 * G213)</f>
        <v>2231360</v>
      </c>
      <c r="M213" s="829">
        <v>92561.98</v>
      </c>
      <c r="N213" s="830">
        <f>(G213 * M213)</f>
        <v>3702479.2</v>
      </c>
      <c r="O213">
        <v>0</v>
      </c>
      <c r="P213">
        <v>0</v>
      </c>
      <c r="Q213">
        <f>IF(O213&gt;G213,(O213-G213),0)</f>
        <v>0</v>
      </c>
      <c r="R213">
        <v>1</v>
      </c>
      <c r="S213">
        <f>IF(Q213&gt;0,Int(P213/Q213),0)</f>
        <v>0</v>
      </c>
      <c r="T213">
        <f>55784</f>
        <v>55784</v>
      </c>
      <c r="U213" t="s">
        <v>408</v>
      </c>
      <c r="V213">
        <v>55784</v>
      </c>
      <c r="W213" t="s">
        <v>123</v>
      </c>
      <c r="X213" t="s">
        <v>753</v>
      </c>
    </row>
    <row r="214" spans="1:27">
      <c r="A214" t="s">
        <v>35</v>
      </c>
      <c r="B214" t="s">
        <v>29</v>
      </c>
      <c r="C214" t="s">
        <v>814</v>
      </c>
      <c r="D214" t="s">
        <v>815</v>
      </c>
      <c r="E214" t="s">
        <v>816</v>
      </c>
      <c r="F214" t="s">
        <v>41</v>
      </c>
      <c r="G214">
        <v>0</v>
      </c>
      <c r="H214">
        <f>((0/1000) * G214)</f>
        <v>0</v>
      </c>
      <c r="I214">
        <v>0</v>
      </c>
      <c r="J214">
        <v>0</v>
      </c>
      <c r="K214" s="831">
        <v>177864.54</v>
      </c>
      <c r="L214" s="832">
        <f>(K214 * G214)</f>
        <v>0</v>
      </c>
      <c r="M214" s="833">
        <v>249010.36</v>
      </c>
      <c r="N214" s="834">
        <f>(G214 * M214)</f>
        <v>0</v>
      </c>
      <c r="O214">
        <v>0</v>
      </c>
      <c r="P214">
        <v>0</v>
      </c>
      <c r="Q214">
        <f>IF(O214&gt;G214,(O214-G214),0)</f>
        <v>0</v>
      </c>
      <c r="R214">
        <v>1</v>
      </c>
      <c r="S214">
        <f>IF(Q214&gt;0,Int(P214/Q214),0)</f>
        <v>0</v>
      </c>
      <c r="T214">
        <f>85920.78</f>
        <v>85920.78</v>
      </c>
      <c r="U214" t="s">
        <v>817</v>
      </c>
      <c r="V214">
        <v>177864.54</v>
      </c>
      <c r="W214" t="s">
        <v>75</v>
      </c>
      <c r="X214"/>
    </row>
    <row r="215" spans="1:27">
      <c r="A215" t="s">
        <v>35</v>
      </c>
      <c r="B215" t="s">
        <v>29</v>
      </c>
      <c r="C215" t="s">
        <v>818</v>
      </c>
      <c r="D215" t="s">
        <v>819</v>
      </c>
      <c r="E215" t="s">
        <v>820</v>
      </c>
      <c r="F215" t="s">
        <v>33</v>
      </c>
      <c r="G215">
        <v>0</v>
      </c>
      <c r="H215">
        <f>((0/1000) * G215)</f>
        <v>0</v>
      </c>
      <c r="I215">
        <v>0</v>
      </c>
      <c r="J215">
        <v>0</v>
      </c>
      <c r="K215" s="835">
        <v>58104.67</v>
      </c>
      <c r="L215" s="836">
        <f>(K215 * G215)</f>
        <v>0</v>
      </c>
      <c r="M215" s="837">
        <v>81346.54</v>
      </c>
      <c r="N215" s="838">
        <f>(G215 * M215)</f>
        <v>0</v>
      </c>
      <c r="O215">
        <v>0</v>
      </c>
      <c r="P215">
        <v>0</v>
      </c>
      <c r="Q215">
        <f>IF(O215&gt;G215,(O215-G215),0)</f>
        <v>0</v>
      </c>
      <c r="R215">
        <v>1</v>
      </c>
      <c r="S215">
        <f>IF(Q215&gt;0,Int(P215/Q215),0)</f>
        <v>0</v>
      </c>
      <c r="T215">
        <f>55388.06</f>
        <v>55388.06</v>
      </c>
      <c r="U215" t="s">
        <v>821</v>
      </c>
      <c r="V215">
        <v>58104.67</v>
      </c>
      <c r="W215" t="s">
        <v>301</v>
      </c>
      <c r="X215"/>
    </row>
    <row r="216" spans="1:27">
      <c r="A216" t="s">
        <v>35</v>
      </c>
      <c r="B216" t="s">
        <v>29</v>
      </c>
      <c r="C216" t="s">
        <v>822</v>
      </c>
      <c r="D216" t="s">
        <v>823</v>
      </c>
      <c r="E216" t="s">
        <v>824</v>
      </c>
      <c r="F216" t="s">
        <v>41</v>
      </c>
      <c r="G216">
        <v>0</v>
      </c>
      <c r="H216">
        <f>((0/1000) * G216)</f>
        <v>0</v>
      </c>
      <c r="I216">
        <v>0</v>
      </c>
      <c r="J216">
        <v>0</v>
      </c>
      <c r="K216" s="839">
        <v>140495.87</v>
      </c>
      <c r="L216" s="840">
        <f>(K216 * G216)</f>
        <v>0</v>
      </c>
      <c r="M216" s="841">
        <v>154545.46</v>
      </c>
      <c r="N216" s="842">
        <f>(G216 * M216)</f>
        <v>0</v>
      </c>
      <c r="O216">
        <v>0</v>
      </c>
      <c r="P216">
        <v>0</v>
      </c>
      <c r="Q216">
        <f>IF(O216&gt;G216,(O216-G216),0)</f>
        <v>0</v>
      </c>
      <c r="R216">
        <v>1</v>
      </c>
      <c r="S216">
        <f>IF(Q216&gt;0,Int(P216/Q216),0)</f>
        <v>0</v>
      </c>
      <c r="T216">
        <f>0</f>
        <v>0</v>
      </c>
      <c r="U216"/>
      <c r="V216">
        <v>140495.87</v>
      </c>
      <c r="W216" t="s">
        <v>43</v>
      </c>
      <c r="X216"/>
    </row>
    <row r="217" spans="1:27">
      <c r="A217" t="s">
        <v>35</v>
      </c>
      <c r="B217" t="s">
        <v>29</v>
      </c>
      <c r="C217" t="s">
        <v>825</v>
      </c>
      <c r="D217" t="s">
        <v>826</v>
      </c>
      <c r="E217" t="s">
        <v>827</v>
      </c>
      <c r="F217" t="s">
        <v>33</v>
      </c>
      <c r="G217">
        <v>0</v>
      </c>
      <c r="H217">
        <f>((0/1000) * G217)</f>
        <v>0</v>
      </c>
      <c r="I217">
        <v>0</v>
      </c>
      <c r="J217">
        <v>0</v>
      </c>
      <c r="K217" s="843">
        <v>78723.23</v>
      </c>
      <c r="L217" s="844">
        <f>(K217 * G217)</f>
        <v>0</v>
      </c>
      <c r="M217" s="845">
        <v>110212.52</v>
      </c>
      <c r="N217" s="846">
        <f>(G217 * M217)</f>
        <v>0</v>
      </c>
      <c r="O217">
        <v>0</v>
      </c>
      <c r="P217">
        <v>0</v>
      </c>
      <c r="Q217">
        <f>IF(O217&gt;G217,(O217-G217),0)</f>
        <v>0</v>
      </c>
      <c r="R217">
        <v>1</v>
      </c>
      <c r="S217">
        <f>IF(Q217&gt;0,Int(P217/Q217),0)</f>
        <v>0</v>
      </c>
      <c r="T217">
        <f>78723.23</f>
        <v>78723.23</v>
      </c>
      <c r="U217" t="s">
        <v>828</v>
      </c>
      <c r="V217">
        <v>78723.23</v>
      </c>
      <c r="W217" t="s">
        <v>75</v>
      </c>
      <c r="X217"/>
    </row>
    <row r="218" spans="1:27">
      <c r="A218" t="s">
        <v>35</v>
      </c>
      <c r="B218" t="s">
        <v>29</v>
      </c>
      <c r="C218" t="s">
        <v>829</v>
      </c>
      <c r="D218" t="s">
        <v>830</v>
      </c>
      <c r="E218" t="s">
        <v>831</v>
      </c>
      <c r="F218" t="s">
        <v>33</v>
      </c>
      <c r="G218">
        <v>0</v>
      </c>
      <c r="H218">
        <f>((0/1000) * G218)</f>
        <v>0</v>
      </c>
      <c r="I218">
        <v>0</v>
      </c>
      <c r="J218">
        <v>0</v>
      </c>
      <c r="K218" s="847">
        <v>120825.16</v>
      </c>
      <c r="L218" s="848">
        <f>(K218 * G218)</f>
        <v>0</v>
      </c>
      <c r="M218" s="849">
        <v>169155.23</v>
      </c>
      <c r="N218" s="850">
        <f>(G218 * M218)</f>
        <v>0</v>
      </c>
      <c r="O218">
        <v>0</v>
      </c>
      <c r="P218">
        <v>0</v>
      </c>
      <c r="Q218">
        <f>IF(O218&gt;G218,(O218-G218),0)</f>
        <v>0</v>
      </c>
      <c r="R218">
        <v>1</v>
      </c>
      <c r="S218">
        <f>IF(Q218&gt;0,Int(P218/Q218),0)</f>
        <v>0</v>
      </c>
      <c r="T218">
        <f>120825.16</f>
        <v>120825.16</v>
      </c>
      <c r="U218" t="s">
        <v>832</v>
      </c>
      <c r="V218">
        <v>120825.16</v>
      </c>
      <c r="W218" t="s">
        <v>75</v>
      </c>
      <c r="X218" t="s">
        <v>275</v>
      </c>
    </row>
    <row r="219" spans="1:27">
      <c r="A219" t="s">
        <v>35</v>
      </c>
      <c r="B219" t="s">
        <v>29</v>
      </c>
      <c r="C219" t="s">
        <v>833</v>
      </c>
      <c r="D219" t="s">
        <v>834</v>
      </c>
      <c r="E219" t="s">
        <v>835</v>
      </c>
      <c r="F219" t="s">
        <v>33</v>
      </c>
      <c r="G219">
        <v>0</v>
      </c>
      <c r="H219">
        <f>((0/1000) * G219)</f>
        <v>0</v>
      </c>
      <c r="I219">
        <v>0</v>
      </c>
      <c r="J219">
        <v>0</v>
      </c>
      <c r="K219" s="851">
        <v>101652.89</v>
      </c>
      <c r="L219" s="852">
        <f>(K219 * G219)</f>
        <v>0</v>
      </c>
      <c r="M219" s="853">
        <v>111818.18</v>
      </c>
      <c r="N219" s="854">
        <f>(G219 * M219)</f>
        <v>0</v>
      </c>
      <c r="O219">
        <v>0</v>
      </c>
      <c r="P219">
        <v>0</v>
      </c>
      <c r="Q219">
        <f>IF(O219&gt;G219,(O219-G219),0)</f>
        <v>0</v>
      </c>
      <c r="R219">
        <v>1</v>
      </c>
      <c r="S219">
        <f>IF(Q219&gt;0,Int(P219/Q219),0)</f>
        <v>0</v>
      </c>
      <c r="T219">
        <f>92411.72</f>
        <v>92411.72</v>
      </c>
      <c r="U219" t="s">
        <v>836</v>
      </c>
      <c r="V219">
        <v>101652.89</v>
      </c>
      <c r="W219" t="s">
        <v>43</v>
      </c>
      <c r="X219"/>
    </row>
    <row r="220" spans="1:27">
      <c r="A220" t="s">
        <v>35</v>
      </c>
      <c r="B220" t="s">
        <v>29</v>
      </c>
      <c r="C220" t="s">
        <v>837</v>
      </c>
      <c r="D220" t="s">
        <v>838</v>
      </c>
      <c r="E220" t="s">
        <v>839</v>
      </c>
      <c r="F220" t="s">
        <v>33</v>
      </c>
      <c r="G220">
        <v>0</v>
      </c>
      <c r="H220">
        <f>((0/1000) * G220)</f>
        <v>0</v>
      </c>
      <c r="I220">
        <v>0</v>
      </c>
      <c r="J220">
        <v>0</v>
      </c>
      <c r="K220" s="855">
        <v>104028.57</v>
      </c>
      <c r="L220" s="856">
        <f>(K220 * G220)</f>
        <v>0</v>
      </c>
      <c r="M220" s="857">
        <v>145640</v>
      </c>
      <c r="N220" s="858">
        <f>(G220 * M220)</f>
        <v>0</v>
      </c>
      <c r="O220">
        <v>0</v>
      </c>
      <c r="P220">
        <v>0</v>
      </c>
      <c r="Q220">
        <f>IF(O220&gt;G220,(O220-G220),0)</f>
        <v>0</v>
      </c>
      <c r="R220">
        <v>0</v>
      </c>
      <c r="S220">
        <f>IF(Q220&gt;0,Int(P220/Q220),0)</f>
        <v>0</v>
      </c>
      <c r="T220">
        <f>0</f>
        <v>0</v>
      </c>
      <c r="U220"/>
      <c r="V220">
        <v>104028.57</v>
      </c>
      <c r="W220" t="s">
        <v>148</v>
      </c>
      <c r="X220"/>
    </row>
    <row r="221" spans="1:27">
      <c r="A221" t="s">
        <v>28</v>
      </c>
      <c r="B221" t="s">
        <v>29</v>
      </c>
      <c r="C221" t="s">
        <v>840</v>
      </c>
      <c r="D221" t="s">
        <v>841</v>
      </c>
      <c r="E221" t="s">
        <v>842</v>
      </c>
      <c r="F221" t="s">
        <v>41</v>
      </c>
      <c r="G221">
        <v>2</v>
      </c>
      <c r="H221">
        <f>((0/1000) * G221)</f>
        <v>0</v>
      </c>
      <c r="I221">
        <v>2</v>
      </c>
      <c r="J221">
        <v>0</v>
      </c>
      <c r="K221" s="859">
        <v>191157.17</v>
      </c>
      <c r="L221" s="860">
        <f>(K221 * G221)</f>
        <v>382314.34</v>
      </c>
      <c r="M221" s="861">
        <v>267620.04</v>
      </c>
      <c r="N221" s="862">
        <f>(G221 * M221)</f>
        <v>535240.08</v>
      </c>
      <c r="O221">
        <v>0</v>
      </c>
      <c r="P221">
        <v>0</v>
      </c>
      <c r="Q221">
        <f>IF(O221&gt;G221,(O221-G221),0)</f>
        <v>0</v>
      </c>
      <c r="R221">
        <v>1</v>
      </c>
      <c r="S221">
        <f>IF(Q221&gt;0,Int(P221/Q221),0)</f>
        <v>0</v>
      </c>
      <c r="T221">
        <f>185346.93</f>
        <v>185346.93</v>
      </c>
      <c r="U221" t="s">
        <v>843</v>
      </c>
      <c r="V221">
        <v>191157.17</v>
      </c>
      <c r="W221" t="s">
        <v>182</v>
      </c>
      <c r="X221"/>
    </row>
    <row r="222" spans="1:27">
      <c r="A222" t="s">
        <v>35</v>
      </c>
      <c r="B222" t="s">
        <v>29</v>
      </c>
      <c r="C222" t="s">
        <v>844</v>
      </c>
      <c r="D222" t="s">
        <v>845</v>
      </c>
      <c r="E222" t="s">
        <v>846</v>
      </c>
      <c r="F222" t="s">
        <v>41</v>
      </c>
      <c r="G222">
        <v>0</v>
      </c>
      <c r="H222">
        <f>((1/1000) * G222)</f>
        <v>0</v>
      </c>
      <c r="I222">
        <v>0</v>
      </c>
      <c r="J222">
        <v>0</v>
      </c>
      <c r="K222" s="863">
        <v>129871.76</v>
      </c>
      <c r="L222" s="864">
        <f>(K222 * G222)</f>
        <v>0</v>
      </c>
      <c r="M222" s="865">
        <v>142858.94</v>
      </c>
      <c r="N222" s="866">
        <f>(G222 * M222)</f>
        <v>0</v>
      </c>
      <c r="O222">
        <v>0</v>
      </c>
      <c r="P222">
        <v>0</v>
      </c>
      <c r="Q222">
        <f>IF(O222&gt;G222,(O222-G222),0)</f>
        <v>0</v>
      </c>
      <c r="R222">
        <v>1</v>
      </c>
      <c r="S222">
        <f>IF(Q222&gt;0,Int(P222/Q222),0)</f>
        <v>0</v>
      </c>
      <c r="T222">
        <f>118065.24</f>
        <v>118065.24</v>
      </c>
      <c r="U222" t="s">
        <v>847</v>
      </c>
      <c r="V222">
        <v>129871.76</v>
      </c>
      <c r="W222" t="s">
        <v>43</v>
      </c>
      <c r="X222"/>
    </row>
    <row r="223" spans="1:27">
      <c r="A223" t="s">
        <v>35</v>
      </c>
      <c r="B223" t="s">
        <v>29</v>
      </c>
      <c r="C223" t="s">
        <v>848</v>
      </c>
      <c r="D223" t="s">
        <v>849</v>
      </c>
      <c r="E223" t="s">
        <v>850</v>
      </c>
      <c r="F223" t="s">
        <v>41</v>
      </c>
      <c r="G223">
        <v>0</v>
      </c>
      <c r="H223">
        <f>((0/1000) * G223)</f>
        <v>0</v>
      </c>
      <c r="I223">
        <v>0</v>
      </c>
      <c r="J223">
        <v>0</v>
      </c>
      <c r="K223" s="867">
        <v>96363.64</v>
      </c>
      <c r="L223" s="868">
        <f>(K223 * G223)</f>
        <v>0</v>
      </c>
      <c r="M223" s="869">
        <v>106000</v>
      </c>
      <c r="N223" s="870">
        <f>(G223 * M223)</f>
        <v>0</v>
      </c>
      <c r="O223">
        <v>0</v>
      </c>
      <c r="P223">
        <v>0</v>
      </c>
      <c r="Q223">
        <f>IF(O223&gt;G223,(O223-G223),0)</f>
        <v>0</v>
      </c>
      <c r="R223">
        <v>1</v>
      </c>
      <c r="S223">
        <f>IF(Q223&gt;0,Int(P223/Q223),0)</f>
        <v>0</v>
      </c>
      <c r="T223">
        <f>87603.31</f>
        <v>87603.31</v>
      </c>
      <c r="U223" t="s">
        <v>851</v>
      </c>
      <c r="V223">
        <v>96363.64</v>
      </c>
      <c r="W223" t="s">
        <v>43</v>
      </c>
      <c r="X223"/>
    </row>
    <row r="224" spans="1:27">
      <c r="A224" t="s">
        <v>35</v>
      </c>
      <c r="B224" t="s">
        <v>29</v>
      </c>
      <c r="C224" t="s">
        <v>852</v>
      </c>
      <c r="D224" t="s">
        <v>853</v>
      </c>
      <c r="E224" t="s">
        <v>854</v>
      </c>
      <c r="F224" t="s">
        <v>33</v>
      </c>
      <c r="G224">
        <v>0</v>
      </c>
      <c r="H224">
        <f>((0/1000) * G224)</f>
        <v>0</v>
      </c>
      <c r="I224">
        <v>0</v>
      </c>
      <c r="J224">
        <v>0</v>
      </c>
      <c r="K224" s="871">
        <v>61128.69</v>
      </c>
      <c r="L224" s="872">
        <f>(K224 * G224)</f>
        <v>0</v>
      </c>
      <c r="M224" s="873">
        <v>85580.17</v>
      </c>
      <c r="N224" s="874">
        <f>(G224 * M224)</f>
        <v>0</v>
      </c>
      <c r="O224">
        <v>0</v>
      </c>
      <c r="P224">
        <v>0</v>
      </c>
      <c r="Q224">
        <f>IF(O224&gt;G224,(O224-G224),0)</f>
        <v>0</v>
      </c>
      <c r="R224">
        <v>0</v>
      </c>
      <c r="S224">
        <f>IF(Q224&gt;0,Int(P224/Q224),0)</f>
        <v>0</v>
      </c>
      <c r="T224">
        <f>0</f>
        <v>0</v>
      </c>
      <c r="U224"/>
      <c r="V224">
        <v>61128.69</v>
      </c>
      <c r="W224" t="s">
        <v>529</v>
      </c>
      <c r="X224"/>
    </row>
    <row r="225" spans="1:27">
      <c r="A225" t="s">
        <v>35</v>
      </c>
      <c r="B225" t="s">
        <v>29</v>
      </c>
      <c r="C225" t="s">
        <v>855</v>
      </c>
      <c r="D225" t="s">
        <v>856</v>
      </c>
      <c r="E225" t="s">
        <v>857</v>
      </c>
      <c r="F225" t="s">
        <v>33</v>
      </c>
      <c r="G225">
        <v>0</v>
      </c>
      <c r="H225">
        <f>((0/1000) * G225)</f>
        <v>0</v>
      </c>
      <c r="I225">
        <v>0</v>
      </c>
      <c r="J225">
        <v>0</v>
      </c>
      <c r="K225" s="875">
        <v>47715</v>
      </c>
      <c r="L225" s="876">
        <f>(K225 * G225)</f>
        <v>0</v>
      </c>
      <c r="M225" s="877">
        <v>85887</v>
      </c>
      <c r="N225" s="878">
        <f>(G225 * M225)</f>
        <v>0</v>
      </c>
      <c r="O225">
        <v>0</v>
      </c>
      <c r="P225">
        <v>0</v>
      </c>
      <c r="Q225">
        <f>IF(O225&gt;G225,(O225-G225),0)</f>
        <v>0</v>
      </c>
      <c r="R225">
        <v>1</v>
      </c>
      <c r="S225">
        <f>IF(Q225&gt;0,Int(P225/Q225),0)</f>
        <v>0</v>
      </c>
      <c r="T225">
        <f>47715</f>
        <v>47715</v>
      </c>
      <c r="U225" t="s">
        <v>858</v>
      </c>
      <c r="V225">
        <v>47715</v>
      </c>
      <c r="W225" t="s">
        <v>651</v>
      </c>
      <c r="X225" t="s">
        <v>239</v>
      </c>
    </row>
    <row r="226" spans="1:27">
      <c r="A226" t="s">
        <v>35</v>
      </c>
      <c r="B226" t="s">
        <v>29</v>
      </c>
      <c r="C226" t="s">
        <v>859</v>
      </c>
      <c r="D226" t="s">
        <v>860</v>
      </c>
      <c r="E226" t="s">
        <v>861</v>
      </c>
      <c r="F226" t="s">
        <v>41</v>
      </c>
      <c r="G226">
        <v>0</v>
      </c>
      <c r="H226">
        <f>((0/1000) * G226)</f>
        <v>0</v>
      </c>
      <c r="I226">
        <v>0</v>
      </c>
      <c r="J226">
        <v>0</v>
      </c>
      <c r="K226" s="879">
        <v>60028.57</v>
      </c>
      <c r="L226" s="880">
        <f>(K226 * G226)</f>
        <v>0</v>
      </c>
      <c r="M226" s="881">
        <v>84040</v>
      </c>
      <c r="N226" s="882">
        <f>(G226 * M226)</f>
        <v>0</v>
      </c>
      <c r="O226">
        <v>0</v>
      </c>
      <c r="P226">
        <v>0</v>
      </c>
      <c r="Q226">
        <f>IF(O226&gt;G226,(O226-G226),0)</f>
        <v>0</v>
      </c>
      <c r="R226">
        <v>1</v>
      </c>
      <c r="S226">
        <f>IF(Q226&gt;0,Int(P226/Q226),0)</f>
        <v>0</v>
      </c>
      <c r="T226">
        <f>56777</f>
        <v>56777</v>
      </c>
      <c r="U226" t="s">
        <v>862</v>
      </c>
      <c r="V226">
        <v>60028.57</v>
      </c>
      <c r="W226" t="s">
        <v>301</v>
      </c>
      <c r="X226"/>
    </row>
    <row r="227" spans="1:27">
      <c r="A227" t="s">
        <v>35</v>
      </c>
      <c r="B227" t="s">
        <v>29</v>
      </c>
      <c r="C227" t="s">
        <v>863</v>
      </c>
      <c r="D227" t="s">
        <v>864</v>
      </c>
      <c r="E227" t="s">
        <v>865</v>
      </c>
      <c r="F227" t="s">
        <v>41</v>
      </c>
      <c r="G227">
        <v>0</v>
      </c>
      <c r="H227">
        <f>((0/1000) * G227)</f>
        <v>0</v>
      </c>
      <c r="I227">
        <v>0</v>
      </c>
      <c r="J227">
        <v>0</v>
      </c>
      <c r="K227" s="883">
        <v>136396.89</v>
      </c>
      <c r="L227" s="884">
        <f>(K227 * G227)</f>
        <v>0</v>
      </c>
      <c r="M227" s="885">
        <v>136396.89</v>
      </c>
      <c r="N227" s="886">
        <f>(G227 * M227)</f>
        <v>0</v>
      </c>
      <c r="O227">
        <v>0</v>
      </c>
      <c r="P227">
        <v>0</v>
      </c>
      <c r="Q227">
        <f>IF(O227&gt;G227,(O227-G227),0)</f>
        <v>0</v>
      </c>
      <c r="R227">
        <v>1</v>
      </c>
      <c r="S227">
        <f>IF(Q227&gt;0,Int(P227/Q227),0)</f>
        <v>0</v>
      </c>
      <c r="T227">
        <f>123997.17</f>
        <v>123997.17</v>
      </c>
      <c r="U227" t="s">
        <v>866</v>
      </c>
      <c r="V227">
        <v>136396.89</v>
      </c>
      <c r="W227" t="s">
        <v>43</v>
      </c>
      <c r="X227"/>
    </row>
    <row r="228" spans="1:27">
      <c r="A228" t="s">
        <v>35</v>
      </c>
      <c r="B228" t="s">
        <v>29</v>
      </c>
      <c r="C228" t="s">
        <v>867</v>
      </c>
      <c r="D228" t="s">
        <v>868</v>
      </c>
      <c r="E228" t="s">
        <v>869</v>
      </c>
      <c r="F228" t="s">
        <v>33</v>
      </c>
      <c r="G228">
        <v>0</v>
      </c>
      <c r="H228">
        <f>((0/1000) * G228)</f>
        <v>0</v>
      </c>
      <c r="I228">
        <v>0</v>
      </c>
      <c r="J228">
        <v>0</v>
      </c>
      <c r="K228" s="887">
        <v>118683.67</v>
      </c>
      <c r="L228" s="888">
        <f>(K228 * G228)</f>
        <v>0</v>
      </c>
      <c r="M228" s="889">
        <v>166157.14</v>
      </c>
      <c r="N228" s="890">
        <f>(G228 * M228)</f>
        <v>0</v>
      </c>
      <c r="O228">
        <v>0</v>
      </c>
      <c r="P228">
        <v>0</v>
      </c>
      <c r="Q228">
        <f>IF(O228&gt;G228,(O228-G228),0)</f>
        <v>0</v>
      </c>
      <c r="R228">
        <v>1</v>
      </c>
      <c r="S228">
        <f>IF(Q228&gt;0,Int(P228/Q228),0)</f>
        <v>0</v>
      </c>
      <c r="T228">
        <f>107854.22</f>
        <v>107854.22</v>
      </c>
      <c r="U228" t="s">
        <v>870</v>
      </c>
      <c r="V228">
        <v>118683.67</v>
      </c>
      <c r="W228" t="s">
        <v>182</v>
      </c>
      <c r="X228"/>
    </row>
    <row r="229" spans="1:27">
      <c r="A229" t="s">
        <v>35</v>
      </c>
      <c r="B229" t="s">
        <v>29</v>
      </c>
      <c r="C229" t="s">
        <v>871</v>
      </c>
      <c r="D229" t="s">
        <v>872</v>
      </c>
      <c r="E229" t="s">
        <v>873</v>
      </c>
      <c r="F229" t="s">
        <v>41</v>
      </c>
      <c r="G229">
        <v>6</v>
      </c>
      <c r="H229">
        <f>((0/1000) * G229)</f>
        <v>0</v>
      </c>
      <c r="I229">
        <v>6</v>
      </c>
      <c r="J229">
        <v>0</v>
      </c>
      <c r="K229" s="891">
        <v>118683.67</v>
      </c>
      <c r="L229" s="892">
        <f>(K229 * G229)</f>
        <v>712102.02</v>
      </c>
      <c r="M229" s="893">
        <v>166157.14</v>
      </c>
      <c r="N229" s="894">
        <f>(G229 * M229)</f>
        <v>996942.84</v>
      </c>
      <c r="O229">
        <v>0</v>
      </c>
      <c r="P229">
        <v>0</v>
      </c>
      <c r="Q229">
        <f>IF(O229&gt;G229,(O229-G229),0)</f>
        <v>0</v>
      </c>
      <c r="R229">
        <v>1</v>
      </c>
      <c r="S229">
        <f>IF(Q229&gt;0,Int(P229/Q229),0)</f>
        <v>0</v>
      </c>
      <c r="T229">
        <f>113689.23</f>
        <v>113689.23</v>
      </c>
      <c r="U229" t="s">
        <v>874</v>
      </c>
      <c r="V229">
        <v>118683.67</v>
      </c>
      <c r="W229" t="s">
        <v>182</v>
      </c>
      <c r="X229"/>
    </row>
    <row r="230" spans="1:27">
      <c r="A230" t="s">
        <v>35</v>
      </c>
      <c r="B230" t="s">
        <v>29</v>
      </c>
      <c r="C230" t="s">
        <v>875</v>
      </c>
      <c r="D230" t="s">
        <v>876</v>
      </c>
      <c r="E230" t="s">
        <v>877</v>
      </c>
      <c r="F230" t="s">
        <v>41</v>
      </c>
      <c r="G230">
        <v>0</v>
      </c>
      <c r="H230">
        <f>((0/1000) * G230)</f>
        <v>0</v>
      </c>
      <c r="I230">
        <v>0</v>
      </c>
      <c r="J230">
        <v>0</v>
      </c>
      <c r="K230" s="895">
        <v>183818.18</v>
      </c>
      <c r="L230" s="896">
        <f>(K230 * G230)</f>
        <v>0</v>
      </c>
      <c r="M230" s="897">
        <v>257345.45</v>
      </c>
      <c r="N230" s="898">
        <f>(G230 * M230)</f>
        <v>0</v>
      </c>
      <c r="O230">
        <v>0</v>
      </c>
      <c r="P230">
        <v>0</v>
      </c>
      <c r="Q230">
        <f>IF(O230&gt;G230,(O230-G230),0)</f>
        <v>0</v>
      </c>
      <c r="R230">
        <v>1</v>
      </c>
      <c r="S230">
        <f>IF(Q230&gt;0,Int(P230/Q230),0)</f>
        <v>0</v>
      </c>
      <c r="T230">
        <f>133685.95</f>
        <v>133685.95</v>
      </c>
      <c r="U230" t="s">
        <v>878</v>
      </c>
      <c r="V230">
        <v>183818.18</v>
      </c>
      <c r="W230" t="s">
        <v>75</v>
      </c>
      <c r="X230"/>
    </row>
    <row r="231" spans="1:27">
      <c r="A231" t="s">
        <v>35</v>
      </c>
      <c r="B231" t="s">
        <v>29</v>
      </c>
      <c r="C231" t="s">
        <v>879</v>
      </c>
      <c r="D231" t="s">
        <v>880</v>
      </c>
      <c r="E231" t="s">
        <v>881</v>
      </c>
      <c r="F231" t="s">
        <v>41</v>
      </c>
      <c r="G231">
        <v>0</v>
      </c>
      <c r="H231">
        <f>((0/1000) * G231)</f>
        <v>0</v>
      </c>
      <c r="I231">
        <v>0</v>
      </c>
      <c r="J231">
        <v>0</v>
      </c>
      <c r="K231" s="899">
        <v>138842.98</v>
      </c>
      <c r="L231" s="900">
        <f>(K231 * G231)</f>
        <v>0</v>
      </c>
      <c r="M231" s="901">
        <v>152727.28</v>
      </c>
      <c r="N231" s="902">
        <f>(G231 * M231)</f>
        <v>0</v>
      </c>
      <c r="O231">
        <v>0</v>
      </c>
      <c r="P231">
        <v>0</v>
      </c>
      <c r="Q231">
        <f>IF(O231&gt;G231,(O231-G231),0)</f>
        <v>0</v>
      </c>
      <c r="R231">
        <v>1</v>
      </c>
      <c r="S231">
        <f>IF(Q231&gt;0,Int(P231/Q231),0)</f>
        <v>0</v>
      </c>
      <c r="T231">
        <f>0</f>
        <v>0</v>
      </c>
      <c r="U231"/>
      <c r="V231">
        <v>138842.98</v>
      </c>
      <c r="W231" t="s">
        <v>43</v>
      </c>
      <c r="X231"/>
    </row>
    <row r="232" spans="1:27">
      <c r="A232" t="s">
        <v>35</v>
      </c>
      <c r="B232" t="s">
        <v>29</v>
      </c>
      <c r="C232" t="s">
        <v>882</v>
      </c>
      <c r="D232" t="s">
        <v>883</v>
      </c>
      <c r="E232" t="s">
        <v>884</v>
      </c>
      <c r="F232" t="s">
        <v>33</v>
      </c>
      <c r="G232">
        <v>0</v>
      </c>
      <c r="H232">
        <f>((0/1000) * G232)</f>
        <v>0</v>
      </c>
      <c r="I232">
        <v>0</v>
      </c>
      <c r="J232">
        <v>0</v>
      </c>
      <c r="K232" s="903">
        <v>110315.07</v>
      </c>
      <c r="L232" s="904">
        <f>(K232 * G232)</f>
        <v>0</v>
      </c>
      <c r="M232" s="905">
        <v>154441.1</v>
      </c>
      <c r="N232" s="906">
        <f>(G232 * M232)</f>
        <v>0</v>
      </c>
      <c r="O232">
        <v>0</v>
      </c>
      <c r="P232">
        <v>0</v>
      </c>
      <c r="Q232">
        <f>IF(O232&gt;G232,(O232-G232),0)</f>
        <v>0</v>
      </c>
      <c r="R232">
        <v>0</v>
      </c>
      <c r="S232">
        <f>IF(Q232&gt;0,Int(P232/Q232),0)</f>
        <v>0</v>
      </c>
      <c r="T232">
        <f>110315.07</f>
        <v>110315.07</v>
      </c>
      <c r="U232" t="s">
        <v>885</v>
      </c>
      <c r="V232">
        <v>110315.07</v>
      </c>
      <c r="W232" t="s">
        <v>301</v>
      </c>
      <c r="X232"/>
    </row>
    <row r="233" spans="1:27">
      <c r="A233" t="s">
        <v>35</v>
      </c>
      <c r="B233" t="s">
        <v>29</v>
      </c>
      <c r="C233" t="s">
        <v>886</v>
      </c>
      <c r="D233" t="s">
        <v>887</v>
      </c>
      <c r="E233" t="s">
        <v>888</v>
      </c>
      <c r="F233" t="s">
        <v>33</v>
      </c>
      <c r="G233">
        <v>0</v>
      </c>
      <c r="H233">
        <f>((0/1000) * G233)</f>
        <v>0</v>
      </c>
      <c r="I233">
        <v>0</v>
      </c>
      <c r="J233">
        <v>0</v>
      </c>
      <c r="K233" s="907">
        <v>0</v>
      </c>
      <c r="L233" s="908">
        <f>(K233 * G233)</f>
        <v>0</v>
      </c>
      <c r="M233" s="909">
        <v>0</v>
      </c>
      <c r="N233" s="910">
        <f>(G233 * M233)</f>
        <v>0</v>
      </c>
      <c r="O233">
        <v>0</v>
      </c>
      <c r="P233">
        <v>0</v>
      </c>
      <c r="Q233">
        <f>IF(O233&gt;G233,(O233-G233),0)</f>
        <v>0</v>
      </c>
      <c r="R233">
        <v>1</v>
      </c>
      <c r="S233">
        <f>IF(Q233&gt;0,Int(P233/Q233),0)</f>
        <v>0</v>
      </c>
      <c r="T233">
        <f>101427.5</f>
        <v>101427.5</v>
      </c>
      <c r="U233" t="s">
        <v>889</v>
      </c>
      <c r="V233">
        <v>0</v>
      </c>
      <c r="W233">
        <v>0</v>
      </c>
      <c r="X233"/>
    </row>
    <row r="234" spans="1:27">
      <c r="A234" t="s">
        <v>35</v>
      </c>
      <c r="B234" t="s">
        <v>29</v>
      </c>
      <c r="C234" t="s">
        <v>890</v>
      </c>
      <c r="D234" t="s">
        <v>891</v>
      </c>
      <c r="E234" t="s">
        <v>892</v>
      </c>
      <c r="F234" t="s">
        <v>33</v>
      </c>
      <c r="G234">
        <v>0</v>
      </c>
      <c r="H234">
        <f>((0/1000) * G234)</f>
        <v>0</v>
      </c>
      <c r="I234">
        <v>0</v>
      </c>
      <c r="J234">
        <v>0</v>
      </c>
      <c r="K234" s="911">
        <v>90972.81</v>
      </c>
      <c r="L234" s="912">
        <f>(K234 * G234)</f>
        <v>0</v>
      </c>
      <c r="M234" s="913">
        <v>113716.01</v>
      </c>
      <c r="N234" s="914">
        <f>(G234 * M234)</f>
        <v>0</v>
      </c>
      <c r="O234">
        <v>0</v>
      </c>
      <c r="P234">
        <v>0</v>
      </c>
      <c r="Q234">
        <f>IF(O234&gt;G234,(O234-G234),0)</f>
        <v>0</v>
      </c>
      <c r="R234">
        <v>1</v>
      </c>
      <c r="S234">
        <f>IF(Q234&gt;0,Int(P234/Q234),0)</f>
        <v>0</v>
      </c>
      <c r="T234">
        <f>57603</f>
        <v>57603</v>
      </c>
      <c r="U234" t="s">
        <v>893</v>
      </c>
      <c r="V234">
        <v>90972.81</v>
      </c>
      <c r="W234" t="s">
        <v>43</v>
      </c>
      <c r="X234" t="s">
        <v>209</v>
      </c>
    </row>
    <row r="235" spans="1:27">
      <c r="A235" t="s">
        <v>35</v>
      </c>
      <c r="B235" t="s">
        <v>29</v>
      </c>
      <c r="C235" t="s">
        <v>894</v>
      </c>
      <c r="D235" t="s">
        <v>895</v>
      </c>
      <c r="E235" t="s">
        <v>896</v>
      </c>
      <c r="F235" t="s">
        <v>33</v>
      </c>
      <c r="G235">
        <v>11</v>
      </c>
      <c r="H235">
        <f>((0/1000) * G235)</f>
        <v>0</v>
      </c>
      <c r="I235">
        <v>0</v>
      </c>
      <c r="J235">
        <v>11</v>
      </c>
      <c r="K235" s="915">
        <v>86912.58</v>
      </c>
      <c r="L235" s="916">
        <f>(K235 * G235)</f>
        <v>956038.38</v>
      </c>
      <c r="M235" s="917">
        <v>139060.13</v>
      </c>
      <c r="N235" s="918">
        <f>(G235 * M235)</f>
        <v>1529661.43</v>
      </c>
      <c r="O235">
        <v>0</v>
      </c>
      <c r="P235">
        <v>0</v>
      </c>
      <c r="Q235">
        <f>IF(O235&gt;G235,(O235-G235),0)</f>
        <v>0</v>
      </c>
      <c r="R235">
        <v>0</v>
      </c>
      <c r="S235">
        <f>IF(Q235&gt;0,Int(P235/Q235),0)</f>
        <v>0</v>
      </c>
      <c r="T235">
        <f>86912.58</f>
        <v>86912.58</v>
      </c>
      <c r="U235" t="s">
        <v>897</v>
      </c>
      <c r="V235">
        <v>86912.58</v>
      </c>
      <c r="W235" t="s">
        <v>898</v>
      </c>
      <c r="X235"/>
    </row>
    <row r="236" spans="1:27">
      <c r="A236" t="s">
        <v>35</v>
      </c>
      <c r="B236" t="s">
        <v>29</v>
      </c>
      <c r="C236" t="s">
        <v>899</v>
      </c>
      <c r="D236" t="s">
        <v>899</v>
      </c>
      <c r="E236" t="s">
        <v>900</v>
      </c>
      <c r="F236" t="s">
        <v>33</v>
      </c>
      <c r="G236">
        <v>0</v>
      </c>
      <c r="H236">
        <f>((1/1000) * G236)</f>
        <v>0</v>
      </c>
      <c r="I236">
        <v>0</v>
      </c>
      <c r="J236">
        <v>0</v>
      </c>
      <c r="K236" s="919">
        <v>98049.74</v>
      </c>
      <c r="L236" s="920">
        <f>(K236 * G236)</f>
        <v>0</v>
      </c>
      <c r="M236" s="921">
        <v>137269.64</v>
      </c>
      <c r="N236" s="922">
        <f>(G236 * M236)</f>
        <v>0</v>
      </c>
      <c r="O236">
        <v>0</v>
      </c>
      <c r="P236">
        <v>0</v>
      </c>
      <c r="Q236">
        <f>IF(O236&gt;G236,(O236-G236),0)</f>
        <v>0</v>
      </c>
      <c r="R236">
        <v>1</v>
      </c>
      <c r="S236">
        <f>IF(Q236&gt;0,Int(P236/Q236),0)</f>
        <v>0</v>
      </c>
      <c r="T236">
        <f>0</f>
        <v>0</v>
      </c>
      <c r="U236"/>
      <c r="V236">
        <v>98049.74</v>
      </c>
      <c r="W236" t="s">
        <v>75</v>
      </c>
      <c r="X236"/>
    </row>
    <row r="237" spans="1:27">
      <c r="A237" t="s">
        <v>35</v>
      </c>
      <c r="B237" t="s">
        <v>29</v>
      </c>
      <c r="C237" t="s">
        <v>901</v>
      </c>
      <c r="D237" t="s">
        <v>902</v>
      </c>
      <c r="E237" t="s">
        <v>903</v>
      </c>
      <c r="F237" t="s">
        <v>33</v>
      </c>
      <c r="G237">
        <v>0</v>
      </c>
      <c r="H237">
        <f>((0/1000) * G237)</f>
        <v>0</v>
      </c>
      <c r="I237">
        <v>0</v>
      </c>
      <c r="J237">
        <v>0</v>
      </c>
      <c r="K237" s="923">
        <v>76655.25</v>
      </c>
      <c r="L237" s="924">
        <f>(K237 * G237)</f>
        <v>0</v>
      </c>
      <c r="M237" s="925">
        <v>107317.36</v>
      </c>
      <c r="N237" s="926">
        <f>(G237 * M237)</f>
        <v>0</v>
      </c>
      <c r="O237">
        <v>0</v>
      </c>
      <c r="P237">
        <v>0</v>
      </c>
      <c r="Q237">
        <f>IF(O237&gt;G237,(O237-G237),0)</f>
        <v>0</v>
      </c>
      <c r="R237">
        <v>1</v>
      </c>
      <c r="S237">
        <f>IF(Q237&gt;0,Int(P237/Q237),0)</f>
        <v>0</v>
      </c>
      <c r="T237">
        <f>0</f>
        <v>0</v>
      </c>
      <c r="U237" t="s">
        <v>904</v>
      </c>
      <c r="V237">
        <v>76655.25</v>
      </c>
      <c r="W237" t="s">
        <v>529</v>
      </c>
      <c r="X237"/>
    </row>
    <row r="238" spans="1:27">
      <c r="A238" t="s">
        <v>35</v>
      </c>
      <c r="B238" t="s">
        <v>29</v>
      </c>
      <c r="C238" t="s">
        <v>905</v>
      </c>
      <c r="D238" t="s">
        <v>906</v>
      </c>
      <c r="E238" t="s">
        <v>907</v>
      </c>
      <c r="F238" t="s">
        <v>33</v>
      </c>
      <c r="G238">
        <v>0</v>
      </c>
      <c r="H238">
        <f>((0/1000) * G238)</f>
        <v>0</v>
      </c>
      <c r="I238">
        <v>0</v>
      </c>
      <c r="J238">
        <v>0</v>
      </c>
      <c r="K238" s="927">
        <v>54722.8</v>
      </c>
      <c r="L238" s="928">
        <f>(K238 * G238)</f>
        <v>0</v>
      </c>
      <c r="M238" s="929">
        <v>76611.92</v>
      </c>
      <c r="N238" s="930">
        <f>(G238 * M238)</f>
        <v>0</v>
      </c>
      <c r="O238">
        <v>0</v>
      </c>
      <c r="P238">
        <v>0</v>
      </c>
      <c r="Q238">
        <f>IF(O238&gt;G238,(O238-G238),0)</f>
        <v>0</v>
      </c>
      <c r="R238">
        <v>1</v>
      </c>
      <c r="S238">
        <f>IF(Q238&gt;0,Int(P238/Q238),0)</f>
        <v>0</v>
      </c>
      <c r="T238">
        <f>0</f>
        <v>0</v>
      </c>
      <c r="U238"/>
      <c r="V238">
        <v>54722.8</v>
      </c>
      <c r="W238" t="s">
        <v>75</v>
      </c>
      <c r="X238"/>
    </row>
    <row r="239" spans="1:27">
      <c r="A239" t="s">
        <v>35</v>
      </c>
      <c r="B239" t="s">
        <v>29</v>
      </c>
      <c r="C239" t="s">
        <v>908</v>
      </c>
      <c r="D239" t="s">
        <v>909</v>
      </c>
      <c r="E239" t="s">
        <v>910</v>
      </c>
      <c r="F239" t="s">
        <v>33</v>
      </c>
      <c r="G239">
        <v>0</v>
      </c>
      <c r="H239">
        <f>((0/1000) * G239)</f>
        <v>0</v>
      </c>
      <c r="I239">
        <v>0</v>
      </c>
      <c r="J239">
        <v>0</v>
      </c>
      <c r="K239" s="931">
        <v>58535.71</v>
      </c>
      <c r="L239" s="932">
        <f>(K239 * G239)</f>
        <v>0</v>
      </c>
      <c r="M239" s="933">
        <v>81950</v>
      </c>
      <c r="N239" s="934">
        <f>(G239 * M239)</f>
        <v>0</v>
      </c>
      <c r="O239">
        <v>0</v>
      </c>
      <c r="P239">
        <v>0</v>
      </c>
      <c r="Q239">
        <f>IF(O239&gt;G239,(O239-G239),0)</f>
        <v>0</v>
      </c>
      <c r="R239">
        <v>1</v>
      </c>
      <c r="S239">
        <f>IF(Q239&gt;0,Int(P239/Q239),0)</f>
        <v>0</v>
      </c>
      <c r="T239">
        <f>0</f>
        <v>0</v>
      </c>
      <c r="U239"/>
      <c r="V239">
        <v>58535.71</v>
      </c>
      <c r="W239" t="s">
        <v>75</v>
      </c>
      <c r="X239"/>
    </row>
    <row r="240" spans="1:27">
      <c r="A240" t="s">
        <v>35</v>
      </c>
      <c r="B240" t="s">
        <v>29</v>
      </c>
      <c r="C240" t="s">
        <v>911</v>
      </c>
      <c r="D240" t="s">
        <v>912</v>
      </c>
      <c r="E240" t="s">
        <v>913</v>
      </c>
      <c r="F240" t="s">
        <v>41</v>
      </c>
      <c r="G240">
        <v>0</v>
      </c>
      <c r="H240">
        <f>((0/1000) * G240)</f>
        <v>0</v>
      </c>
      <c r="I240">
        <v>0</v>
      </c>
      <c r="J240">
        <v>0</v>
      </c>
      <c r="K240" s="935">
        <v>12232</v>
      </c>
      <c r="L240" s="936">
        <f>(K240 * G240)</f>
        <v>0</v>
      </c>
      <c r="M240" s="937">
        <v>13455.2</v>
      </c>
      <c r="N240" s="938">
        <f>(G240 * M240)</f>
        <v>0</v>
      </c>
      <c r="O240">
        <v>0</v>
      </c>
      <c r="P240">
        <v>0</v>
      </c>
      <c r="Q240">
        <f>IF(O240&gt;G240,(O240-G240),0)</f>
        <v>0</v>
      </c>
      <c r="R240">
        <v>1</v>
      </c>
      <c r="S240">
        <f>IF(Q240&gt;0,Int(P240/Q240),0)</f>
        <v>0</v>
      </c>
      <c r="T240">
        <f>0</f>
        <v>0</v>
      </c>
      <c r="U240"/>
      <c r="V240">
        <v>12232</v>
      </c>
      <c r="W240" t="s">
        <v>43</v>
      </c>
      <c r="X240"/>
    </row>
    <row r="241" spans="1:27">
      <c r="A241" t="s">
        <v>35</v>
      </c>
      <c r="B241" t="s">
        <v>29</v>
      </c>
      <c r="C241" t="s">
        <v>914</v>
      </c>
      <c r="D241" t="s">
        <v>915</v>
      </c>
      <c r="E241" t="s">
        <v>916</v>
      </c>
      <c r="F241" t="s">
        <v>41</v>
      </c>
      <c r="G241">
        <v>4</v>
      </c>
      <c r="H241">
        <f>((0/1000) * G241)</f>
        <v>0</v>
      </c>
      <c r="I241">
        <v>4</v>
      </c>
      <c r="J241">
        <v>0</v>
      </c>
      <c r="K241" s="939">
        <v>97755.03</v>
      </c>
      <c r="L241" s="940">
        <f>(K241 * G241)</f>
        <v>391020.12</v>
      </c>
      <c r="M241" s="941">
        <v>136857.05</v>
      </c>
      <c r="N241" s="942">
        <f>(G241 * M241)</f>
        <v>547428.2</v>
      </c>
      <c r="O241">
        <v>0</v>
      </c>
      <c r="P241">
        <v>0</v>
      </c>
      <c r="Q241">
        <f>IF(O241&gt;G241,(O241-G241),0)</f>
        <v>0</v>
      </c>
      <c r="R241">
        <v>1</v>
      </c>
      <c r="S241">
        <f>IF(Q241&gt;0,Int(P241/Q241),0)</f>
        <v>0</v>
      </c>
      <c r="T241">
        <f>93641.31</f>
        <v>93641.31</v>
      </c>
      <c r="U241" t="s">
        <v>917</v>
      </c>
      <c r="V241">
        <v>97755.03</v>
      </c>
      <c r="W241" t="s">
        <v>182</v>
      </c>
      <c r="X241"/>
    </row>
    <row r="242" spans="1:27">
      <c r="A242" t="s">
        <v>35</v>
      </c>
      <c r="B242" t="s">
        <v>29</v>
      </c>
      <c r="C242" t="s">
        <v>918</v>
      </c>
      <c r="D242" t="s">
        <v>919</v>
      </c>
      <c r="E242" t="s">
        <v>920</v>
      </c>
      <c r="F242" t="s">
        <v>33</v>
      </c>
      <c r="G242">
        <v>1</v>
      </c>
      <c r="H242">
        <f>((0/1000) * G242)</f>
        <v>0</v>
      </c>
      <c r="I242">
        <v>0</v>
      </c>
      <c r="J242">
        <v>1</v>
      </c>
      <c r="K242" s="943">
        <v>70006.35</v>
      </c>
      <c r="L242" s="944">
        <f>(K242 * G242)</f>
        <v>70006.35</v>
      </c>
      <c r="M242" s="945">
        <v>98008.9</v>
      </c>
      <c r="N242" s="946">
        <f>(G242 * M242)</f>
        <v>98008.9</v>
      </c>
      <c r="O242">
        <v>0</v>
      </c>
      <c r="P242">
        <v>0</v>
      </c>
      <c r="Q242">
        <f>IF(O242&gt;G242,(O242-G242),0)</f>
        <v>0</v>
      </c>
      <c r="R242">
        <v>1</v>
      </c>
      <c r="S242">
        <f>IF(Q242&gt;0,Int(P242/Q242),0)</f>
        <v>0</v>
      </c>
      <c r="T242">
        <f>58300</f>
        <v>58300</v>
      </c>
      <c r="U242" t="s">
        <v>921</v>
      </c>
      <c r="V242">
        <v>70006.35</v>
      </c>
      <c r="W242" t="s">
        <v>80</v>
      </c>
      <c r="X242" t="s">
        <v>136</v>
      </c>
    </row>
    <row r="243" spans="1:27">
      <c r="A243" t="s">
        <v>35</v>
      </c>
      <c r="B243" t="s">
        <v>29</v>
      </c>
      <c r="C243" t="s">
        <v>922</v>
      </c>
      <c r="D243" t="s">
        <v>923</v>
      </c>
      <c r="E243" t="s">
        <v>924</v>
      </c>
      <c r="F243" t="s">
        <v>33</v>
      </c>
      <c r="G243">
        <v>0</v>
      </c>
      <c r="H243">
        <f>((0/1000) * G243)</f>
        <v>0</v>
      </c>
      <c r="I243">
        <v>0</v>
      </c>
      <c r="J243">
        <v>0</v>
      </c>
      <c r="K243" s="947">
        <v>58016</v>
      </c>
      <c r="L243" s="948">
        <f>(K243 * G243)</f>
        <v>0</v>
      </c>
      <c r="M243" s="949">
        <v>81222.4</v>
      </c>
      <c r="N243" s="950">
        <f>(G243 * M243)</f>
        <v>0</v>
      </c>
      <c r="O243">
        <v>0</v>
      </c>
      <c r="P243">
        <v>0</v>
      </c>
      <c r="Q243">
        <f>IF(O243&gt;G243,(O243-G243),0)</f>
        <v>0</v>
      </c>
      <c r="R243">
        <v>1</v>
      </c>
      <c r="S243">
        <f>IF(Q243&gt;0,Int(P243/Q243),0)</f>
        <v>0</v>
      </c>
      <c r="T243">
        <f>72877.54</f>
        <v>72877.54</v>
      </c>
      <c r="U243" t="s">
        <v>925</v>
      </c>
      <c r="V243">
        <v>58016</v>
      </c>
      <c r="W243" t="s">
        <v>75</v>
      </c>
      <c r="X243" t="s">
        <v>374</v>
      </c>
    </row>
    <row r="244" spans="1:27">
      <c r="A244" t="s">
        <v>35</v>
      </c>
      <c r="B244" t="s">
        <v>29</v>
      </c>
      <c r="C244" t="s">
        <v>926</v>
      </c>
      <c r="D244" t="s">
        <v>927</v>
      </c>
      <c r="E244" t="s">
        <v>928</v>
      </c>
      <c r="F244" t="s">
        <v>41</v>
      </c>
      <c r="G244">
        <v>0</v>
      </c>
      <c r="H244">
        <f>((0/1000) * G244)</f>
        <v>0</v>
      </c>
      <c r="I244">
        <v>0</v>
      </c>
      <c r="J244">
        <v>0</v>
      </c>
      <c r="K244" s="951">
        <v>56461.82</v>
      </c>
      <c r="L244" s="952">
        <f>(K244 * G244)</f>
        <v>0</v>
      </c>
      <c r="M244" s="953">
        <v>81869.65</v>
      </c>
      <c r="N244" s="954">
        <f>(G244 * M244)</f>
        <v>0</v>
      </c>
      <c r="O244">
        <v>0</v>
      </c>
      <c r="P244">
        <v>0</v>
      </c>
      <c r="Q244">
        <f>IF(O244&gt;G244,(O244-G244),0)</f>
        <v>0</v>
      </c>
      <c r="R244">
        <v>1</v>
      </c>
      <c r="S244">
        <f>IF(Q244&gt;0,Int(P244/Q244),0)</f>
        <v>0</v>
      </c>
      <c r="T244">
        <f>51328.93</f>
        <v>51328.93</v>
      </c>
      <c r="U244" t="s">
        <v>929</v>
      </c>
      <c r="V244">
        <v>56461.82</v>
      </c>
      <c r="W244" t="s">
        <v>43</v>
      </c>
      <c r="X244" t="s">
        <v>386</v>
      </c>
    </row>
    <row r="245" spans="1:27">
      <c r="A245" t="s">
        <v>35</v>
      </c>
      <c r="B245" t="s">
        <v>29</v>
      </c>
      <c r="C245" t="s">
        <v>930</v>
      </c>
      <c r="D245" t="s">
        <v>931</v>
      </c>
      <c r="E245" t="s">
        <v>932</v>
      </c>
      <c r="F245" t="s">
        <v>33</v>
      </c>
      <c r="G245">
        <v>0</v>
      </c>
      <c r="H245">
        <f>((0/1000) * G245)</f>
        <v>0</v>
      </c>
      <c r="I245">
        <v>0</v>
      </c>
      <c r="J245">
        <v>0</v>
      </c>
      <c r="K245" s="955">
        <v>56990.55</v>
      </c>
      <c r="L245" s="956">
        <f>(K245 * G245)</f>
        <v>0</v>
      </c>
      <c r="M245" s="957">
        <v>79786.78</v>
      </c>
      <c r="N245" s="958">
        <f>(G245 * M245)</f>
        <v>0</v>
      </c>
      <c r="O245">
        <v>0</v>
      </c>
      <c r="P245">
        <v>0</v>
      </c>
      <c r="Q245">
        <f>IF(O245&gt;G245,(O245-G245),0)</f>
        <v>0</v>
      </c>
      <c r="R245">
        <v>1</v>
      </c>
      <c r="S245">
        <f>IF(Q245&gt;0,Int(P245/Q245),0)</f>
        <v>0</v>
      </c>
      <c r="T245">
        <f>52954.434</f>
        <v>52954.434</v>
      </c>
      <c r="U245" t="s">
        <v>933</v>
      </c>
      <c r="V245">
        <v>56990.55</v>
      </c>
      <c r="W245" t="s">
        <v>529</v>
      </c>
      <c r="X245"/>
    </row>
    <row r="246" spans="1:27">
      <c r="A246" t="s">
        <v>35</v>
      </c>
      <c r="B246" t="s">
        <v>29</v>
      </c>
      <c r="C246" t="s">
        <v>934</v>
      </c>
      <c r="D246" t="s">
        <v>935</v>
      </c>
      <c r="E246" t="s">
        <v>936</v>
      </c>
      <c r="F246" t="s">
        <v>41</v>
      </c>
      <c r="G246">
        <v>3</v>
      </c>
      <c r="H246">
        <f>((0/1000) * G246)</f>
        <v>0</v>
      </c>
      <c r="I246">
        <v>0</v>
      </c>
      <c r="J246">
        <v>3</v>
      </c>
      <c r="K246" s="959">
        <v>61487</v>
      </c>
      <c r="L246" s="960">
        <f>(K246 * G246)</f>
        <v>184461</v>
      </c>
      <c r="M246" s="961">
        <v>110676.6</v>
      </c>
      <c r="N246" s="962">
        <f>(G246 * M246)</f>
        <v>332029.8</v>
      </c>
      <c r="O246">
        <v>0</v>
      </c>
      <c r="P246">
        <v>0</v>
      </c>
      <c r="Q246">
        <f>IF(O246&gt;G246,(O246-G246),0)</f>
        <v>0</v>
      </c>
      <c r="R246">
        <v>1</v>
      </c>
      <c r="S246">
        <f>IF(Q246&gt;0,Int(P246/Q246),0)</f>
        <v>0</v>
      </c>
      <c r="T246">
        <f>61487</f>
        <v>61487</v>
      </c>
      <c r="U246" t="s">
        <v>79</v>
      </c>
      <c r="V246">
        <v>61487</v>
      </c>
      <c r="W246" t="s">
        <v>651</v>
      </c>
      <c r="X246"/>
    </row>
    <row r="247" spans="1:27">
      <c r="A247" t="s">
        <v>35</v>
      </c>
      <c r="B247" t="s">
        <v>29</v>
      </c>
      <c r="C247" t="s">
        <v>937</v>
      </c>
      <c r="D247" t="s">
        <v>938</v>
      </c>
      <c r="E247" t="s">
        <v>939</v>
      </c>
      <c r="F247" t="s">
        <v>33</v>
      </c>
      <c r="G247">
        <v>0</v>
      </c>
      <c r="H247">
        <f>((0/1000) * G247)</f>
        <v>0</v>
      </c>
      <c r="I247">
        <v>0</v>
      </c>
      <c r="J247">
        <v>0</v>
      </c>
      <c r="K247" s="963">
        <v>84231.41</v>
      </c>
      <c r="L247" s="964">
        <f>(K247 * G247)</f>
        <v>0</v>
      </c>
      <c r="M247" s="965">
        <v>117923.97</v>
      </c>
      <c r="N247" s="966">
        <f>(G247 * M247)</f>
        <v>0</v>
      </c>
      <c r="O247">
        <v>0</v>
      </c>
      <c r="P247">
        <v>0</v>
      </c>
      <c r="Q247">
        <f>IF(O247&gt;G247,(O247-G247),0)</f>
        <v>0</v>
      </c>
      <c r="R247">
        <v>1</v>
      </c>
      <c r="S247">
        <f>IF(Q247&gt;0,Int(P247/Q247),0)</f>
        <v>0</v>
      </c>
      <c r="T247">
        <f>76574</f>
        <v>76574</v>
      </c>
      <c r="U247" t="s">
        <v>940</v>
      </c>
      <c r="V247">
        <v>84231.41</v>
      </c>
      <c r="W247" t="s">
        <v>75</v>
      </c>
      <c r="X247"/>
    </row>
    <row r="248" spans="1:27">
      <c r="A248" t="s">
        <v>35</v>
      </c>
      <c r="B248" t="s">
        <v>29</v>
      </c>
      <c r="C248" t="s">
        <v>941</v>
      </c>
      <c r="D248" t="s">
        <v>942</v>
      </c>
      <c r="E248" t="s">
        <v>943</v>
      </c>
      <c r="F248" t="s">
        <v>33</v>
      </c>
      <c r="G248">
        <v>1</v>
      </c>
      <c r="H248">
        <f>((0/1000) * G248)</f>
        <v>0</v>
      </c>
      <c r="I248">
        <v>0</v>
      </c>
      <c r="J248">
        <v>1</v>
      </c>
      <c r="K248" s="967">
        <v>58300</v>
      </c>
      <c r="L248" s="968">
        <f>(K248 * G248)</f>
        <v>58300</v>
      </c>
      <c r="M248" s="969">
        <v>81620</v>
      </c>
      <c r="N248" s="970">
        <f>(G248 * M248)</f>
        <v>81620</v>
      </c>
      <c r="O248">
        <v>0</v>
      </c>
      <c r="P248">
        <v>0</v>
      </c>
      <c r="Q248">
        <f>IF(O248&gt;G248,(O248-G248),0)</f>
        <v>0</v>
      </c>
      <c r="R248">
        <v>1</v>
      </c>
      <c r="S248">
        <f>IF(Q248&gt;0,Int(P248/Q248),0)</f>
        <v>0</v>
      </c>
      <c r="T248">
        <f>58300</f>
        <v>58300</v>
      </c>
      <c r="U248" t="s">
        <v>944</v>
      </c>
      <c r="V248">
        <v>58300</v>
      </c>
      <c r="W248" t="s">
        <v>75</v>
      </c>
      <c r="X248" t="s">
        <v>386</v>
      </c>
    </row>
    <row r="249" spans="1:27">
      <c r="A249" t="s">
        <v>35</v>
      </c>
      <c r="B249" t="s">
        <v>29</v>
      </c>
      <c r="C249" t="s">
        <v>945</v>
      </c>
      <c r="D249" t="s">
        <v>946</v>
      </c>
      <c r="E249" t="s">
        <v>947</v>
      </c>
      <c r="F249" t="s">
        <v>33</v>
      </c>
      <c r="G249">
        <v>0</v>
      </c>
      <c r="H249">
        <f>((0/1000) * G249)</f>
        <v>0</v>
      </c>
      <c r="I249">
        <v>0</v>
      </c>
      <c r="J249">
        <v>0</v>
      </c>
      <c r="K249" s="971">
        <v>56100</v>
      </c>
      <c r="L249" s="972">
        <f>(K249 * G249)</f>
        <v>0</v>
      </c>
      <c r="M249" s="973">
        <v>78540</v>
      </c>
      <c r="N249" s="974">
        <f>(G249 * M249)</f>
        <v>0</v>
      </c>
      <c r="O249">
        <v>0</v>
      </c>
      <c r="P249">
        <v>0</v>
      </c>
      <c r="Q249">
        <f>IF(O249&gt;G249,(O249-G249),0)</f>
        <v>0</v>
      </c>
      <c r="R249">
        <v>1</v>
      </c>
      <c r="S249">
        <f>IF(Q249&gt;0,Int(P249/Q249),0)</f>
        <v>0</v>
      </c>
      <c r="T249">
        <f>0</f>
        <v>0</v>
      </c>
      <c r="U249"/>
      <c r="V249">
        <v>56100</v>
      </c>
      <c r="W249" t="s">
        <v>75</v>
      </c>
      <c r="X249"/>
    </row>
    <row r="250" spans="1:27">
      <c r="A250" t="s">
        <v>35</v>
      </c>
      <c r="B250" t="s">
        <v>29</v>
      </c>
      <c r="C250" t="s">
        <v>948</v>
      </c>
      <c r="D250" t="s">
        <v>949</v>
      </c>
      <c r="E250" t="s">
        <v>950</v>
      </c>
      <c r="F250" t="s">
        <v>33</v>
      </c>
      <c r="G250">
        <v>0</v>
      </c>
      <c r="H250">
        <f>((0/1000) * G250)</f>
        <v>0</v>
      </c>
      <c r="I250">
        <v>0</v>
      </c>
      <c r="J250">
        <v>0</v>
      </c>
      <c r="K250" s="975">
        <v>98049.74</v>
      </c>
      <c r="L250" s="976">
        <f>(K250 * G250)</f>
        <v>0</v>
      </c>
      <c r="M250" s="977">
        <v>137269.64</v>
      </c>
      <c r="N250" s="978">
        <f>(G250 * M250)</f>
        <v>0</v>
      </c>
      <c r="O250">
        <v>0</v>
      </c>
      <c r="P250">
        <v>0</v>
      </c>
      <c r="Q250">
        <f>IF(O250&gt;G250,(O250-G250),0)</f>
        <v>0</v>
      </c>
      <c r="R250">
        <v>1</v>
      </c>
      <c r="S250">
        <f>IF(Q250&gt;0,Int(P250/Q250),0)</f>
        <v>0</v>
      </c>
      <c r="T250">
        <f>0</f>
        <v>0</v>
      </c>
      <c r="U250"/>
      <c r="V250">
        <v>98049.74</v>
      </c>
      <c r="W250" t="s">
        <v>75</v>
      </c>
      <c r="X250"/>
    </row>
    <row r="251" spans="1:27">
      <c r="A251" t="s">
        <v>35</v>
      </c>
      <c r="B251" t="s">
        <v>29</v>
      </c>
      <c r="C251" t="s">
        <v>951</v>
      </c>
      <c r="D251" t="s">
        <v>951</v>
      </c>
      <c r="E251" t="s">
        <v>952</v>
      </c>
      <c r="F251" t="s">
        <v>41</v>
      </c>
      <c r="G251">
        <v>0</v>
      </c>
      <c r="H251">
        <f>((1/1000) * G251)</f>
        <v>0</v>
      </c>
      <c r="I251">
        <v>0</v>
      </c>
      <c r="J251">
        <v>0</v>
      </c>
      <c r="K251" s="979">
        <v>0</v>
      </c>
      <c r="L251" s="980">
        <f>(K251 * G251)</f>
        <v>0</v>
      </c>
      <c r="M251" s="981">
        <v>0</v>
      </c>
      <c r="N251" s="982">
        <f>(G251 * M251)</f>
        <v>0</v>
      </c>
      <c r="O251">
        <v>0</v>
      </c>
      <c r="P251">
        <v>0</v>
      </c>
      <c r="Q251">
        <f>IF(O251&gt;G251,(O251-G251),0)</f>
        <v>0</v>
      </c>
      <c r="R251">
        <v>1</v>
      </c>
      <c r="S251">
        <f>IF(Q251&gt;0,Int(P251/Q251),0)</f>
        <v>0</v>
      </c>
      <c r="T251">
        <f>0</f>
        <v>0</v>
      </c>
      <c r="U251"/>
      <c r="V251">
        <v>0</v>
      </c>
      <c r="W251">
        <v>0</v>
      </c>
      <c r="X251"/>
    </row>
    <row r="252" spans="1:27">
      <c r="A252" t="s">
        <v>35</v>
      </c>
      <c r="B252" t="s">
        <v>29</v>
      </c>
      <c r="C252" t="s">
        <v>953</v>
      </c>
      <c r="D252" t="s">
        <v>954</v>
      </c>
      <c r="E252" t="s">
        <v>955</v>
      </c>
      <c r="F252" t="s">
        <v>41</v>
      </c>
      <c r="G252">
        <v>39</v>
      </c>
      <c r="H252">
        <f>((0/1000) * G252)</f>
        <v>0</v>
      </c>
      <c r="I252">
        <v>0</v>
      </c>
      <c r="J252">
        <v>39</v>
      </c>
      <c r="K252" s="983">
        <v>50912</v>
      </c>
      <c r="L252" s="984">
        <f>(K252 * G252)</f>
        <v>1985568</v>
      </c>
      <c r="M252" s="985">
        <v>81459.2</v>
      </c>
      <c r="N252" s="986">
        <f>(G252 * M252)</f>
        <v>3176908.8</v>
      </c>
      <c r="O252">
        <v>0</v>
      </c>
      <c r="P252">
        <v>0</v>
      </c>
      <c r="Q252">
        <f>IF(O252&gt;G252,(O252-G252),0)</f>
        <v>0</v>
      </c>
      <c r="R252">
        <v>1</v>
      </c>
      <c r="S252">
        <f>IF(Q252&gt;0,Int(P252/Q252),0)</f>
        <v>0</v>
      </c>
      <c r="T252">
        <f>50912</f>
        <v>50912</v>
      </c>
      <c r="U252" t="s">
        <v>956</v>
      </c>
      <c r="V252">
        <v>50912</v>
      </c>
      <c r="W252" t="s">
        <v>144</v>
      </c>
      <c r="X252" t="s">
        <v>957</v>
      </c>
    </row>
    <row r="253" spans="1:27">
      <c r="A253" t="s">
        <v>35</v>
      </c>
      <c r="B253" t="s">
        <v>29</v>
      </c>
      <c r="C253" t="s">
        <v>958</v>
      </c>
      <c r="D253" t="s">
        <v>959</v>
      </c>
      <c r="E253" t="s">
        <v>960</v>
      </c>
      <c r="F253" t="s">
        <v>33</v>
      </c>
      <c r="G253">
        <v>0</v>
      </c>
      <c r="H253">
        <f>((0/1000) * G253)</f>
        <v>0</v>
      </c>
      <c r="I253">
        <v>0</v>
      </c>
      <c r="J253">
        <v>0</v>
      </c>
      <c r="K253" s="987">
        <v>63800</v>
      </c>
      <c r="L253" s="988">
        <f>(K253 * G253)</f>
        <v>0</v>
      </c>
      <c r="M253" s="989">
        <v>89320</v>
      </c>
      <c r="N253" s="990">
        <f>(G253 * M253)</f>
        <v>0</v>
      </c>
      <c r="O253">
        <v>0</v>
      </c>
      <c r="P253">
        <v>0</v>
      </c>
      <c r="Q253">
        <f>IF(O253&gt;G253,(O253-G253),0)</f>
        <v>0</v>
      </c>
      <c r="R253">
        <v>1</v>
      </c>
      <c r="S253">
        <f>IF(Q253&gt;0,Int(P253/Q253),0)</f>
        <v>0</v>
      </c>
      <c r="T253">
        <f>47778.51</f>
        <v>47778.51</v>
      </c>
      <c r="U253" t="s">
        <v>961</v>
      </c>
      <c r="V253">
        <v>63800</v>
      </c>
      <c r="W253" t="s">
        <v>75</v>
      </c>
      <c r="X253" t="s">
        <v>374</v>
      </c>
    </row>
    <row r="254" spans="1:27">
      <c r="A254" t="s">
        <v>35</v>
      </c>
      <c r="B254" t="s">
        <v>29</v>
      </c>
      <c r="C254" t="s">
        <v>962</v>
      </c>
      <c r="D254" t="s">
        <v>963</v>
      </c>
      <c r="E254" t="s">
        <v>964</v>
      </c>
      <c r="F254" t="s">
        <v>33</v>
      </c>
      <c r="G254">
        <v>0</v>
      </c>
      <c r="H254">
        <f>((0/1000) * G254)</f>
        <v>0</v>
      </c>
      <c r="I254">
        <v>0</v>
      </c>
      <c r="J254">
        <v>0</v>
      </c>
      <c r="K254" s="991">
        <v>72128.57</v>
      </c>
      <c r="L254" s="992">
        <f>(K254 * G254)</f>
        <v>0</v>
      </c>
      <c r="M254" s="993">
        <v>100980</v>
      </c>
      <c r="N254" s="994">
        <f>(G254 * M254)</f>
        <v>0</v>
      </c>
      <c r="O254">
        <v>0</v>
      </c>
      <c r="P254">
        <v>0</v>
      </c>
      <c r="Q254">
        <f>IF(O254&gt;G254,(O254-G254),0)</f>
        <v>0</v>
      </c>
      <c r="R254">
        <v>0</v>
      </c>
      <c r="S254">
        <f>IF(Q254&gt;0,Int(P254/Q254),0)</f>
        <v>0</v>
      </c>
      <c r="T254">
        <f>0</f>
        <v>0</v>
      </c>
      <c r="U254"/>
      <c r="V254">
        <v>72128.57</v>
      </c>
      <c r="W254" t="s">
        <v>75</v>
      </c>
      <c r="X254"/>
    </row>
    <row r="255" spans="1:27">
      <c r="A255" t="s">
        <v>28</v>
      </c>
      <c r="B255" t="s">
        <v>29</v>
      </c>
      <c r="C255" t="s">
        <v>965</v>
      </c>
      <c r="D255" t="s">
        <v>966</v>
      </c>
      <c r="E255" t="s">
        <v>967</v>
      </c>
      <c r="F255" t="s">
        <v>41</v>
      </c>
      <c r="G255">
        <v>0</v>
      </c>
      <c r="H255">
        <f>((0/1000) * G255)</f>
        <v>0</v>
      </c>
      <c r="I255">
        <v>0</v>
      </c>
      <c r="J255">
        <v>0</v>
      </c>
      <c r="K255" s="995">
        <v>84700</v>
      </c>
      <c r="L255" s="996">
        <f>(K255 * G255)</f>
        <v>0</v>
      </c>
      <c r="M255" s="997">
        <v>122727.28</v>
      </c>
      <c r="N255" s="998">
        <f>(G255 * M255)</f>
        <v>0</v>
      </c>
      <c r="O255">
        <v>0</v>
      </c>
      <c r="P255">
        <v>0</v>
      </c>
      <c r="Q255">
        <f>IF(O255&gt;G255,(O255-G255),0)</f>
        <v>0</v>
      </c>
      <c r="R255">
        <v>0</v>
      </c>
      <c r="S255">
        <f>IF(Q255&gt;0,Int(P255/Q255),0)</f>
        <v>0</v>
      </c>
      <c r="T255">
        <f>77000</f>
        <v>77000</v>
      </c>
      <c r="U255" t="s">
        <v>968</v>
      </c>
      <c r="V255">
        <v>84700</v>
      </c>
      <c r="W255" t="s">
        <v>43</v>
      </c>
      <c r="X255"/>
    </row>
    <row r="256" spans="1:27">
      <c r="A256" t="s">
        <v>35</v>
      </c>
      <c r="B256" t="s">
        <v>29</v>
      </c>
      <c r="C256" t="s">
        <v>969</v>
      </c>
      <c r="D256" t="s">
        <v>970</v>
      </c>
      <c r="E256" t="s">
        <v>971</v>
      </c>
      <c r="F256" t="s">
        <v>33</v>
      </c>
      <c r="G256">
        <v>0</v>
      </c>
      <c r="H256">
        <f>((0/1000) * G256)</f>
        <v>0</v>
      </c>
      <c r="I256">
        <v>0</v>
      </c>
      <c r="J256">
        <v>0</v>
      </c>
      <c r="K256" s="999">
        <v>76032</v>
      </c>
      <c r="L256" s="1000">
        <f>(K256 * G256)</f>
        <v>0</v>
      </c>
      <c r="M256" s="1001">
        <v>106444.8</v>
      </c>
      <c r="N256" s="1002">
        <f>(G256 * M256)</f>
        <v>0</v>
      </c>
      <c r="O256">
        <v>0</v>
      </c>
      <c r="P256">
        <v>0</v>
      </c>
      <c r="Q256">
        <f>IF(O256&gt;G256,(O256-G256),0)</f>
        <v>0</v>
      </c>
      <c r="R256">
        <v>1</v>
      </c>
      <c r="S256">
        <f>IF(Q256&gt;0,Int(P256/Q256),0)</f>
        <v>0</v>
      </c>
      <c r="T256">
        <f>0</f>
        <v>0</v>
      </c>
      <c r="U256"/>
      <c r="V256">
        <v>76032</v>
      </c>
      <c r="W256" t="s">
        <v>75</v>
      </c>
      <c r="X256"/>
    </row>
    <row r="257" spans="1:27">
      <c r="A257" t="s">
        <v>28</v>
      </c>
      <c r="B257" t="s">
        <v>29</v>
      </c>
      <c r="C257" t="s">
        <v>972</v>
      </c>
      <c r="D257" t="s">
        <v>973</v>
      </c>
      <c r="E257" t="s">
        <v>974</v>
      </c>
      <c r="F257" t="s">
        <v>41</v>
      </c>
      <c r="G257">
        <v>0</v>
      </c>
      <c r="H257">
        <f>((0/1000) * G257)</f>
        <v>0</v>
      </c>
      <c r="I257">
        <v>0</v>
      </c>
      <c r="J257">
        <v>0</v>
      </c>
      <c r="K257" s="1003">
        <v>174706.42</v>
      </c>
      <c r="L257" s="1004">
        <f>(K257 * G257)</f>
        <v>0</v>
      </c>
      <c r="M257" s="1005">
        <v>244588.99</v>
      </c>
      <c r="N257" s="1006">
        <f>(G257 * M257)</f>
        <v>0</v>
      </c>
      <c r="O257">
        <v>0</v>
      </c>
      <c r="P257">
        <v>0</v>
      </c>
      <c r="Q257">
        <f>IF(O257&gt;G257,(O257-G257),0)</f>
        <v>0</v>
      </c>
      <c r="R257">
        <v>1</v>
      </c>
      <c r="S257">
        <f>IF(Q257&gt;0,Int(P257/Q257),0)</f>
        <v>0</v>
      </c>
      <c r="T257">
        <f>189475.42</f>
        <v>189475.42</v>
      </c>
      <c r="U257" t="s">
        <v>975</v>
      </c>
      <c r="V257">
        <v>174706.42</v>
      </c>
      <c r="W257" t="s">
        <v>182</v>
      </c>
      <c r="X257"/>
    </row>
    <row r="258" spans="1:27">
      <c r="A258" t="s">
        <v>35</v>
      </c>
      <c r="B258" t="s">
        <v>29</v>
      </c>
      <c r="C258" t="s">
        <v>976</v>
      </c>
      <c r="D258" t="s">
        <v>977</v>
      </c>
      <c r="E258" t="s">
        <v>978</v>
      </c>
      <c r="F258" t="s">
        <v>33</v>
      </c>
      <c r="G258">
        <v>0</v>
      </c>
      <c r="H258">
        <f>((0/1000) * G258)</f>
        <v>0</v>
      </c>
      <c r="I258">
        <v>0</v>
      </c>
      <c r="J258">
        <v>0</v>
      </c>
      <c r="K258" s="1007">
        <v>107773.63</v>
      </c>
      <c r="L258" s="1008">
        <f>(K258 * G258)</f>
        <v>0</v>
      </c>
      <c r="M258" s="1009">
        <v>150883.08</v>
      </c>
      <c r="N258" s="1010">
        <f>(G258 * M258)</f>
        <v>0</v>
      </c>
      <c r="O258">
        <v>0</v>
      </c>
      <c r="P258">
        <v>0</v>
      </c>
      <c r="Q258">
        <f>IF(O258&gt;G258,(O258-G258),0)</f>
        <v>0</v>
      </c>
      <c r="R258">
        <v>1</v>
      </c>
      <c r="S258">
        <f>IF(Q258&gt;0,Int(P258/Q258),0)</f>
        <v>0</v>
      </c>
      <c r="T258">
        <f>97976.03</f>
        <v>97976.03</v>
      </c>
      <c r="U258" t="s">
        <v>979</v>
      </c>
      <c r="V258">
        <v>107773.63</v>
      </c>
      <c r="W258" t="s">
        <v>43</v>
      </c>
      <c r="X258"/>
    </row>
    <row r="259" spans="1:27">
      <c r="A259" t="s">
        <v>28</v>
      </c>
      <c r="B259" t="s">
        <v>29</v>
      </c>
      <c r="C259" t="s">
        <v>980</v>
      </c>
      <c r="D259" t="s">
        <v>981</v>
      </c>
      <c r="E259" t="s">
        <v>982</v>
      </c>
      <c r="F259" t="s">
        <v>41</v>
      </c>
      <c r="G259">
        <v>0</v>
      </c>
      <c r="H259">
        <f>((0/1000) * G259)</f>
        <v>0</v>
      </c>
      <c r="I259">
        <v>0</v>
      </c>
      <c r="J259">
        <v>0</v>
      </c>
      <c r="K259" s="1011">
        <v>75207</v>
      </c>
      <c r="L259" s="1012">
        <f>(K259 * G259)</f>
        <v>0</v>
      </c>
      <c r="M259" s="1013">
        <v>128099.17</v>
      </c>
      <c r="N259" s="1014">
        <f>(G259 * M259)</f>
        <v>0</v>
      </c>
      <c r="O259">
        <v>0</v>
      </c>
      <c r="P259">
        <v>0</v>
      </c>
      <c r="Q259">
        <f>IF(O259&gt;G259,(O259-G259),0)</f>
        <v>0</v>
      </c>
      <c r="R259">
        <v>0</v>
      </c>
      <c r="S259">
        <f>IF(Q259&gt;0,Int(P259/Q259),0)</f>
        <v>0</v>
      </c>
      <c r="T259">
        <f>75207</f>
        <v>75207</v>
      </c>
      <c r="U259" t="s">
        <v>983</v>
      </c>
      <c r="V259">
        <v>75207</v>
      </c>
      <c r="W259" t="s">
        <v>97</v>
      </c>
      <c r="X259"/>
    </row>
    <row r="260" spans="1:27">
      <c r="A260" t="s">
        <v>35</v>
      </c>
      <c r="B260" t="s">
        <v>29</v>
      </c>
      <c r="C260" t="s">
        <v>984</v>
      </c>
      <c r="D260" t="s">
        <v>985</v>
      </c>
      <c r="E260" t="s">
        <v>986</v>
      </c>
      <c r="F260" t="s">
        <v>33</v>
      </c>
      <c r="G260">
        <v>0</v>
      </c>
      <c r="H260">
        <f>((0/1000) * G260)</f>
        <v>0</v>
      </c>
      <c r="I260">
        <v>0</v>
      </c>
      <c r="J260">
        <v>0</v>
      </c>
      <c r="K260" s="1015">
        <v>110908.6</v>
      </c>
      <c r="L260" s="1016">
        <f>(K260 * G260)</f>
        <v>0</v>
      </c>
      <c r="M260" s="1017">
        <v>155272.04</v>
      </c>
      <c r="N260" s="1018">
        <f>(G260 * M260)</f>
        <v>0</v>
      </c>
      <c r="O260">
        <v>0</v>
      </c>
      <c r="P260">
        <v>0</v>
      </c>
      <c r="Q260">
        <f>IF(O260&gt;G260,(O260-G260),0)</f>
        <v>0</v>
      </c>
      <c r="R260">
        <v>1</v>
      </c>
      <c r="S260">
        <f>IF(Q260&gt;0,Int(P260/Q260),0)</f>
        <v>0</v>
      </c>
      <c r="T260">
        <f>0</f>
        <v>0</v>
      </c>
      <c r="U260"/>
      <c r="V260">
        <v>110908.6</v>
      </c>
      <c r="W260" t="s">
        <v>75</v>
      </c>
      <c r="X260"/>
    </row>
    <row r="261" spans="1:27">
      <c r="A261" t="s">
        <v>28</v>
      </c>
      <c r="B261" t="s">
        <v>29</v>
      </c>
      <c r="C261" t="s">
        <v>987</v>
      </c>
      <c r="D261" t="s">
        <v>988</v>
      </c>
      <c r="E261" t="s">
        <v>989</v>
      </c>
      <c r="F261" t="s">
        <v>33</v>
      </c>
      <c r="G261">
        <v>0</v>
      </c>
      <c r="H261">
        <f>((0/1000) * G261)</f>
        <v>0</v>
      </c>
      <c r="I261">
        <v>0</v>
      </c>
      <c r="J261">
        <v>0</v>
      </c>
      <c r="K261" s="1019">
        <v>152761.98</v>
      </c>
      <c r="L261" s="1020">
        <f>(K261 * G261)</f>
        <v>0</v>
      </c>
      <c r="M261" s="1021">
        <v>213866.77</v>
      </c>
      <c r="N261" s="1022">
        <f>(G261 * M261)</f>
        <v>0</v>
      </c>
      <c r="O261">
        <v>0</v>
      </c>
      <c r="P261">
        <v>0</v>
      </c>
      <c r="Q261">
        <f>IF(O261&gt;G261,(O261-G261),0)</f>
        <v>0</v>
      </c>
      <c r="R261">
        <v>1</v>
      </c>
      <c r="S261">
        <f>IF(Q261&gt;0,Int(P261/Q261),0)</f>
        <v>0</v>
      </c>
      <c r="T261">
        <f>0</f>
        <v>0</v>
      </c>
      <c r="U261"/>
      <c r="V261">
        <v>152761.98</v>
      </c>
      <c r="W261" t="s">
        <v>43</v>
      </c>
      <c r="X261"/>
    </row>
    <row r="262" spans="1:27">
      <c r="A262" t="s">
        <v>28</v>
      </c>
      <c r="B262" t="s">
        <v>29</v>
      </c>
      <c r="C262" t="s">
        <v>990</v>
      </c>
      <c r="D262" t="s">
        <v>991</v>
      </c>
      <c r="E262" t="s">
        <v>992</v>
      </c>
      <c r="F262" t="s">
        <v>41</v>
      </c>
      <c r="G262">
        <v>0</v>
      </c>
      <c r="H262">
        <f>((0/1000) * G262)</f>
        <v>0</v>
      </c>
      <c r="I262">
        <v>0</v>
      </c>
      <c r="J262">
        <v>0</v>
      </c>
      <c r="K262" s="1023">
        <v>82231</v>
      </c>
      <c r="L262" s="1024">
        <f>(K262 * G262)</f>
        <v>0</v>
      </c>
      <c r="M262" s="1025">
        <v>140495.87</v>
      </c>
      <c r="N262" s="1026">
        <f>(G262 * M262)</f>
        <v>0</v>
      </c>
      <c r="O262">
        <v>0</v>
      </c>
      <c r="P262">
        <v>0</v>
      </c>
      <c r="Q262">
        <f>IF(O262&gt;G262,(O262-G262),0)</f>
        <v>0</v>
      </c>
      <c r="R262">
        <v>1</v>
      </c>
      <c r="S262">
        <f>IF(Q262&gt;0,Int(P262/Q262),0)</f>
        <v>0</v>
      </c>
      <c r="T262">
        <f>89800</f>
        <v>89800</v>
      </c>
      <c r="U262" t="s">
        <v>993</v>
      </c>
      <c r="V262">
        <v>82231</v>
      </c>
      <c r="W262" t="s">
        <v>97</v>
      </c>
      <c r="X262" t="s">
        <v>136</v>
      </c>
    </row>
    <row r="263" spans="1:27">
      <c r="A263" t="s">
        <v>35</v>
      </c>
      <c r="B263" t="s">
        <v>29</v>
      </c>
      <c r="C263" t="s">
        <v>994</v>
      </c>
      <c r="D263" t="s">
        <v>994</v>
      </c>
      <c r="E263" t="s">
        <v>995</v>
      </c>
      <c r="F263" t="s">
        <v>33</v>
      </c>
      <c r="G263">
        <v>0</v>
      </c>
      <c r="H263">
        <f>((1/1000) * G263)</f>
        <v>0</v>
      </c>
      <c r="I263">
        <v>0</v>
      </c>
      <c r="J263">
        <v>0</v>
      </c>
      <c r="K263" s="1027">
        <v>0</v>
      </c>
      <c r="L263" s="1028">
        <f>(K263 * G263)</f>
        <v>0</v>
      </c>
      <c r="M263" s="1029">
        <v>0</v>
      </c>
      <c r="N263" s="1030">
        <f>(G263 * M263)</f>
        <v>0</v>
      </c>
      <c r="O263">
        <v>0</v>
      </c>
      <c r="P263">
        <v>0</v>
      </c>
      <c r="Q263">
        <f>IF(O263&gt;G263,(O263-G263),0)</f>
        <v>0</v>
      </c>
      <c r="R263">
        <v>0</v>
      </c>
      <c r="S263">
        <f>IF(Q263&gt;0,Int(P263/Q263),0)</f>
        <v>0</v>
      </c>
      <c r="T263">
        <f>0</f>
        <v>0</v>
      </c>
      <c r="U263"/>
      <c r="V263">
        <v>0</v>
      </c>
      <c r="W263">
        <v>0</v>
      </c>
      <c r="X263"/>
    </row>
    <row r="264" spans="1:27">
      <c r="A264" t="s">
        <v>35</v>
      </c>
      <c r="B264" t="s">
        <v>29</v>
      </c>
      <c r="C264" t="s">
        <v>996</v>
      </c>
      <c r="D264" t="s">
        <v>997</v>
      </c>
      <c r="E264" t="s">
        <v>998</v>
      </c>
      <c r="F264" t="s">
        <v>41</v>
      </c>
      <c r="G264">
        <v>0</v>
      </c>
      <c r="H264">
        <f>((0/1000) * G264)</f>
        <v>0</v>
      </c>
      <c r="I264">
        <v>0</v>
      </c>
      <c r="J264">
        <v>0</v>
      </c>
      <c r="K264" s="1031">
        <v>135206.61</v>
      </c>
      <c r="L264" s="1032">
        <f>(K264 * G264)</f>
        <v>0</v>
      </c>
      <c r="M264" s="1033">
        <v>148727.27</v>
      </c>
      <c r="N264" s="1034">
        <f>(G264 * M264)</f>
        <v>0</v>
      </c>
      <c r="O264">
        <v>0</v>
      </c>
      <c r="P264">
        <v>0</v>
      </c>
      <c r="Q264">
        <f>IF(O264&gt;G264,(O264-G264),0)</f>
        <v>0</v>
      </c>
      <c r="R264">
        <v>1</v>
      </c>
      <c r="S264">
        <f>IF(Q264&gt;0,Int(P264/Q264),0)</f>
        <v>0</v>
      </c>
      <c r="T264">
        <f>0</f>
        <v>0</v>
      </c>
      <c r="U264" t="s">
        <v>164</v>
      </c>
      <c r="V264">
        <v>135206.61</v>
      </c>
      <c r="W264" t="s">
        <v>43</v>
      </c>
      <c r="X264"/>
    </row>
    <row r="265" spans="1:27">
      <c r="A265" t="s">
        <v>35</v>
      </c>
      <c r="B265" t="s">
        <v>29</v>
      </c>
      <c r="C265" t="s">
        <v>999</v>
      </c>
      <c r="D265" t="s">
        <v>1000</v>
      </c>
      <c r="E265" t="s">
        <v>1001</v>
      </c>
      <c r="F265" t="s">
        <v>33</v>
      </c>
      <c r="G265">
        <v>0</v>
      </c>
      <c r="H265">
        <f>((0/1000) * G265)</f>
        <v>0</v>
      </c>
      <c r="I265">
        <v>0</v>
      </c>
      <c r="J265">
        <v>0</v>
      </c>
      <c r="K265" s="1035">
        <v>127272.73</v>
      </c>
      <c r="L265" s="1036">
        <f>(K265 * G265)</f>
        <v>0</v>
      </c>
      <c r="M265" s="1037">
        <v>178181.82</v>
      </c>
      <c r="N265" s="1038">
        <f>(G265 * M265)</f>
        <v>0</v>
      </c>
      <c r="O265">
        <v>0</v>
      </c>
      <c r="P265">
        <v>0</v>
      </c>
      <c r="Q265">
        <f>IF(O265&gt;G265,(O265-G265),0)</f>
        <v>0</v>
      </c>
      <c r="R265">
        <v>1</v>
      </c>
      <c r="S265">
        <f>IF(Q265&gt;0,Int(P265/Q265),0)</f>
        <v>0</v>
      </c>
      <c r="T265">
        <f>0</f>
        <v>0</v>
      </c>
      <c r="U265"/>
      <c r="V265">
        <v>127272.73</v>
      </c>
      <c r="W265" t="s">
        <v>75</v>
      </c>
      <c r="X265"/>
    </row>
    <row r="266" spans="1:27">
      <c r="A266" t="s">
        <v>35</v>
      </c>
      <c r="B266" t="s">
        <v>29</v>
      </c>
      <c r="C266" t="s">
        <v>1002</v>
      </c>
      <c r="D266" t="s">
        <v>1003</v>
      </c>
      <c r="E266" t="s">
        <v>1004</v>
      </c>
      <c r="F266" t="s">
        <v>41</v>
      </c>
      <c r="G266">
        <v>0</v>
      </c>
      <c r="H266">
        <f>((0/1000) * G266)</f>
        <v>0</v>
      </c>
      <c r="I266">
        <v>0</v>
      </c>
      <c r="J266">
        <v>0</v>
      </c>
      <c r="K266" s="1039">
        <v>270909.09</v>
      </c>
      <c r="L266" s="1040">
        <f>(K266 * G266)</f>
        <v>0</v>
      </c>
      <c r="M266" s="1041">
        <v>379272.73</v>
      </c>
      <c r="N266" s="1042">
        <f>(G266 * M266)</f>
        <v>0</v>
      </c>
      <c r="O266">
        <v>0</v>
      </c>
      <c r="P266">
        <v>0</v>
      </c>
      <c r="Q266">
        <f>IF(O266&gt;G266,(O266-G266),0)</f>
        <v>0</v>
      </c>
      <c r="R266">
        <v>1</v>
      </c>
      <c r="S266">
        <f>IF(Q266&gt;0,Int(P266/Q266),0)</f>
        <v>0</v>
      </c>
      <c r="T266">
        <f>133132.98</f>
        <v>133132.98</v>
      </c>
      <c r="U266" t="s">
        <v>1005</v>
      </c>
      <c r="V266">
        <v>270909.09</v>
      </c>
      <c r="W266" t="s">
        <v>75</v>
      </c>
      <c r="X266"/>
    </row>
    <row r="267" spans="1:27">
      <c r="A267" t="s">
        <v>35</v>
      </c>
      <c r="B267" t="s">
        <v>29</v>
      </c>
      <c r="C267" t="s">
        <v>1006</v>
      </c>
      <c r="D267" t="s">
        <v>1007</v>
      </c>
      <c r="E267" t="s">
        <v>1008</v>
      </c>
      <c r="F267" t="s">
        <v>33</v>
      </c>
      <c r="G267">
        <v>0</v>
      </c>
      <c r="H267">
        <f>((0/1000) * G267)</f>
        <v>0</v>
      </c>
      <c r="I267">
        <v>0</v>
      </c>
      <c r="J267">
        <v>0</v>
      </c>
      <c r="K267" s="1043">
        <v>0</v>
      </c>
      <c r="L267" s="1044">
        <f>(K267 * G267)</f>
        <v>0</v>
      </c>
      <c r="M267" s="1045">
        <v>0</v>
      </c>
      <c r="N267" s="1046">
        <f>(G267 * M267)</f>
        <v>0</v>
      </c>
      <c r="O267">
        <v>0</v>
      </c>
      <c r="P267">
        <v>0</v>
      </c>
      <c r="Q267">
        <f>IF(O267&gt;G267,(O267-G267),0)</f>
        <v>0</v>
      </c>
      <c r="R267">
        <v>1</v>
      </c>
      <c r="S267">
        <f>IF(Q267&gt;0,Int(P267/Q267),0)</f>
        <v>0</v>
      </c>
      <c r="T267">
        <f>0</f>
        <v>0</v>
      </c>
      <c r="U267"/>
      <c r="V267">
        <v>0</v>
      </c>
      <c r="W267">
        <v>0</v>
      </c>
      <c r="X267"/>
    </row>
    <row r="268" spans="1:27">
      <c r="A268" t="s">
        <v>35</v>
      </c>
      <c r="B268" t="s">
        <v>29</v>
      </c>
      <c r="C268" t="s">
        <v>1009</v>
      </c>
      <c r="D268" t="s">
        <v>1009</v>
      </c>
      <c r="E268" t="s">
        <v>1010</v>
      </c>
      <c r="F268" t="s">
        <v>33</v>
      </c>
      <c r="G268">
        <v>0</v>
      </c>
      <c r="H268">
        <f>((1/1000) * G268)</f>
        <v>0</v>
      </c>
      <c r="I268">
        <v>0</v>
      </c>
      <c r="J268">
        <v>0</v>
      </c>
      <c r="K268" s="1047">
        <v>0</v>
      </c>
      <c r="L268" s="1048">
        <f>(K268 * G268)</f>
        <v>0</v>
      </c>
      <c r="M268" s="1049">
        <v>0</v>
      </c>
      <c r="N268" s="1050">
        <f>(G268 * M268)</f>
        <v>0</v>
      </c>
      <c r="O268">
        <v>0</v>
      </c>
      <c r="P268">
        <v>0</v>
      </c>
      <c r="Q268">
        <f>IF(O268&gt;G268,(O268-G268),0)</f>
        <v>0</v>
      </c>
      <c r="R268">
        <v>0</v>
      </c>
      <c r="S268">
        <f>IF(Q268&gt;0,Int(P268/Q268),0)</f>
        <v>0</v>
      </c>
      <c r="T268">
        <f>0</f>
        <v>0</v>
      </c>
      <c r="U268"/>
      <c r="V268">
        <v>0</v>
      </c>
      <c r="W268">
        <v>0</v>
      </c>
      <c r="X268"/>
    </row>
    <row r="269" spans="1:27">
      <c r="A269" t="s">
        <v>35</v>
      </c>
      <c r="B269" t="s">
        <v>29</v>
      </c>
      <c r="C269" t="s">
        <v>1011</v>
      </c>
      <c r="D269" t="s">
        <v>1012</v>
      </c>
      <c r="E269" t="s">
        <v>1013</v>
      </c>
      <c r="F269" t="s">
        <v>33</v>
      </c>
      <c r="G269">
        <v>0</v>
      </c>
      <c r="H269">
        <f>((0/1000) * G269)</f>
        <v>0</v>
      </c>
      <c r="I269">
        <v>0</v>
      </c>
      <c r="J269">
        <v>0</v>
      </c>
      <c r="K269" s="1051">
        <v>31012.61</v>
      </c>
      <c r="L269" s="1052">
        <f>(K269 * G269)</f>
        <v>0</v>
      </c>
      <c r="M269" s="1053">
        <v>43417.65</v>
      </c>
      <c r="N269" s="1054">
        <f>(G269 * M269)</f>
        <v>0</v>
      </c>
      <c r="O269">
        <v>0</v>
      </c>
      <c r="P269">
        <v>0</v>
      </c>
      <c r="Q269">
        <f>IF(O269&gt;G269,(O269-G269),0)</f>
        <v>0</v>
      </c>
      <c r="R269">
        <v>1</v>
      </c>
      <c r="S269">
        <f>IF(Q269&gt;0,Int(P269/Q269),0)</f>
        <v>0</v>
      </c>
      <c r="T269">
        <f>0</f>
        <v>0</v>
      </c>
      <c r="U269"/>
      <c r="V269">
        <v>31012.61</v>
      </c>
      <c r="W269" t="s">
        <v>75</v>
      </c>
      <c r="X269"/>
    </row>
    <row r="270" spans="1:27">
      <c r="A270" t="s">
        <v>35</v>
      </c>
      <c r="B270" t="s">
        <v>29</v>
      </c>
      <c r="C270" t="s">
        <v>1014</v>
      </c>
      <c r="D270" t="s">
        <v>1015</v>
      </c>
      <c r="E270" t="s">
        <v>1016</v>
      </c>
      <c r="F270" t="s">
        <v>41</v>
      </c>
      <c r="G270">
        <v>0</v>
      </c>
      <c r="H270">
        <f>((0/1000) * G270)</f>
        <v>0</v>
      </c>
      <c r="I270">
        <v>0</v>
      </c>
      <c r="J270">
        <v>0</v>
      </c>
      <c r="K270" s="1055">
        <v>97603.31</v>
      </c>
      <c r="L270" s="1056">
        <f>(K270 * G270)</f>
        <v>0</v>
      </c>
      <c r="M270" s="1057">
        <v>107363.64</v>
      </c>
      <c r="N270" s="1058">
        <f>(G270 * M270)</f>
        <v>0</v>
      </c>
      <c r="O270">
        <v>0</v>
      </c>
      <c r="P270">
        <v>0</v>
      </c>
      <c r="Q270">
        <f>IF(O270&gt;G270,(O270-G270),0)</f>
        <v>0</v>
      </c>
      <c r="R270">
        <v>1</v>
      </c>
      <c r="S270">
        <f>IF(Q270&gt;0,Int(P270/Q270),0)</f>
        <v>0</v>
      </c>
      <c r="T270">
        <f>89406.46</f>
        <v>89406.46</v>
      </c>
      <c r="U270" t="s">
        <v>1017</v>
      </c>
      <c r="V270">
        <v>97603.31</v>
      </c>
      <c r="W270" t="s">
        <v>43</v>
      </c>
      <c r="X270"/>
    </row>
    <row r="271" spans="1:27">
      <c r="A271" t="s">
        <v>35</v>
      </c>
      <c r="B271" t="s">
        <v>29</v>
      </c>
      <c r="C271" t="s">
        <v>1018</v>
      </c>
      <c r="D271" t="s">
        <v>1019</v>
      </c>
      <c r="E271" t="s">
        <v>1020</v>
      </c>
      <c r="F271" t="s">
        <v>41</v>
      </c>
      <c r="G271">
        <v>0</v>
      </c>
      <c r="H271">
        <f>((0/1000) * G271)</f>
        <v>0</v>
      </c>
      <c r="I271">
        <v>0</v>
      </c>
      <c r="J271">
        <v>0</v>
      </c>
      <c r="K271" s="1059">
        <v>95727.28</v>
      </c>
      <c r="L271" s="1060">
        <f>(K271 * G271)</f>
        <v>0</v>
      </c>
      <c r="M271" s="1061">
        <v>134018.19</v>
      </c>
      <c r="N271" s="1062">
        <f>(G271 * M271)</f>
        <v>0</v>
      </c>
      <c r="O271">
        <v>0</v>
      </c>
      <c r="P271">
        <v>0</v>
      </c>
      <c r="Q271">
        <f>IF(O271&gt;G271,(O271-G271),0)</f>
        <v>0</v>
      </c>
      <c r="R271">
        <v>1</v>
      </c>
      <c r="S271">
        <f>IF(Q271&gt;0,Int(P271/Q271),0)</f>
        <v>0</v>
      </c>
      <c r="T271">
        <f>62659.65</f>
        <v>62659.65</v>
      </c>
      <c r="U271" t="s">
        <v>1021</v>
      </c>
      <c r="V271">
        <v>95727.28</v>
      </c>
      <c r="W271" t="s">
        <v>75</v>
      </c>
      <c r="X271"/>
    </row>
    <row r="272" spans="1:27">
      <c r="A272" t="s">
        <v>35</v>
      </c>
      <c r="B272" t="s">
        <v>29</v>
      </c>
      <c r="C272" t="s">
        <v>1022</v>
      </c>
      <c r="D272" t="s">
        <v>1023</v>
      </c>
      <c r="E272" t="s">
        <v>1024</v>
      </c>
      <c r="F272" t="s">
        <v>41</v>
      </c>
      <c r="G272">
        <v>0</v>
      </c>
      <c r="H272">
        <f>((0/1000) * G272)</f>
        <v>0</v>
      </c>
      <c r="I272">
        <v>0</v>
      </c>
      <c r="J272">
        <v>0</v>
      </c>
      <c r="K272" s="1063">
        <v>142975.21</v>
      </c>
      <c r="L272" s="1064">
        <f>(K272 * G272)</f>
        <v>0</v>
      </c>
      <c r="M272" s="1065">
        <v>157272.73</v>
      </c>
      <c r="N272" s="1066">
        <f>(G272 * M272)</f>
        <v>0</v>
      </c>
      <c r="O272">
        <v>0</v>
      </c>
      <c r="P272">
        <v>0</v>
      </c>
      <c r="Q272">
        <f>IF(O272&gt;G272,(O272-G272),0)</f>
        <v>0</v>
      </c>
      <c r="R272">
        <v>1</v>
      </c>
      <c r="S272">
        <f>IF(Q272&gt;0,Int(P272/Q272),0)</f>
        <v>0</v>
      </c>
      <c r="T272">
        <f>0</f>
        <v>0</v>
      </c>
      <c r="U272"/>
      <c r="V272">
        <v>142975.21</v>
      </c>
      <c r="W272" t="s">
        <v>43</v>
      </c>
      <c r="X272"/>
    </row>
    <row r="273" spans="1:27">
      <c r="A273" t="s">
        <v>35</v>
      </c>
      <c r="B273" t="s">
        <v>29</v>
      </c>
      <c r="C273" t="s">
        <v>1025</v>
      </c>
      <c r="D273" t="s">
        <v>1026</v>
      </c>
      <c r="E273" t="s">
        <v>1027</v>
      </c>
      <c r="F273" t="s">
        <v>41</v>
      </c>
      <c r="G273">
        <v>0</v>
      </c>
      <c r="H273">
        <f>((0/1000) * G273)</f>
        <v>0</v>
      </c>
      <c r="I273">
        <v>0</v>
      </c>
      <c r="J273">
        <v>0</v>
      </c>
      <c r="K273" s="1067">
        <v>129008.26</v>
      </c>
      <c r="L273" s="1068">
        <f>(K273 * G273)</f>
        <v>0</v>
      </c>
      <c r="M273" s="1069">
        <v>141909.09</v>
      </c>
      <c r="N273" s="1070">
        <f>(G273 * M273)</f>
        <v>0</v>
      </c>
      <c r="O273">
        <v>0</v>
      </c>
      <c r="P273">
        <v>0</v>
      </c>
      <c r="Q273">
        <f>IF(O273&gt;G273,(O273-G273),0)</f>
        <v>0</v>
      </c>
      <c r="R273">
        <v>1</v>
      </c>
      <c r="S273">
        <f>IF(Q273&gt;0,Int(P273/Q273),0)</f>
        <v>0</v>
      </c>
      <c r="T273">
        <f>47257.7</f>
        <v>47257.7</v>
      </c>
      <c r="U273" t="s">
        <v>1028</v>
      </c>
      <c r="V273">
        <v>129008.26</v>
      </c>
      <c r="W273" t="s">
        <v>43</v>
      </c>
      <c r="X273"/>
    </row>
    <row r="274" spans="1:27">
      <c r="A274" t="s">
        <v>35</v>
      </c>
      <c r="B274" t="s">
        <v>29</v>
      </c>
      <c r="C274" t="s">
        <v>1029</v>
      </c>
      <c r="D274" t="s">
        <v>1030</v>
      </c>
      <c r="E274" t="s">
        <v>1031</v>
      </c>
      <c r="F274" t="s">
        <v>33</v>
      </c>
      <c r="G274">
        <v>0</v>
      </c>
      <c r="H274">
        <f>((0/1000) * G274)</f>
        <v>0</v>
      </c>
      <c r="I274">
        <v>0</v>
      </c>
      <c r="J274">
        <v>0</v>
      </c>
      <c r="K274" s="1071">
        <v>0</v>
      </c>
      <c r="L274" s="1072">
        <f>(K274 * G274)</f>
        <v>0</v>
      </c>
      <c r="M274" s="1073">
        <v>0</v>
      </c>
      <c r="N274" s="1074">
        <f>(G274 * M274)</f>
        <v>0</v>
      </c>
      <c r="O274">
        <v>0</v>
      </c>
      <c r="P274">
        <v>0</v>
      </c>
      <c r="Q274">
        <f>IF(O274&gt;G274,(O274-G274),0)</f>
        <v>0</v>
      </c>
      <c r="R274">
        <v>1</v>
      </c>
      <c r="S274">
        <f>IF(Q274&gt;0,Int(P274/Q274),0)</f>
        <v>0</v>
      </c>
      <c r="T274">
        <f>0</f>
        <v>0</v>
      </c>
      <c r="U274"/>
      <c r="V274">
        <v>0</v>
      </c>
      <c r="W274">
        <v>0</v>
      </c>
      <c r="X274"/>
    </row>
    <row r="275" spans="1:27">
      <c r="A275" t="s">
        <v>35</v>
      </c>
      <c r="B275" t="s">
        <v>29</v>
      </c>
      <c r="C275" t="s">
        <v>1032</v>
      </c>
      <c r="D275" t="s">
        <v>1033</v>
      </c>
      <c r="E275" t="s">
        <v>1034</v>
      </c>
      <c r="F275" t="s">
        <v>33</v>
      </c>
      <c r="G275">
        <v>0</v>
      </c>
      <c r="H275">
        <f>((0/1000) * G275)</f>
        <v>0</v>
      </c>
      <c r="I275">
        <v>0</v>
      </c>
      <c r="J275">
        <v>0</v>
      </c>
      <c r="K275" s="1075">
        <v>0</v>
      </c>
      <c r="L275" s="1076">
        <f>(K275 * G275)</f>
        <v>0</v>
      </c>
      <c r="M275" s="1077">
        <v>0</v>
      </c>
      <c r="N275" s="1078">
        <f>(G275 * M275)</f>
        <v>0</v>
      </c>
      <c r="O275">
        <v>0</v>
      </c>
      <c r="P275">
        <v>0</v>
      </c>
      <c r="Q275">
        <f>IF(O275&gt;G275,(O275-G275),0)</f>
        <v>0</v>
      </c>
      <c r="R275">
        <v>1</v>
      </c>
      <c r="S275">
        <f>IF(Q275&gt;0,Int(P275/Q275),0)</f>
        <v>0</v>
      </c>
      <c r="T275">
        <f>0</f>
        <v>0</v>
      </c>
      <c r="U275"/>
      <c r="V275">
        <v>0</v>
      </c>
      <c r="W275">
        <v>0</v>
      </c>
      <c r="X275"/>
    </row>
    <row r="276" spans="1:27">
      <c r="A276" t="s">
        <v>35</v>
      </c>
      <c r="B276" t="s">
        <v>29</v>
      </c>
      <c r="C276" t="s">
        <v>1035</v>
      </c>
      <c r="D276" t="s">
        <v>1036</v>
      </c>
      <c r="E276" t="s">
        <v>1037</v>
      </c>
      <c r="F276" t="s">
        <v>41</v>
      </c>
      <c r="G276">
        <v>0</v>
      </c>
      <c r="H276">
        <f>((0/1000) * G276)</f>
        <v>0</v>
      </c>
      <c r="I276">
        <v>0</v>
      </c>
      <c r="J276">
        <v>0</v>
      </c>
      <c r="K276" s="1079">
        <v>170908.32</v>
      </c>
      <c r="L276" s="1080">
        <f>(K276 * G276)</f>
        <v>0</v>
      </c>
      <c r="M276" s="1081">
        <v>213635.4</v>
      </c>
      <c r="N276" s="1082">
        <f>(G276 * M276)</f>
        <v>0</v>
      </c>
      <c r="O276">
        <v>0</v>
      </c>
      <c r="P276">
        <v>0</v>
      </c>
      <c r="Q276">
        <f>IF(O276&gt;G276,(O276-G276),0)</f>
        <v>0</v>
      </c>
      <c r="R276">
        <v>1</v>
      </c>
      <c r="S276">
        <f>IF(Q276&gt;0,Int(P276/Q276),0)</f>
        <v>0</v>
      </c>
      <c r="T276">
        <f>0</f>
        <v>0</v>
      </c>
      <c r="U276"/>
      <c r="V276">
        <v>170908.32</v>
      </c>
      <c r="W276" t="s">
        <v>43</v>
      </c>
      <c r="X276"/>
    </row>
    <row r="277" spans="1:27">
      <c r="A277" t="s">
        <v>35</v>
      </c>
      <c r="B277" t="s">
        <v>29</v>
      </c>
      <c r="C277" t="s">
        <v>1038</v>
      </c>
      <c r="D277" t="s">
        <v>1039</v>
      </c>
      <c r="E277" t="s">
        <v>1040</v>
      </c>
      <c r="F277" t="s">
        <v>33</v>
      </c>
      <c r="G277">
        <v>0</v>
      </c>
      <c r="H277">
        <f>((0/1000) * G277)</f>
        <v>0</v>
      </c>
      <c r="I277">
        <v>0</v>
      </c>
      <c r="J277">
        <v>0</v>
      </c>
      <c r="K277" s="1083">
        <v>168322.73</v>
      </c>
      <c r="L277" s="1084">
        <f>(K277 * G277)</f>
        <v>0</v>
      </c>
      <c r="M277" s="1085">
        <v>168322.73</v>
      </c>
      <c r="N277" s="1086">
        <f>(G277 * M277)</f>
        <v>0</v>
      </c>
      <c r="O277">
        <v>0</v>
      </c>
      <c r="P277">
        <v>0</v>
      </c>
      <c r="Q277">
        <f>IF(O277&gt;G277,(O277-G277),0)</f>
        <v>0</v>
      </c>
      <c r="R277">
        <v>1</v>
      </c>
      <c r="S277">
        <f>IF(Q277&gt;0,Int(P277/Q277),0)</f>
        <v>0</v>
      </c>
      <c r="T277">
        <f>168322.73</f>
        <v>168322.73</v>
      </c>
      <c r="U277" t="s">
        <v>1041</v>
      </c>
      <c r="V277">
        <v>168322.73</v>
      </c>
      <c r="W277" t="s">
        <v>43</v>
      </c>
      <c r="X277"/>
    </row>
    <row r="278" spans="1:27">
      <c r="A278" t="s">
        <v>35</v>
      </c>
      <c r="B278" t="s">
        <v>29</v>
      </c>
      <c r="C278" t="s">
        <v>1042</v>
      </c>
      <c r="D278" t="s">
        <v>1043</v>
      </c>
      <c r="E278" t="s">
        <v>1044</v>
      </c>
      <c r="F278" t="s">
        <v>33</v>
      </c>
      <c r="G278">
        <v>0</v>
      </c>
      <c r="H278">
        <f>((0/1000) * G278)</f>
        <v>0</v>
      </c>
      <c r="I278">
        <v>0</v>
      </c>
      <c r="J278">
        <v>0</v>
      </c>
      <c r="K278" s="1087">
        <v>58705.46</v>
      </c>
      <c r="L278" s="1088">
        <f>(K278 * G278)</f>
        <v>0</v>
      </c>
      <c r="M278" s="1089">
        <v>87192.64</v>
      </c>
      <c r="N278" s="1090">
        <f>(G278 * M278)</f>
        <v>0</v>
      </c>
      <c r="O278">
        <v>0</v>
      </c>
      <c r="P278">
        <v>0</v>
      </c>
      <c r="Q278">
        <f>IF(O278&gt;G278,(O278-G278),0)</f>
        <v>0</v>
      </c>
      <c r="R278">
        <v>0</v>
      </c>
      <c r="S278">
        <f>IF(Q278&gt;0,Int(P278/Q278),0)</f>
        <v>0</v>
      </c>
      <c r="T278">
        <f>0</f>
        <v>0</v>
      </c>
      <c r="U278"/>
      <c r="V278">
        <v>58705.46</v>
      </c>
      <c r="W278" t="s">
        <v>43</v>
      </c>
      <c r="X278"/>
    </row>
    <row r="279" spans="1:27">
      <c r="A279" t="s">
        <v>35</v>
      </c>
      <c r="B279" t="s">
        <v>29</v>
      </c>
      <c r="C279" t="s">
        <v>1045</v>
      </c>
      <c r="D279" t="s">
        <v>1043</v>
      </c>
      <c r="E279" t="s">
        <v>1044</v>
      </c>
      <c r="F279" t="s">
        <v>33</v>
      </c>
      <c r="G279">
        <v>0</v>
      </c>
      <c r="H279">
        <f>((0/1000) * G279)</f>
        <v>0</v>
      </c>
      <c r="I279">
        <v>0</v>
      </c>
      <c r="J279">
        <v>0</v>
      </c>
      <c r="K279" s="1091">
        <v>0</v>
      </c>
      <c r="L279" s="1092">
        <f>(K279 * G279)</f>
        <v>0</v>
      </c>
      <c r="M279" s="1093">
        <v>0</v>
      </c>
      <c r="N279" s="1094">
        <f>(G279 * M279)</f>
        <v>0</v>
      </c>
      <c r="O279">
        <v>0</v>
      </c>
      <c r="P279">
        <v>0</v>
      </c>
      <c r="Q279">
        <f>IF(O279&gt;G279,(O279-G279),0)</f>
        <v>0</v>
      </c>
      <c r="R279">
        <v>0</v>
      </c>
      <c r="S279">
        <f>IF(Q279&gt;0,Int(P279/Q279),0)</f>
        <v>0</v>
      </c>
      <c r="T279">
        <f>0</f>
        <v>0</v>
      </c>
      <c r="U279" t="s">
        <v>1046</v>
      </c>
      <c r="V279">
        <v>0</v>
      </c>
      <c r="W279">
        <v>0</v>
      </c>
      <c r="X279"/>
    </row>
    <row r="280" spans="1:27">
      <c r="A280" t="s">
        <v>35</v>
      </c>
      <c r="B280" t="s">
        <v>29</v>
      </c>
      <c r="C280" t="s">
        <v>1047</v>
      </c>
      <c r="D280" t="s">
        <v>1048</v>
      </c>
      <c r="E280" t="s">
        <v>1049</v>
      </c>
      <c r="F280" t="s">
        <v>33</v>
      </c>
      <c r="G280">
        <v>0</v>
      </c>
      <c r="H280">
        <f>((0/1000) * G280)</f>
        <v>0</v>
      </c>
      <c r="I280">
        <v>0</v>
      </c>
      <c r="J280">
        <v>0</v>
      </c>
      <c r="K280" s="1095">
        <v>106882.92</v>
      </c>
      <c r="L280" s="1096">
        <f>(K280 * G280)</f>
        <v>0</v>
      </c>
      <c r="M280" s="1097">
        <v>149636.08</v>
      </c>
      <c r="N280" s="1098">
        <f>(G280 * M280)</f>
        <v>0</v>
      </c>
      <c r="O280">
        <v>0</v>
      </c>
      <c r="P280">
        <v>0</v>
      </c>
      <c r="Q280">
        <f>IF(O280&gt;G280,(O280-G280),0)</f>
        <v>0</v>
      </c>
      <c r="R280">
        <v>1</v>
      </c>
      <c r="S280">
        <f>IF(Q280&gt;0,Int(P280/Q280),0)</f>
        <v>0</v>
      </c>
      <c r="T280">
        <f>106882.92</f>
        <v>106882.92</v>
      </c>
      <c r="U280" t="s">
        <v>1050</v>
      </c>
      <c r="V280">
        <v>106882.92</v>
      </c>
      <c r="W280" t="s">
        <v>75</v>
      </c>
      <c r="X280"/>
    </row>
    <row r="281" spans="1:27">
      <c r="A281" t="s">
        <v>35</v>
      </c>
      <c r="B281" t="s">
        <v>29</v>
      </c>
      <c r="C281" t="s">
        <v>1051</v>
      </c>
      <c r="D281" t="s">
        <v>1052</v>
      </c>
      <c r="E281" t="s">
        <v>1053</v>
      </c>
      <c r="F281" t="s">
        <v>41</v>
      </c>
      <c r="G281">
        <v>0</v>
      </c>
      <c r="H281">
        <f>((0/1000) * G281)</f>
        <v>0</v>
      </c>
      <c r="I281">
        <v>0</v>
      </c>
      <c r="J281">
        <v>0</v>
      </c>
      <c r="K281" s="1099">
        <v>208203.36</v>
      </c>
      <c r="L281" s="1100">
        <f>(K281 * G281)</f>
        <v>0</v>
      </c>
      <c r="M281" s="1101">
        <v>291484.7</v>
      </c>
      <c r="N281" s="1102">
        <f>(G281 * M281)</f>
        <v>0</v>
      </c>
      <c r="O281">
        <v>0</v>
      </c>
      <c r="P281">
        <v>0</v>
      </c>
      <c r="Q281">
        <f>IF(O281&gt;G281,(O281-G281),0)</f>
        <v>0</v>
      </c>
      <c r="R281">
        <v>1</v>
      </c>
      <c r="S281">
        <f>IF(Q281&gt;0,Int(P281/Q281),0)</f>
        <v>0</v>
      </c>
      <c r="T281">
        <f>199441.76</f>
        <v>199441.76</v>
      </c>
      <c r="U281" t="s">
        <v>1054</v>
      </c>
      <c r="V281">
        <v>208203.36</v>
      </c>
      <c r="W281" t="s">
        <v>182</v>
      </c>
      <c r="X281" t="s">
        <v>262</v>
      </c>
    </row>
    <row r="282" spans="1:27">
      <c r="A282" t="s">
        <v>35</v>
      </c>
      <c r="B282" t="s">
        <v>29</v>
      </c>
      <c r="C282" t="s">
        <v>1055</v>
      </c>
      <c r="D282" t="s">
        <v>1056</v>
      </c>
      <c r="E282" t="s">
        <v>1057</v>
      </c>
      <c r="F282" t="s">
        <v>33</v>
      </c>
      <c r="G282">
        <v>0</v>
      </c>
      <c r="H282">
        <f>((0/1000) * G282)</f>
        <v>0</v>
      </c>
      <c r="I282">
        <v>0</v>
      </c>
      <c r="J282">
        <v>0</v>
      </c>
      <c r="K282" s="1103">
        <v>0</v>
      </c>
      <c r="L282" s="1104">
        <f>(K282 * G282)</f>
        <v>0</v>
      </c>
      <c r="M282" s="1105">
        <v>0</v>
      </c>
      <c r="N282" s="1106">
        <f>(G282 * M282)</f>
        <v>0</v>
      </c>
      <c r="O282">
        <v>0</v>
      </c>
      <c r="P282">
        <v>0</v>
      </c>
      <c r="Q282">
        <f>IF(O282&gt;G282,(O282-G282),0)</f>
        <v>0</v>
      </c>
      <c r="R282">
        <v>1</v>
      </c>
      <c r="S282">
        <f>IF(Q282&gt;0,Int(P282/Q282),0)</f>
        <v>0</v>
      </c>
      <c r="T282">
        <f>54921.11</f>
        <v>54921.11</v>
      </c>
      <c r="U282" t="s">
        <v>1058</v>
      </c>
      <c r="V282">
        <v>0</v>
      </c>
      <c r="W282">
        <v>0</v>
      </c>
      <c r="X282"/>
    </row>
    <row r="283" spans="1:27">
      <c r="A283" t="s">
        <v>35</v>
      </c>
      <c r="B283" t="s">
        <v>29</v>
      </c>
      <c r="C283" t="s">
        <v>1059</v>
      </c>
      <c r="D283" t="s">
        <v>1060</v>
      </c>
      <c r="E283" t="s">
        <v>1061</v>
      </c>
      <c r="F283" t="s">
        <v>41</v>
      </c>
      <c r="G283">
        <v>0</v>
      </c>
      <c r="H283">
        <f>((0/1000) * G283)</f>
        <v>0</v>
      </c>
      <c r="I283">
        <v>0</v>
      </c>
      <c r="J283">
        <v>0</v>
      </c>
      <c r="K283" s="1107">
        <v>78518</v>
      </c>
      <c r="L283" s="1108">
        <f>(K283 * G283)</f>
        <v>0</v>
      </c>
      <c r="M283" s="1109">
        <v>129554.7</v>
      </c>
      <c r="N283" s="1110">
        <f>(G283 * M283)</f>
        <v>0</v>
      </c>
      <c r="O283">
        <v>0</v>
      </c>
      <c r="P283">
        <v>0</v>
      </c>
      <c r="Q283">
        <f>IF(O283&gt;G283,(O283-G283),0)</f>
        <v>0</v>
      </c>
      <c r="R283">
        <v>1</v>
      </c>
      <c r="S283">
        <f>IF(Q283&gt;0,Int(P283/Q283),0)</f>
        <v>0</v>
      </c>
      <c r="T283">
        <f>78518</f>
        <v>78518</v>
      </c>
      <c r="U283" t="s">
        <v>1062</v>
      </c>
      <c r="V283">
        <v>78518</v>
      </c>
      <c r="W283" t="s">
        <v>144</v>
      </c>
      <c r="X283" t="s">
        <v>198</v>
      </c>
    </row>
    <row r="284" spans="1:27">
      <c r="A284" t="s">
        <v>35</v>
      </c>
      <c r="B284" t="s">
        <v>29</v>
      </c>
      <c r="C284" t="s">
        <v>1063</v>
      </c>
      <c r="D284" t="s">
        <v>1064</v>
      </c>
      <c r="E284" t="s">
        <v>1065</v>
      </c>
      <c r="F284" t="s">
        <v>41</v>
      </c>
      <c r="G284">
        <v>8</v>
      </c>
      <c r="H284">
        <f>((0/1000) * G284)</f>
        <v>0</v>
      </c>
      <c r="I284">
        <v>0</v>
      </c>
      <c r="J284">
        <v>8</v>
      </c>
      <c r="K284" s="1111">
        <v>62041</v>
      </c>
      <c r="L284" s="1112">
        <f>(K284 * G284)</f>
        <v>496328</v>
      </c>
      <c r="M284" s="1113">
        <v>111673.8</v>
      </c>
      <c r="N284" s="1114">
        <f>(G284 * M284)</f>
        <v>893390.4</v>
      </c>
      <c r="O284">
        <v>0</v>
      </c>
      <c r="P284">
        <v>0</v>
      </c>
      <c r="Q284">
        <f>IF(O284&gt;G284,(O284-G284),0)</f>
        <v>0</v>
      </c>
      <c r="R284">
        <v>0</v>
      </c>
      <c r="S284">
        <f>IF(Q284&gt;0,Int(P284/Q284),0)</f>
        <v>0</v>
      </c>
      <c r="T284">
        <f>62041</f>
        <v>62041</v>
      </c>
      <c r="U284" t="s">
        <v>427</v>
      </c>
      <c r="V284">
        <v>62041</v>
      </c>
      <c r="W284" t="s">
        <v>197</v>
      </c>
      <c r="X284" t="s">
        <v>49</v>
      </c>
    </row>
    <row r="285" spans="1:27">
      <c r="A285" t="s">
        <v>35</v>
      </c>
      <c r="B285" t="s">
        <v>29</v>
      </c>
      <c r="C285" t="s">
        <v>1066</v>
      </c>
      <c r="D285" t="s">
        <v>1067</v>
      </c>
      <c r="E285" t="s">
        <v>1068</v>
      </c>
      <c r="F285" t="s">
        <v>33</v>
      </c>
      <c r="G285">
        <v>0</v>
      </c>
      <c r="H285">
        <f>((0/1000) * G285)</f>
        <v>0</v>
      </c>
      <c r="I285">
        <v>0</v>
      </c>
      <c r="J285">
        <v>0</v>
      </c>
      <c r="K285" s="1115">
        <v>80036.47</v>
      </c>
      <c r="L285" s="1116">
        <f>(K285 * G285)</f>
        <v>0</v>
      </c>
      <c r="M285" s="1117">
        <v>112051.06</v>
      </c>
      <c r="N285" s="1118">
        <f>(G285 * M285)</f>
        <v>0</v>
      </c>
      <c r="O285">
        <v>0</v>
      </c>
      <c r="P285">
        <v>0</v>
      </c>
      <c r="Q285">
        <f>IF(O285&gt;G285,(O285-G285),0)</f>
        <v>0</v>
      </c>
      <c r="R285">
        <v>0</v>
      </c>
      <c r="S285">
        <f>IF(Q285&gt;0,Int(P285/Q285),0)</f>
        <v>0</v>
      </c>
      <c r="T285">
        <f>0</f>
        <v>0</v>
      </c>
      <c r="U285"/>
      <c r="V285">
        <v>80036.47</v>
      </c>
      <c r="W285" t="s">
        <v>148</v>
      </c>
      <c r="X285"/>
    </row>
    <row r="286" spans="1:27">
      <c r="A286" t="s">
        <v>35</v>
      </c>
      <c r="B286" t="s">
        <v>29</v>
      </c>
      <c r="C286" t="s">
        <v>1069</v>
      </c>
      <c r="D286" t="s">
        <v>1069</v>
      </c>
      <c r="E286" t="s">
        <v>1070</v>
      </c>
      <c r="F286" t="s">
        <v>33</v>
      </c>
      <c r="G286">
        <v>0</v>
      </c>
      <c r="H286">
        <f>((0/1000) * G286)</f>
        <v>0</v>
      </c>
      <c r="I286">
        <v>0</v>
      </c>
      <c r="J286">
        <v>0</v>
      </c>
      <c r="K286" s="1119">
        <v>79663.52</v>
      </c>
      <c r="L286" s="1120">
        <f>(K286 * G286)</f>
        <v>0</v>
      </c>
      <c r="M286" s="1121">
        <v>111528.93</v>
      </c>
      <c r="N286" s="1122">
        <f>(G286 * M286)</f>
        <v>0</v>
      </c>
      <c r="O286">
        <v>0</v>
      </c>
      <c r="P286">
        <v>0</v>
      </c>
      <c r="Q286">
        <f>IF(O286&gt;G286,(O286-G286),0)</f>
        <v>0</v>
      </c>
      <c r="R286">
        <v>0</v>
      </c>
      <c r="S286">
        <f>IF(Q286&gt;0,Int(P286/Q286),0)</f>
        <v>0</v>
      </c>
      <c r="T286">
        <f>0</f>
        <v>0</v>
      </c>
      <c r="U286"/>
      <c r="V286">
        <v>79663.52</v>
      </c>
      <c r="W286" t="s">
        <v>529</v>
      </c>
      <c r="X286"/>
    </row>
    <row r="287" spans="1:27">
      <c r="A287" t="s">
        <v>35</v>
      </c>
      <c r="B287" t="s">
        <v>29</v>
      </c>
      <c r="C287" t="s">
        <v>1071</v>
      </c>
      <c r="D287" t="s">
        <v>1072</v>
      </c>
      <c r="E287" t="s">
        <v>1073</v>
      </c>
      <c r="F287" t="s">
        <v>41</v>
      </c>
      <c r="G287">
        <v>1</v>
      </c>
      <c r="H287">
        <f>((0/1000) * G287)</f>
        <v>0</v>
      </c>
      <c r="I287">
        <v>0</v>
      </c>
      <c r="J287">
        <v>1</v>
      </c>
      <c r="K287" s="1123">
        <v>49328</v>
      </c>
      <c r="L287" s="1124">
        <f>(K287 * G287)</f>
        <v>49328</v>
      </c>
      <c r="M287" s="1125">
        <v>88790.4</v>
      </c>
      <c r="N287" s="1126">
        <f>(G287 * M287)</f>
        <v>88790.4</v>
      </c>
      <c r="O287">
        <v>0</v>
      </c>
      <c r="P287">
        <v>0</v>
      </c>
      <c r="Q287">
        <f>IF(O287&gt;G287,(O287-G287),0)</f>
        <v>0</v>
      </c>
      <c r="R287">
        <v>1</v>
      </c>
      <c r="S287">
        <f>IF(Q287&gt;0,Int(P287/Q287),0)</f>
        <v>0</v>
      </c>
      <c r="T287">
        <f>49328</f>
        <v>49328</v>
      </c>
      <c r="U287" t="s">
        <v>1074</v>
      </c>
      <c r="V287">
        <v>49328</v>
      </c>
      <c r="W287" t="s">
        <v>651</v>
      </c>
      <c r="X287" t="s">
        <v>1075</v>
      </c>
    </row>
    <row r="288" spans="1:27">
      <c r="A288" t="s">
        <v>35</v>
      </c>
      <c r="B288" t="s">
        <v>29</v>
      </c>
      <c r="C288" t="s">
        <v>1076</v>
      </c>
      <c r="D288" t="s">
        <v>1077</v>
      </c>
      <c r="E288" t="s">
        <v>1078</v>
      </c>
      <c r="F288" t="s">
        <v>41</v>
      </c>
      <c r="G288">
        <v>0</v>
      </c>
      <c r="H288">
        <f>((0/1000) * G288)</f>
        <v>0</v>
      </c>
      <c r="I288">
        <v>0</v>
      </c>
      <c r="J288">
        <v>0</v>
      </c>
      <c r="K288" s="1127">
        <v>156528.93</v>
      </c>
      <c r="L288" s="1128">
        <f>(K288 * G288)</f>
        <v>0</v>
      </c>
      <c r="M288" s="1129">
        <v>172181.82</v>
      </c>
      <c r="N288" s="1130">
        <f>(G288 * M288)</f>
        <v>0</v>
      </c>
      <c r="O288">
        <v>0</v>
      </c>
      <c r="P288">
        <v>0</v>
      </c>
      <c r="Q288">
        <f>IF(O288&gt;G288,(O288-G288),0)</f>
        <v>0</v>
      </c>
      <c r="R288">
        <v>1</v>
      </c>
      <c r="S288">
        <f>IF(Q288&gt;0,Int(P288/Q288),0)</f>
        <v>0</v>
      </c>
      <c r="T288">
        <f>102021.04</f>
        <v>102021.04</v>
      </c>
      <c r="U288" t="s">
        <v>1079</v>
      </c>
      <c r="V288">
        <v>156528.93</v>
      </c>
      <c r="W288" t="s">
        <v>43</v>
      </c>
      <c r="X288"/>
    </row>
    <row r="289" spans="1:27">
      <c r="A289" t="s">
        <v>35</v>
      </c>
      <c r="B289" t="s">
        <v>29</v>
      </c>
      <c r="C289" t="s">
        <v>1080</v>
      </c>
      <c r="D289" t="s">
        <v>1080</v>
      </c>
      <c r="E289" t="s">
        <v>1081</v>
      </c>
      <c r="F289" t="s">
        <v>33</v>
      </c>
      <c r="G289">
        <v>0</v>
      </c>
      <c r="H289">
        <f>((0/1000) * G289)</f>
        <v>0</v>
      </c>
      <c r="I289">
        <v>0</v>
      </c>
      <c r="J289">
        <v>0</v>
      </c>
      <c r="K289" s="1131">
        <v>0</v>
      </c>
      <c r="L289" s="1132">
        <f>(K289 * G289)</f>
        <v>0</v>
      </c>
      <c r="M289" s="1133">
        <v>0</v>
      </c>
      <c r="N289" s="1134">
        <f>(G289 * M289)</f>
        <v>0</v>
      </c>
      <c r="O289">
        <v>0</v>
      </c>
      <c r="P289">
        <v>0</v>
      </c>
      <c r="Q289">
        <f>IF(O289&gt;G289,(O289-G289),0)</f>
        <v>0</v>
      </c>
      <c r="R289">
        <v>1</v>
      </c>
      <c r="S289">
        <f>IF(Q289&gt;0,Int(P289/Q289),0)</f>
        <v>0</v>
      </c>
      <c r="T289">
        <f>0</f>
        <v>0</v>
      </c>
      <c r="U289" t="s">
        <v>1082</v>
      </c>
      <c r="V289">
        <v>0</v>
      </c>
      <c r="W289">
        <v>0</v>
      </c>
      <c r="X289"/>
    </row>
    <row r="290" spans="1:27">
      <c r="A290" t="s">
        <v>35</v>
      </c>
      <c r="B290" t="s">
        <v>29</v>
      </c>
      <c r="C290" t="s">
        <v>1083</v>
      </c>
      <c r="D290" t="s">
        <v>1084</v>
      </c>
      <c r="E290" t="s">
        <v>1085</v>
      </c>
      <c r="F290" t="s">
        <v>33</v>
      </c>
      <c r="G290">
        <v>0</v>
      </c>
      <c r="H290">
        <f>((0/1000) * G290)</f>
        <v>0</v>
      </c>
      <c r="I290">
        <v>0</v>
      </c>
      <c r="J290">
        <v>0</v>
      </c>
      <c r="K290" s="1135">
        <v>153802.91</v>
      </c>
      <c r="L290" s="1136">
        <f>(K290 * G290)</f>
        <v>0</v>
      </c>
      <c r="M290" s="1137">
        <v>169183.2</v>
      </c>
      <c r="N290" s="1138">
        <f>(G290 * M290)</f>
        <v>0</v>
      </c>
      <c r="O290">
        <v>0</v>
      </c>
      <c r="P290">
        <v>0</v>
      </c>
      <c r="Q290">
        <f>IF(O290&gt;G290,(O290-G290),0)</f>
        <v>0</v>
      </c>
      <c r="R290">
        <v>1</v>
      </c>
      <c r="S290">
        <f>IF(Q290&gt;0,Int(P290/Q290),0)</f>
        <v>0</v>
      </c>
      <c r="T290">
        <f>105935.39</f>
        <v>105935.39</v>
      </c>
      <c r="U290" t="s">
        <v>1086</v>
      </c>
      <c r="V290">
        <v>153802.91</v>
      </c>
      <c r="W290" t="s">
        <v>43</v>
      </c>
      <c r="X290"/>
    </row>
    <row r="291" spans="1:27">
      <c r="A291" t="s">
        <v>35</v>
      </c>
      <c r="B291" t="s">
        <v>29</v>
      </c>
      <c r="C291" t="s">
        <v>1087</v>
      </c>
      <c r="D291" t="s">
        <v>1088</v>
      </c>
      <c r="E291" t="s">
        <v>1089</v>
      </c>
      <c r="F291" t="s">
        <v>41</v>
      </c>
      <c r="G291">
        <v>0</v>
      </c>
      <c r="H291">
        <f>((0/1000) * G291)</f>
        <v>0</v>
      </c>
      <c r="I291">
        <v>0</v>
      </c>
      <c r="J291">
        <v>0</v>
      </c>
      <c r="K291" s="1139">
        <v>127520.66</v>
      </c>
      <c r="L291" s="1140">
        <f>(K291 * G291)</f>
        <v>0</v>
      </c>
      <c r="M291" s="1141">
        <v>140272.73</v>
      </c>
      <c r="N291" s="1142">
        <f>(G291 * M291)</f>
        <v>0</v>
      </c>
      <c r="O291">
        <v>0</v>
      </c>
      <c r="P291">
        <v>0</v>
      </c>
      <c r="Q291">
        <f>IF(O291&gt;G291,(O291-G291),0)</f>
        <v>0</v>
      </c>
      <c r="R291">
        <v>1</v>
      </c>
      <c r="S291">
        <f>IF(Q291&gt;0,Int(P291/Q291),0)</f>
        <v>0</v>
      </c>
      <c r="T291">
        <f>93388.43</f>
        <v>93388.43</v>
      </c>
      <c r="U291" t="s">
        <v>1090</v>
      </c>
      <c r="V291">
        <v>127520.66</v>
      </c>
      <c r="W291" t="s">
        <v>43</v>
      </c>
      <c r="X291"/>
    </row>
    <row r="292" spans="1:27">
      <c r="A292" t="s">
        <v>35</v>
      </c>
      <c r="B292" t="s">
        <v>29</v>
      </c>
      <c r="C292" t="s">
        <v>1091</v>
      </c>
      <c r="D292" t="s">
        <v>1091</v>
      </c>
      <c r="E292" t="s">
        <v>1092</v>
      </c>
      <c r="F292" t="s">
        <v>33</v>
      </c>
      <c r="G292">
        <v>0</v>
      </c>
      <c r="H292">
        <f>((1/1000) * G292)</f>
        <v>0</v>
      </c>
      <c r="I292">
        <v>0</v>
      </c>
      <c r="J292">
        <v>0</v>
      </c>
      <c r="K292" s="1143">
        <v>0</v>
      </c>
      <c r="L292" s="1144">
        <f>(K292 * G292)</f>
        <v>0</v>
      </c>
      <c r="M292" s="1145">
        <v>0</v>
      </c>
      <c r="N292" s="1146">
        <f>(G292 * M292)</f>
        <v>0</v>
      </c>
      <c r="O292">
        <v>0</v>
      </c>
      <c r="P292">
        <v>0</v>
      </c>
      <c r="Q292">
        <f>IF(O292&gt;G292,(O292-G292),0)</f>
        <v>0</v>
      </c>
      <c r="R292">
        <v>0</v>
      </c>
      <c r="S292">
        <f>IF(Q292&gt;0,Int(P292/Q292),0)</f>
        <v>0</v>
      </c>
      <c r="T292">
        <f>0</f>
        <v>0</v>
      </c>
      <c r="U292"/>
      <c r="V292">
        <v>0</v>
      </c>
      <c r="W292">
        <v>0</v>
      </c>
      <c r="X292"/>
    </row>
    <row r="293" spans="1:27">
      <c r="A293" t="s">
        <v>35</v>
      </c>
      <c r="B293" t="s">
        <v>29</v>
      </c>
      <c r="C293" t="s">
        <v>1093</v>
      </c>
      <c r="D293" t="s">
        <v>1093</v>
      </c>
      <c r="E293" t="s">
        <v>1094</v>
      </c>
      <c r="F293" t="s">
        <v>33</v>
      </c>
      <c r="G293">
        <v>0</v>
      </c>
      <c r="H293">
        <f>((1/1000) * G293)</f>
        <v>0</v>
      </c>
      <c r="I293">
        <v>0</v>
      </c>
      <c r="J293">
        <v>0</v>
      </c>
      <c r="K293" s="1147">
        <v>88495.47</v>
      </c>
      <c r="L293" s="1148">
        <f>(K293 * G293)</f>
        <v>0</v>
      </c>
      <c r="M293" s="1149">
        <v>123893.66</v>
      </c>
      <c r="N293" s="1150">
        <f>(G293 * M293)</f>
        <v>0</v>
      </c>
      <c r="O293">
        <v>0</v>
      </c>
      <c r="P293">
        <v>0</v>
      </c>
      <c r="Q293">
        <f>IF(O293&gt;G293,(O293-G293),0)</f>
        <v>0</v>
      </c>
      <c r="R293">
        <v>1</v>
      </c>
      <c r="S293">
        <f>IF(Q293&gt;0,Int(P293/Q293),0)</f>
        <v>0</v>
      </c>
      <c r="T293">
        <f>105184.07</f>
        <v>105184.07</v>
      </c>
      <c r="U293" t="s">
        <v>1095</v>
      </c>
      <c r="V293">
        <v>88495.47</v>
      </c>
      <c r="W293" t="s">
        <v>75</v>
      </c>
      <c r="X293"/>
    </row>
    <row r="294" spans="1:27">
      <c r="A294" t="s">
        <v>35</v>
      </c>
      <c r="B294" t="s">
        <v>29</v>
      </c>
      <c r="C294" t="s">
        <v>1096</v>
      </c>
      <c r="D294" t="s">
        <v>1096</v>
      </c>
      <c r="E294" t="s">
        <v>1097</v>
      </c>
      <c r="F294" t="s">
        <v>33</v>
      </c>
      <c r="G294">
        <v>0</v>
      </c>
      <c r="H294">
        <f>((1/1000) * G294)</f>
        <v>0</v>
      </c>
      <c r="I294">
        <v>0</v>
      </c>
      <c r="J294">
        <v>0</v>
      </c>
      <c r="K294" s="1151">
        <v>0</v>
      </c>
      <c r="L294" s="1152">
        <f>(K294 * G294)</f>
        <v>0</v>
      </c>
      <c r="M294" s="1153">
        <v>0</v>
      </c>
      <c r="N294" s="1154">
        <f>(G294 * M294)</f>
        <v>0</v>
      </c>
      <c r="O294">
        <v>0</v>
      </c>
      <c r="P294">
        <v>0</v>
      </c>
      <c r="Q294">
        <f>IF(O294&gt;G294,(O294-G294),0)</f>
        <v>0</v>
      </c>
      <c r="R294">
        <v>0</v>
      </c>
      <c r="S294">
        <f>IF(Q294&gt;0,Int(P294/Q294),0)</f>
        <v>0</v>
      </c>
      <c r="T294">
        <f>0</f>
        <v>0</v>
      </c>
      <c r="U294"/>
      <c r="V294">
        <v>0</v>
      </c>
      <c r="W294">
        <v>0</v>
      </c>
      <c r="X294"/>
    </row>
    <row r="295" spans="1:27">
      <c r="A295" t="s">
        <v>35</v>
      </c>
      <c r="B295" t="s">
        <v>29</v>
      </c>
      <c r="C295" t="s">
        <v>1098</v>
      </c>
      <c r="D295" t="s">
        <v>1098</v>
      </c>
      <c r="E295" t="s">
        <v>1099</v>
      </c>
      <c r="F295" t="s">
        <v>33</v>
      </c>
      <c r="G295">
        <v>0</v>
      </c>
      <c r="H295">
        <f>((1/1000) * G295)</f>
        <v>0</v>
      </c>
      <c r="I295">
        <v>0</v>
      </c>
      <c r="J295">
        <v>0</v>
      </c>
      <c r="K295" s="1155">
        <v>0</v>
      </c>
      <c r="L295" s="1156">
        <f>(K295 * G295)</f>
        <v>0</v>
      </c>
      <c r="M295" s="1157">
        <v>0</v>
      </c>
      <c r="N295" s="1158">
        <f>(G295 * M295)</f>
        <v>0</v>
      </c>
      <c r="O295">
        <v>0</v>
      </c>
      <c r="P295">
        <v>0</v>
      </c>
      <c r="Q295">
        <f>IF(O295&gt;G295,(O295-G295),0)</f>
        <v>0</v>
      </c>
      <c r="R295">
        <v>0</v>
      </c>
      <c r="S295">
        <f>IF(Q295&gt;0,Int(P295/Q295),0)</f>
        <v>0</v>
      </c>
      <c r="T295">
        <f>0</f>
        <v>0</v>
      </c>
      <c r="U295"/>
      <c r="V295">
        <v>0</v>
      </c>
      <c r="W295">
        <v>0</v>
      </c>
      <c r="X295"/>
    </row>
    <row r="296" spans="1:27">
      <c r="A296" t="s">
        <v>35</v>
      </c>
      <c r="B296" t="s">
        <v>29</v>
      </c>
      <c r="C296" t="s">
        <v>1100</v>
      </c>
      <c r="D296" t="s">
        <v>1101</v>
      </c>
      <c r="E296" t="s">
        <v>1102</v>
      </c>
      <c r="F296" t="s">
        <v>33</v>
      </c>
      <c r="G296">
        <v>0</v>
      </c>
      <c r="H296">
        <f>((0/1000) * G296)</f>
        <v>0</v>
      </c>
      <c r="I296">
        <v>0</v>
      </c>
      <c r="J296">
        <v>0</v>
      </c>
      <c r="K296" s="1159">
        <v>63782.87</v>
      </c>
      <c r="L296" s="1160">
        <f>(K296 * G296)</f>
        <v>0</v>
      </c>
      <c r="M296" s="1161">
        <v>89296.02</v>
      </c>
      <c r="N296" s="1162">
        <f>(G296 * M296)</f>
        <v>0</v>
      </c>
      <c r="O296">
        <v>0</v>
      </c>
      <c r="P296">
        <v>0</v>
      </c>
      <c r="Q296">
        <f>IF(O296&gt;G296,(O296-G296),0)</f>
        <v>0</v>
      </c>
      <c r="R296">
        <v>0</v>
      </c>
      <c r="S296">
        <f>IF(Q296&gt;0,Int(P296/Q296),0)</f>
        <v>0</v>
      </c>
      <c r="T296">
        <f>0</f>
        <v>0</v>
      </c>
      <c r="U296"/>
      <c r="V296">
        <v>63782.87</v>
      </c>
      <c r="W296" t="s">
        <v>148</v>
      </c>
      <c r="X296"/>
    </row>
    <row r="297" spans="1:27">
      <c r="A297" t="s">
        <v>35</v>
      </c>
      <c r="B297" t="s">
        <v>29</v>
      </c>
      <c r="C297" t="s">
        <v>1103</v>
      </c>
      <c r="D297" t="s">
        <v>1104</v>
      </c>
      <c r="E297" t="s">
        <v>1105</v>
      </c>
      <c r="F297" t="s">
        <v>41</v>
      </c>
      <c r="G297">
        <v>1</v>
      </c>
      <c r="H297">
        <f>((0/1000) * G297)</f>
        <v>0</v>
      </c>
      <c r="I297">
        <v>0</v>
      </c>
      <c r="J297">
        <v>1</v>
      </c>
      <c r="K297" s="1163">
        <v>131201.95</v>
      </c>
      <c r="L297" s="1164">
        <f>(K297 * G297)</f>
        <v>131201.95</v>
      </c>
      <c r="M297" s="1165">
        <v>183682.73</v>
      </c>
      <c r="N297" s="1166">
        <f>(G297 * M297)</f>
        <v>183682.73</v>
      </c>
      <c r="O297">
        <v>0</v>
      </c>
      <c r="P297">
        <v>0</v>
      </c>
      <c r="Q297">
        <f>IF(O297&gt;G297,(O297-G297),0)</f>
        <v>0</v>
      </c>
      <c r="R297">
        <v>1</v>
      </c>
      <c r="S297">
        <f>IF(Q297&gt;0,Int(P297/Q297),0)</f>
        <v>0</v>
      </c>
      <c r="T297">
        <f>88343.8</f>
        <v>88343.8</v>
      </c>
      <c r="U297" t="s">
        <v>1106</v>
      </c>
      <c r="V297">
        <v>131201.95</v>
      </c>
      <c r="W297" t="s">
        <v>75</v>
      </c>
      <c r="X297"/>
    </row>
    <row r="298" spans="1:27">
      <c r="A298" t="s">
        <v>35</v>
      </c>
      <c r="B298" t="s">
        <v>29</v>
      </c>
      <c r="C298" t="s">
        <v>1107</v>
      </c>
      <c r="D298" t="s">
        <v>1108</v>
      </c>
      <c r="E298" t="s">
        <v>1109</v>
      </c>
      <c r="F298" t="s">
        <v>41</v>
      </c>
      <c r="G298">
        <v>9</v>
      </c>
      <c r="H298">
        <f>((0/1000) * G298)</f>
        <v>0</v>
      </c>
      <c r="I298">
        <v>0</v>
      </c>
      <c r="J298">
        <v>9</v>
      </c>
      <c r="K298" s="1167">
        <v>77793</v>
      </c>
      <c r="L298" s="1168">
        <f>(K298 * G298)</f>
        <v>700137</v>
      </c>
      <c r="M298" s="1169">
        <v>124600</v>
      </c>
      <c r="N298" s="1170">
        <f>(G298 * M298)</f>
        <v>1121400</v>
      </c>
      <c r="O298">
        <v>0</v>
      </c>
      <c r="P298">
        <v>0</v>
      </c>
      <c r="Q298">
        <f>IF(O298&gt;G298,(O298-G298),0)</f>
        <v>0</v>
      </c>
      <c r="R298">
        <v>1</v>
      </c>
      <c r="S298">
        <f>IF(Q298&gt;0,Int(P298/Q298),0)</f>
        <v>0</v>
      </c>
      <c r="T298">
        <f>89000</f>
        <v>89000</v>
      </c>
      <c r="U298" t="s">
        <v>1110</v>
      </c>
      <c r="V298">
        <v>77793</v>
      </c>
      <c r="W298" t="s">
        <v>1111</v>
      </c>
      <c r="X298" t="s">
        <v>49</v>
      </c>
    </row>
    <row r="299" spans="1:27">
      <c r="A299" t="s">
        <v>35</v>
      </c>
      <c r="B299" t="s">
        <v>29</v>
      </c>
      <c r="C299" t="s">
        <v>1112</v>
      </c>
      <c r="D299" t="s">
        <v>1113</v>
      </c>
      <c r="E299" t="s">
        <v>1114</v>
      </c>
      <c r="F299" t="s">
        <v>41</v>
      </c>
      <c r="G299">
        <v>0</v>
      </c>
      <c r="H299">
        <f>((0/1000) * G299)</f>
        <v>0</v>
      </c>
      <c r="I299">
        <v>0</v>
      </c>
      <c r="J299">
        <v>0</v>
      </c>
      <c r="K299" s="1171">
        <v>124710.74</v>
      </c>
      <c r="L299" s="1172">
        <f>(K299 * G299)</f>
        <v>0</v>
      </c>
      <c r="M299" s="1173">
        <v>137181.82</v>
      </c>
      <c r="N299" s="1174">
        <f>(G299 * M299)</f>
        <v>0</v>
      </c>
      <c r="O299">
        <v>0</v>
      </c>
      <c r="P299">
        <v>0</v>
      </c>
      <c r="Q299">
        <f>IF(O299&gt;G299,(O299-G299),0)</f>
        <v>0</v>
      </c>
      <c r="R299">
        <v>1</v>
      </c>
      <c r="S299">
        <f>IF(Q299&gt;0,Int(P299/Q299),0)</f>
        <v>0</v>
      </c>
      <c r="T299">
        <f>117956.42</f>
        <v>117956.42</v>
      </c>
      <c r="U299" t="s">
        <v>1115</v>
      </c>
      <c r="V299">
        <v>124710.74</v>
      </c>
      <c r="W299" t="s">
        <v>43</v>
      </c>
      <c r="X299"/>
    </row>
    <row r="300" spans="1:27">
      <c r="A300" t="s">
        <v>35</v>
      </c>
      <c r="B300" t="s">
        <v>29</v>
      </c>
      <c r="C300" t="s">
        <v>1116</v>
      </c>
      <c r="D300" t="s">
        <v>1117</v>
      </c>
      <c r="E300" t="s">
        <v>1118</v>
      </c>
      <c r="F300" t="s">
        <v>41</v>
      </c>
      <c r="G300">
        <v>2</v>
      </c>
      <c r="H300">
        <f>((0/1000) * G300)</f>
        <v>0</v>
      </c>
      <c r="I300">
        <v>2</v>
      </c>
      <c r="J300">
        <v>0</v>
      </c>
      <c r="K300" s="1175">
        <v>148191.8</v>
      </c>
      <c r="L300" s="1176">
        <f>(K300 * G300)</f>
        <v>296383.6</v>
      </c>
      <c r="M300" s="1177">
        <v>207468.51</v>
      </c>
      <c r="N300" s="1178">
        <f>(G300 * M300)</f>
        <v>414937.02</v>
      </c>
      <c r="O300">
        <v>0</v>
      </c>
      <c r="P300">
        <v>0</v>
      </c>
      <c r="Q300">
        <f>IF(O300&gt;G300,(O300-G300),0)</f>
        <v>0</v>
      </c>
      <c r="R300">
        <v>1</v>
      </c>
      <c r="S300">
        <f>IF(Q300&gt;0,Int(P300/Q300),0)</f>
        <v>0</v>
      </c>
      <c r="T300">
        <f>134669.84</f>
        <v>134669.84</v>
      </c>
      <c r="U300" t="s">
        <v>1119</v>
      </c>
      <c r="V300">
        <v>148191.8</v>
      </c>
      <c r="W300" t="s">
        <v>182</v>
      </c>
      <c r="X300" t="s">
        <v>354</v>
      </c>
    </row>
    <row r="301" spans="1:27">
      <c r="A301" t="s">
        <v>35</v>
      </c>
      <c r="B301" t="s">
        <v>29</v>
      </c>
      <c r="C301" t="s">
        <v>1120</v>
      </c>
      <c r="D301" t="s">
        <v>1121</v>
      </c>
      <c r="E301" t="s">
        <v>1122</v>
      </c>
      <c r="F301" t="s">
        <v>33</v>
      </c>
      <c r="G301">
        <v>0</v>
      </c>
      <c r="H301">
        <f>((0/1000) * G301)</f>
        <v>0</v>
      </c>
      <c r="I301">
        <v>0</v>
      </c>
      <c r="J301">
        <v>0</v>
      </c>
      <c r="K301" s="1179">
        <v>99491.07</v>
      </c>
      <c r="L301" s="1180">
        <f>(K301 * G301)</f>
        <v>0</v>
      </c>
      <c r="M301" s="1181">
        <v>139287.5</v>
      </c>
      <c r="N301" s="1182">
        <f>(G301 * M301)</f>
        <v>0</v>
      </c>
      <c r="O301">
        <v>0</v>
      </c>
      <c r="P301">
        <v>0</v>
      </c>
      <c r="Q301">
        <f>IF(O301&gt;G301,(O301-G301),0)</f>
        <v>0</v>
      </c>
      <c r="R301">
        <v>1</v>
      </c>
      <c r="S301">
        <f>IF(Q301&gt;0,Int(P301/Q301),0)</f>
        <v>0</v>
      </c>
      <c r="T301">
        <f>77003</f>
        <v>77003</v>
      </c>
      <c r="U301" t="s">
        <v>1123</v>
      </c>
      <c r="V301">
        <v>99491.07</v>
      </c>
      <c r="W301" t="s">
        <v>301</v>
      </c>
      <c r="X301"/>
    </row>
    <row r="302" spans="1:27">
      <c r="A302" t="s">
        <v>35</v>
      </c>
      <c r="B302" t="s">
        <v>29</v>
      </c>
      <c r="C302" t="s">
        <v>1124</v>
      </c>
      <c r="D302" t="s">
        <v>1125</v>
      </c>
      <c r="E302" t="s">
        <v>1126</v>
      </c>
      <c r="F302" t="s">
        <v>33</v>
      </c>
      <c r="G302">
        <v>0</v>
      </c>
      <c r="H302">
        <f>((0/1000) * G302)</f>
        <v>0</v>
      </c>
      <c r="I302">
        <v>0</v>
      </c>
      <c r="J302">
        <v>0</v>
      </c>
      <c r="K302" s="1183">
        <v>110091.86</v>
      </c>
      <c r="L302" s="1184">
        <f>(K302 * G302)</f>
        <v>0</v>
      </c>
      <c r="M302" s="1185">
        <v>154128.61</v>
      </c>
      <c r="N302" s="1186">
        <f>(G302 * M302)</f>
        <v>0</v>
      </c>
      <c r="O302">
        <v>0</v>
      </c>
      <c r="P302">
        <v>0</v>
      </c>
      <c r="Q302">
        <f>IF(O302&gt;G302,(O302-G302),0)</f>
        <v>0</v>
      </c>
      <c r="R302">
        <v>1</v>
      </c>
      <c r="S302">
        <f>IF(Q302&gt;0,Int(P302/Q302),0)</f>
        <v>0</v>
      </c>
      <c r="T302">
        <f>100046.38</f>
        <v>100046.38</v>
      </c>
      <c r="U302" t="s">
        <v>1127</v>
      </c>
      <c r="V302">
        <v>110091.86</v>
      </c>
      <c r="W302" t="s">
        <v>182</v>
      </c>
      <c r="X302" t="s">
        <v>239</v>
      </c>
    </row>
    <row r="303" spans="1:27">
      <c r="A303" t="s">
        <v>35</v>
      </c>
      <c r="B303" t="s">
        <v>29</v>
      </c>
      <c r="C303" t="s">
        <v>1128</v>
      </c>
      <c r="D303" t="s">
        <v>1129</v>
      </c>
      <c r="E303" t="s">
        <v>1130</v>
      </c>
      <c r="F303" t="s">
        <v>41</v>
      </c>
      <c r="G303">
        <v>0</v>
      </c>
      <c r="H303">
        <f>((1/1000) * G303)</f>
        <v>0</v>
      </c>
      <c r="I303">
        <v>0</v>
      </c>
      <c r="J303">
        <v>0</v>
      </c>
      <c r="K303" s="1187">
        <v>134210.4</v>
      </c>
      <c r="L303" s="1188">
        <f>(K303 * G303)</f>
        <v>0</v>
      </c>
      <c r="M303" s="1189">
        <v>147631.44</v>
      </c>
      <c r="N303" s="1190">
        <f>(G303 * M303)</f>
        <v>0</v>
      </c>
      <c r="O303">
        <v>0</v>
      </c>
      <c r="P303">
        <v>0</v>
      </c>
      <c r="Q303">
        <f>IF(O303&gt;G303,(O303-G303),0)</f>
        <v>0</v>
      </c>
      <c r="R303">
        <v>1</v>
      </c>
      <c r="S303">
        <f>IF(Q303&gt;0,Int(P303/Q303),0)</f>
        <v>0</v>
      </c>
      <c r="T303">
        <f>0</f>
        <v>0</v>
      </c>
      <c r="U303"/>
      <c r="V303">
        <v>134210.4</v>
      </c>
      <c r="W303" t="s">
        <v>43</v>
      </c>
      <c r="X303"/>
    </row>
    <row r="304" spans="1:27">
      <c r="A304" t="s">
        <v>35</v>
      </c>
      <c r="B304" t="s">
        <v>29</v>
      </c>
      <c r="C304" t="s">
        <v>1131</v>
      </c>
      <c r="D304" t="s">
        <v>1132</v>
      </c>
      <c r="E304" t="s">
        <v>1133</v>
      </c>
      <c r="F304" t="s">
        <v>41</v>
      </c>
      <c r="G304">
        <v>0</v>
      </c>
      <c r="H304">
        <f>((1/1000) * G304)</f>
        <v>0</v>
      </c>
      <c r="I304">
        <v>0</v>
      </c>
      <c r="J304">
        <v>0</v>
      </c>
      <c r="K304" s="1191">
        <v>0</v>
      </c>
      <c r="L304" s="1192">
        <f>(K304 * G304)</f>
        <v>0</v>
      </c>
      <c r="M304" s="1193">
        <v>0</v>
      </c>
      <c r="N304" s="1194">
        <f>(G304 * M304)</f>
        <v>0</v>
      </c>
      <c r="O304">
        <v>0</v>
      </c>
      <c r="P304">
        <v>0</v>
      </c>
      <c r="Q304">
        <f>IF(O304&gt;G304,(O304-G304),0)</f>
        <v>0</v>
      </c>
      <c r="R304">
        <v>0</v>
      </c>
      <c r="S304">
        <f>IF(Q304&gt;0,Int(P304/Q304),0)</f>
        <v>0</v>
      </c>
      <c r="T304">
        <f>0</f>
        <v>0</v>
      </c>
      <c r="U304"/>
      <c r="V304">
        <v>0</v>
      </c>
      <c r="W304">
        <v>0</v>
      </c>
      <c r="X304"/>
    </row>
    <row r="305" spans="1:27">
      <c r="A305" t="s">
        <v>35</v>
      </c>
      <c r="B305" t="s">
        <v>29</v>
      </c>
      <c r="C305" t="s">
        <v>1134</v>
      </c>
      <c r="D305" t="s">
        <v>1135</v>
      </c>
      <c r="E305" t="s">
        <v>1136</v>
      </c>
      <c r="F305" t="s">
        <v>33</v>
      </c>
      <c r="G305">
        <v>0</v>
      </c>
      <c r="H305">
        <f>((0/1000) * G305)</f>
        <v>0</v>
      </c>
      <c r="I305">
        <v>0</v>
      </c>
      <c r="J305">
        <v>0</v>
      </c>
      <c r="K305" s="1195">
        <v>0</v>
      </c>
      <c r="L305" s="1196">
        <f>(K305 * G305)</f>
        <v>0</v>
      </c>
      <c r="M305" s="1197">
        <v>0</v>
      </c>
      <c r="N305" s="1198">
        <f>(G305 * M305)</f>
        <v>0</v>
      </c>
      <c r="O305">
        <v>0</v>
      </c>
      <c r="P305">
        <v>0</v>
      </c>
      <c r="Q305">
        <f>IF(O305&gt;G305,(O305-G305),0)</f>
        <v>0</v>
      </c>
      <c r="R305">
        <v>1</v>
      </c>
      <c r="S305">
        <f>IF(Q305&gt;0,Int(P305/Q305),0)</f>
        <v>0</v>
      </c>
      <c r="T305">
        <f>0</f>
        <v>0</v>
      </c>
      <c r="U305" t="s">
        <v>1137</v>
      </c>
      <c r="V305">
        <v>0</v>
      </c>
      <c r="W305">
        <v>0</v>
      </c>
      <c r="X305"/>
    </row>
    <row r="306" spans="1:27">
      <c r="A306" t="s">
        <v>35</v>
      </c>
      <c r="B306" t="s">
        <v>29</v>
      </c>
      <c r="C306" t="s">
        <v>1138</v>
      </c>
      <c r="D306" t="s">
        <v>1139</v>
      </c>
      <c r="E306" t="s">
        <v>1140</v>
      </c>
      <c r="F306" t="s">
        <v>41</v>
      </c>
      <c r="G306">
        <v>13</v>
      </c>
      <c r="H306">
        <f>((0/1000) * G306)</f>
        <v>0</v>
      </c>
      <c r="I306">
        <v>0</v>
      </c>
      <c r="J306">
        <v>13</v>
      </c>
      <c r="K306" s="1199">
        <v>49385</v>
      </c>
      <c r="L306" s="1200">
        <f>(K306 * G306)</f>
        <v>642005</v>
      </c>
      <c r="M306" s="1201">
        <v>99173.55</v>
      </c>
      <c r="N306" s="1202">
        <f>(G306 * M306)</f>
        <v>1289256.15</v>
      </c>
      <c r="O306">
        <v>0</v>
      </c>
      <c r="P306">
        <v>0</v>
      </c>
      <c r="Q306">
        <f>IF(O306&gt;G306,(O306-G306),0)</f>
        <v>0</v>
      </c>
      <c r="R306">
        <v>1</v>
      </c>
      <c r="S306">
        <f>IF(Q306&gt;0,Int(P306/Q306),0)</f>
        <v>0</v>
      </c>
      <c r="T306">
        <f>48416</f>
        <v>48416</v>
      </c>
      <c r="U306" t="s">
        <v>1141</v>
      </c>
      <c r="V306">
        <v>49385</v>
      </c>
      <c r="W306" t="s">
        <v>54</v>
      </c>
      <c r="X306" t="s">
        <v>692</v>
      </c>
    </row>
    <row r="307" spans="1:27">
      <c r="A307" t="s">
        <v>35</v>
      </c>
      <c r="B307" t="s">
        <v>29</v>
      </c>
      <c r="C307" t="s">
        <v>1142</v>
      </c>
      <c r="D307" t="s">
        <v>1143</v>
      </c>
      <c r="E307" t="s">
        <v>1144</v>
      </c>
      <c r="F307" t="s">
        <v>33</v>
      </c>
      <c r="G307">
        <v>0</v>
      </c>
      <c r="H307">
        <f>((0/1000) * G307)</f>
        <v>0</v>
      </c>
      <c r="I307">
        <v>0</v>
      </c>
      <c r="J307">
        <v>0</v>
      </c>
      <c r="K307" s="1203">
        <v>53078.51</v>
      </c>
      <c r="L307" s="1204">
        <f>(K307 * G307)</f>
        <v>0</v>
      </c>
      <c r="M307" s="1205">
        <v>74309.92</v>
      </c>
      <c r="N307" s="1206">
        <f>(G307 * M307)</f>
        <v>0</v>
      </c>
      <c r="O307">
        <v>0</v>
      </c>
      <c r="P307">
        <v>0</v>
      </c>
      <c r="Q307">
        <f>IF(O307&gt;G307,(O307-G307),0)</f>
        <v>0</v>
      </c>
      <c r="R307">
        <v>0</v>
      </c>
      <c r="S307">
        <f>IF(Q307&gt;0,Int(P307/Q307),0)</f>
        <v>0</v>
      </c>
      <c r="T307">
        <f>0</f>
        <v>0</v>
      </c>
      <c r="U307"/>
      <c r="V307">
        <v>53078.51</v>
      </c>
      <c r="W307" t="s">
        <v>529</v>
      </c>
      <c r="X307"/>
    </row>
    <row r="308" spans="1:27">
      <c r="A308" t="s">
        <v>35</v>
      </c>
      <c r="B308" t="s">
        <v>29</v>
      </c>
      <c r="C308" t="s">
        <v>1145</v>
      </c>
      <c r="D308" t="s">
        <v>1145</v>
      </c>
      <c r="E308" t="s">
        <v>1146</v>
      </c>
      <c r="F308" t="s">
        <v>41</v>
      </c>
      <c r="G308">
        <v>1</v>
      </c>
      <c r="H308">
        <f>((0/1000) * G308)</f>
        <v>0</v>
      </c>
      <c r="I308">
        <v>0</v>
      </c>
      <c r="J308">
        <v>1</v>
      </c>
      <c r="K308" s="1207">
        <v>57454.55</v>
      </c>
      <c r="L308" s="1208">
        <f>(K308 * G308)</f>
        <v>57454.55</v>
      </c>
      <c r="M308" s="1209">
        <v>94727.27</v>
      </c>
      <c r="N308" s="1210">
        <f>(G308 * M308)</f>
        <v>94727.27</v>
      </c>
      <c r="O308">
        <v>0</v>
      </c>
      <c r="P308">
        <v>0</v>
      </c>
      <c r="Q308">
        <f>IF(O308&gt;G308,(O308-G308),0)</f>
        <v>0</v>
      </c>
      <c r="R308">
        <v>0</v>
      </c>
      <c r="S308">
        <f>IF(Q308&gt;0,Int(P308/Q308),0)</f>
        <v>0</v>
      </c>
      <c r="T308">
        <f>52231.41</f>
        <v>52231.41</v>
      </c>
      <c r="U308" t="s">
        <v>1147</v>
      </c>
      <c r="V308">
        <v>57454.55</v>
      </c>
      <c r="W308" t="s">
        <v>577</v>
      </c>
      <c r="X308" t="s">
        <v>490</v>
      </c>
    </row>
    <row r="309" spans="1:27">
      <c r="A309" t="s">
        <v>35</v>
      </c>
      <c r="B309" t="s">
        <v>29</v>
      </c>
      <c r="C309" t="s">
        <v>1148</v>
      </c>
      <c r="D309" t="s">
        <v>1149</v>
      </c>
      <c r="E309" t="s">
        <v>1150</v>
      </c>
      <c r="F309" t="s">
        <v>33</v>
      </c>
      <c r="G309">
        <v>0</v>
      </c>
      <c r="H309">
        <f>((0/1000) * G309)</f>
        <v>0</v>
      </c>
      <c r="I309">
        <v>0</v>
      </c>
      <c r="J309">
        <v>0</v>
      </c>
      <c r="K309" s="1211">
        <v>72128.57</v>
      </c>
      <c r="L309" s="1212">
        <f>(K309 * G309)</f>
        <v>0</v>
      </c>
      <c r="M309" s="1213">
        <v>100980</v>
      </c>
      <c r="N309" s="1214">
        <f>(G309 * M309)</f>
        <v>0</v>
      </c>
      <c r="O309">
        <v>0</v>
      </c>
      <c r="P309">
        <v>0</v>
      </c>
      <c r="Q309">
        <f>IF(O309&gt;G309,(O309-G309),0)</f>
        <v>0</v>
      </c>
      <c r="R309">
        <v>0</v>
      </c>
      <c r="S309">
        <f>IF(Q309&gt;0,Int(P309/Q309),0)</f>
        <v>0</v>
      </c>
      <c r="T309">
        <f>0</f>
        <v>0</v>
      </c>
      <c r="U309"/>
      <c r="V309">
        <v>72128.57</v>
      </c>
      <c r="W309" t="s">
        <v>148</v>
      </c>
      <c r="X309"/>
    </row>
    <row r="310" spans="1:27">
      <c r="A310" t="s">
        <v>35</v>
      </c>
      <c r="B310" t="s">
        <v>29</v>
      </c>
      <c r="C310" t="s">
        <v>1151</v>
      </c>
      <c r="D310" t="s">
        <v>1152</v>
      </c>
      <c r="E310" t="s">
        <v>1153</v>
      </c>
      <c r="F310" t="s">
        <v>41</v>
      </c>
      <c r="G310">
        <v>2</v>
      </c>
      <c r="H310">
        <f>((0/1000) * G310)</f>
        <v>0</v>
      </c>
      <c r="I310">
        <v>2</v>
      </c>
      <c r="J310">
        <v>0</v>
      </c>
      <c r="K310" s="1215">
        <v>156568.18</v>
      </c>
      <c r="L310" s="1216">
        <f>(K310 * G310)</f>
        <v>313136.36</v>
      </c>
      <c r="M310" s="1217">
        <v>219195.45</v>
      </c>
      <c r="N310" s="1218">
        <f>(G310 * M310)</f>
        <v>438390.9</v>
      </c>
      <c r="O310">
        <v>0</v>
      </c>
      <c r="P310">
        <v>0</v>
      </c>
      <c r="Q310">
        <f>IF(O310&gt;G310,(O310-G310),0)</f>
        <v>0</v>
      </c>
      <c r="R310">
        <v>1</v>
      </c>
      <c r="S310">
        <f>IF(Q310&gt;0,Int(P310/Q310),0)</f>
        <v>0</v>
      </c>
      <c r="T310">
        <f>118933.13</f>
        <v>118933.13</v>
      </c>
      <c r="U310" t="s">
        <v>1154</v>
      </c>
      <c r="V310">
        <v>156568.18</v>
      </c>
      <c r="W310" t="s">
        <v>75</v>
      </c>
      <c r="X310"/>
    </row>
    <row r="311" spans="1:27">
      <c r="A311" t="s">
        <v>35</v>
      </c>
      <c r="B311" t="s">
        <v>29</v>
      </c>
      <c r="C311" t="s">
        <v>1155</v>
      </c>
      <c r="D311" t="s">
        <v>1156</v>
      </c>
      <c r="E311" t="s">
        <v>1157</v>
      </c>
      <c r="F311" t="s">
        <v>33</v>
      </c>
      <c r="G311">
        <v>0</v>
      </c>
      <c r="H311">
        <f>((0/1000) * G311)</f>
        <v>0</v>
      </c>
      <c r="I311">
        <v>0</v>
      </c>
      <c r="J311">
        <v>0</v>
      </c>
      <c r="K311" s="1219">
        <v>87528.57</v>
      </c>
      <c r="L311" s="1220">
        <f>(K311 * G311)</f>
        <v>0</v>
      </c>
      <c r="M311" s="1221">
        <v>122540</v>
      </c>
      <c r="N311" s="1222">
        <f>(G311 * M311)</f>
        <v>0</v>
      </c>
      <c r="O311">
        <v>0</v>
      </c>
      <c r="P311">
        <v>0</v>
      </c>
      <c r="Q311">
        <f>IF(O311&gt;G311,(O311-G311),0)</f>
        <v>0</v>
      </c>
      <c r="R311">
        <v>1</v>
      </c>
      <c r="S311">
        <f>IF(Q311&gt;0,Int(P311/Q311),0)</f>
        <v>0</v>
      </c>
      <c r="T311">
        <f>82644.62</f>
        <v>82644.62</v>
      </c>
      <c r="U311" t="s">
        <v>1158</v>
      </c>
      <c r="V311">
        <v>87528.57</v>
      </c>
      <c r="W311" t="s">
        <v>301</v>
      </c>
      <c r="X311"/>
    </row>
    <row r="312" spans="1:27">
      <c r="A312" t="s">
        <v>35</v>
      </c>
      <c r="B312" t="s">
        <v>29</v>
      </c>
      <c r="C312" t="s">
        <v>1159</v>
      </c>
      <c r="D312" t="s">
        <v>1160</v>
      </c>
      <c r="E312" t="s">
        <v>1161</v>
      </c>
      <c r="F312" t="s">
        <v>41</v>
      </c>
      <c r="G312">
        <v>0</v>
      </c>
      <c r="H312">
        <f>((1/1000) * G312)</f>
        <v>0</v>
      </c>
      <c r="I312">
        <v>0</v>
      </c>
      <c r="J312">
        <v>0</v>
      </c>
      <c r="K312" s="1223">
        <v>126019.16</v>
      </c>
      <c r="L312" s="1224">
        <f>(K312 * G312)</f>
        <v>0</v>
      </c>
      <c r="M312" s="1225">
        <v>138621.08</v>
      </c>
      <c r="N312" s="1226">
        <f>(G312 * M312)</f>
        <v>0</v>
      </c>
      <c r="O312">
        <v>0</v>
      </c>
      <c r="P312">
        <v>0</v>
      </c>
      <c r="Q312">
        <f>IF(O312&gt;G312,(O312-G312),0)</f>
        <v>0</v>
      </c>
      <c r="R312">
        <v>1</v>
      </c>
      <c r="S312">
        <f>IF(Q312&gt;0,Int(P312/Q312),0)</f>
        <v>0</v>
      </c>
      <c r="T312">
        <f>114562.87</f>
        <v>114562.87</v>
      </c>
      <c r="U312" t="s">
        <v>1162</v>
      </c>
      <c r="V312">
        <v>126019.16</v>
      </c>
      <c r="W312" t="s">
        <v>43</v>
      </c>
      <c r="X312" t="s">
        <v>374</v>
      </c>
    </row>
    <row r="313" spans="1:27">
      <c r="A313" t="s">
        <v>35</v>
      </c>
      <c r="B313" t="s">
        <v>29</v>
      </c>
      <c r="C313" t="s">
        <v>1163</v>
      </c>
      <c r="D313" t="s">
        <v>1164</v>
      </c>
      <c r="E313" t="s">
        <v>1165</v>
      </c>
      <c r="F313" t="s">
        <v>41</v>
      </c>
      <c r="G313">
        <v>0</v>
      </c>
      <c r="H313">
        <f>((0/1000) * G313)</f>
        <v>0</v>
      </c>
      <c r="I313">
        <v>0</v>
      </c>
      <c r="J313">
        <v>0</v>
      </c>
      <c r="K313" s="1227">
        <v>104958.68</v>
      </c>
      <c r="L313" s="1228">
        <f>(K313 * G313)</f>
        <v>0</v>
      </c>
      <c r="M313" s="1229">
        <v>115454.55</v>
      </c>
      <c r="N313" s="1230">
        <f>(G313 * M313)</f>
        <v>0</v>
      </c>
      <c r="O313">
        <v>0</v>
      </c>
      <c r="P313">
        <v>0</v>
      </c>
      <c r="Q313">
        <f>IF(O313&gt;G313,(O313-G313),0)</f>
        <v>0</v>
      </c>
      <c r="R313">
        <v>1</v>
      </c>
      <c r="S313">
        <f>IF(Q313&gt;0,Int(P313/Q313),0)</f>
        <v>0</v>
      </c>
      <c r="T313">
        <f>32644.63</f>
        <v>32644.63</v>
      </c>
      <c r="U313" t="s">
        <v>1166</v>
      </c>
      <c r="V313">
        <v>104958.68</v>
      </c>
      <c r="W313" t="s">
        <v>43</v>
      </c>
      <c r="X313"/>
    </row>
    <row r="314" spans="1:27">
      <c r="A314" t="s">
        <v>35</v>
      </c>
      <c r="B314" t="s">
        <v>29</v>
      </c>
      <c r="C314" t="s">
        <v>1167</v>
      </c>
      <c r="D314" t="s">
        <v>1168</v>
      </c>
      <c r="E314" t="s">
        <v>1169</v>
      </c>
      <c r="F314" t="s">
        <v>33</v>
      </c>
      <c r="G314">
        <v>0</v>
      </c>
      <c r="H314">
        <f>((0/1000) * G314)</f>
        <v>0</v>
      </c>
      <c r="I314">
        <v>0</v>
      </c>
      <c r="J314">
        <v>0</v>
      </c>
      <c r="K314" s="1231">
        <v>66031.27</v>
      </c>
      <c r="L314" s="1232">
        <f>(K314 * G314)</f>
        <v>0</v>
      </c>
      <c r="M314" s="1233">
        <v>92443.78</v>
      </c>
      <c r="N314" s="1234">
        <f>(G314 * M314)</f>
        <v>0</v>
      </c>
      <c r="O314">
        <v>0</v>
      </c>
      <c r="P314">
        <v>0</v>
      </c>
      <c r="Q314">
        <f>IF(O314&gt;G314,(O314-G314),0)</f>
        <v>0</v>
      </c>
      <c r="R314">
        <v>0</v>
      </c>
      <c r="S314">
        <f>IF(Q314&gt;0,Int(P314/Q314),0)</f>
        <v>0</v>
      </c>
      <c r="T314">
        <f>0</f>
        <v>0</v>
      </c>
      <c r="U314"/>
      <c r="V314">
        <v>66031.27</v>
      </c>
      <c r="W314" t="s">
        <v>75</v>
      </c>
      <c r="X314"/>
    </row>
    <row r="315" spans="1:27">
      <c r="A315" t="s">
        <v>35</v>
      </c>
      <c r="B315" t="s">
        <v>29</v>
      </c>
      <c r="C315" t="s">
        <v>1170</v>
      </c>
      <c r="D315" t="s">
        <v>1171</v>
      </c>
      <c r="E315" t="s">
        <v>1172</v>
      </c>
      <c r="F315" t="s">
        <v>33</v>
      </c>
      <c r="G315">
        <v>0</v>
      </c>
      <c r="H315">
        <f>((0/1000) * G315)</f>
        <v>0</v>
      </c>
      <c r="I315">
        <v>0</v>
      </c>
      <c r="J315">
        <v>0</v>
      </c>
      <c r="K315" s="1235">
        <v>20077.2</v>
      </c>
      <c r="L315" s="1236">
        <f>(K315 * G315)</f>
        <v>0</v>
      </c>
      <c r="M315" s="1237">
        <v>63636.36</v>
      </c>
      <c r="N315" s="1238">
        <f>(G315 * M315)</f>
        <v>0</v>
      </c>
      <c r="O315">
        <v>0</v>
      </c>
      <c r="P315">
        <v>0</v>
      </c>
      <c r="Q315">
        <f>IF(O315&gt;G315,(O315-G315),0)</f>
        <v>0</v>
      </c>
      <c r="R315">
        <v>1</v>
      </c>
      <c r="S315">
        <f>IF(Q315&gt;0,Int(P315/Q315),0)</f>
        <v>0</v>
      </c>
      <c r="T315">
        <f>18252</f>
        <v>18252</v>
      </c>
      <c r="U315" t="s">
        <v>1173</v>
      </c>
      <c r="V315">
        <v>20077.2</v>
      </c>
      <c r="W315" t="s">
        <v>43</v>
      </c>
      <c r="X315" t="s">
        <v>386</v>
      </c>
    </row>
    <row r="316" spans="1:27">
      <c r="A316" t="s">
        <v>35</v>
      </c>
      <c r="B316" t="s">
        <v>29</v>
      </c>
      <c r="C316" t="s">
        <v>1174</v>
      </c>
      <c r="D316" t="s">
        <v>1175</v>
      </c>
      <c r="E316" t="s">
        <v>1176</v>
      </c>
      <c r="F316" t="s">
        <v>33</v>
      </c>
      <c r="G316">
        <v>0</v>
      </c>
      <c r="H316">
        <f>((0/1000) * G316)</f>
        <v>0</v>
      </c>
      <c r="I316">
        <v>0</v>
      </c>
      <c r="J316">
        <v>0</v>
      </c>
      <c r="K316" s="1239">
        <v>61722.57</v>
      </c>
      <c r="L316" s="1240">
        <f>(K316 * G316)</f>
        <v>0</v>
      </c>
      <c r="M316" s="1241">
        <v>86411.6</v>
      </c>
      <c r="N316" s="1242">
        <f>(G316 * M316)</f>
        <v>0</v>
      </c>
      <c r="O316">
        <v>0</v>
      </c>
      <c r="P316">
        <v>0</v>
      </c>
      <c r="Q316">
        <f>IF(O316&gt;G316,(O316-G316),0)</f>
        <v>0</v>
      </c>
      <c r="R316">
        <v>1</v>
      </c>
      <c r="S316">
        <f>IF(Q316&gt;0,Int(P316/Q316),0)</f>
        <v>0</v>
      </c>
      <c r="T316">
        <f>0</f>
        <v>0</v>
      </c>
      <c r="U316"/>
      <c r="V316">
        <v>61722.57</v>
      </c>
      <c r="W316" t="s">
        <v>75</v>
      </c>
      <c r="X316"/>
    </row>
    <row r="317" spans="1:27">
      <c r="A317" t="s">
        <v>35</v>
      </c>
      <c r="B317" t="s">
        <v>29</v>
      </c>
      <c r="C317" t="s">
        <v>1177</v>
      </c>
      <c r="D317" t="s">
        <v>1178</v>
      </c>
      <c r="E317" t="s">
        <v>1179</v>
      </c>
      <c r="F317" t="s">
        <v>33</v>
      </c>
      <c r="G317">
        <v>0</v>
      </c>
      <c r="H317">
        <f>((0/1000) * G317)</f>
        <v>0</v>
      </c>
      <c r="I317">
        <v>0</v>
      </c>
      <c r="J317">
        <v>0</v>
      </c>
      <c r="K317" s="1243">
        <v>107730.95</v>
      </c>
      <c r="L317" s="1244">
        <f>(K317 * G317)</f>
        <v>0</v>
      </c>
      <c r="M317" s="1245">
        <v>118504.04</v>
      </c>
      <c r="N317" s="1246">
        <f>(G317 * M317)</f>
        <v>0</v>
      </c>
      <c r="O317">
        <v>0</v>
      </c>
      <c r="P317">
        <v>0</v>
      </c>
      <c r="Q317">
        <f>IF(O317&gt;G317,(O317-G317),0)</f>
        <v>0</v>
      </c>
      <c r="R317">
        <v>1</v>
      </c>
      <c r="S317">
        <f>IF(Q317&gt;0,Int(P317/Q317),0)</f>
        <v>0</v>
      </c>
      <c r="T317">
        <f>106686.7</f>
        <v>106686.7</v>
      </c>
      <c r="U317" t="s">
        <v>1180</v>
      </c>
      <c r="V317">
        <v>107730.95</v>
      </c>
      <c r="W317" t="s">
        <v>43</v>
      </c>
      <c r="X317"/>
    </row>
    <row r="318" spans="1:27">
      <c r="A318" t="s">
        <v>35</v>
      </c>
      <c r="B318" t="s">
        <v>29</v>
      </c>
      <c r="C318" t="s">
        <v>1181</v>
      </c>
      <c r="D318" t="s">
        <v>1182</v>
      </c>
      <c r="E318" t="s">
        <v>1183</v>
      </c>
      <c r="F318" t="s">
        <v>41</v>
      </c>
      <c r="G318">
        <v>1</v>
      </c>
      <c r="H318">
        <f>((0/1000) * G318)</f>
        <v>0</v>
      </c>
      <c r="I318">
        <v>0</v>
      </c>
      <c r="J318">
        <v>1</v>
      </c>
      <c r="K318" s="1247">
        <v>77793</v>
      </c>
      <c r="L318" s="1248">
        <f>(K318 * G318)</f>
        <v>77793</v>
      </c>
      <c r="M318" s="1249">
        <v>128358.45</v>
      </c>
      <c r="N318" s="1250">
        <f>(G318 * M318)</f>
        <v>128358.45</v>
      </c>
      <c r="O318">
        <v>0</v>
      </c>
      <c r="P318">
        <v>0</v>
      </c>
      <c r="Q318">
        <f>IF(O318&gt;G318,(O318-G318),0)</f>
        <v>0</v>
      </c>
      <c r="R318">
        <v>0</v>
      </c>
      <c r="S318">
        <f>IF(Q318&gt;0,Int(P318/Q318),0)</f>
        <v>0</v>
      </c>
      <c r="T318">
        <f>74089</f>
        <v>74089</v>
      </c>
      <c r="U318" t="s">
        <v>1184</v>
      </c>
      <c r="V318">
        <v>77793</v>
      </c>
      <c r="W318" t="s">
        <v>144</v>
      </c>
      <c r="X318"/>
    </row>
    <row r="319" spans="1:27">
      <c r="A319" t="s">
        <v>35</v>
      </c>
      <c r="B319" t="s">
        <v>29</v>
      </c>
      <c r="C319" t="s">
        <v>1185</v>
      </c>
      <c r="D319" t="s">
        <v>1185</v>
      </c>
      <c r="E319" t="s">
        <v>1186</v>
      </c>
      <c r="F319" t="s">
        <v>41</v>
      </c>
      <c r="G319">
        <v>0</v>
      </c>
      <c r="H319">
        <f>((0/1000) * G319)</f>
        <v>0</v>
      </c>
      <c r="I319">
        <v>0</v>
      </c>
      <c r="J319">
        <v>0</v>
      </c>
      <c r="K319" s="1251">
        <v>13860</v>
      </c>
      <c r="L319" s="1252">
        <f>(K319 * G319)</f>
        <v>0</v>
      </c>
      <c r="M319" s="1253">
        <v>15246</v>
      </c>
      <c r="N319" s="1254">
        <f>(G319 * M319)</f>
        <v>0</v>
      </c>
      <c r="O319">
        <v>0</v>
      </c>
      <c r="P319">
        <v>0</v>
      </c>
      <c r="Q319">
        <f>IF(O319&gt;G319,(O319-G319),0)</f>
        <v>0</v>
      </c>
      <c r="R319">
        <v>1</v>
      </c>
      <c r="S319">
        <f>IF(Q319&gt;0,Int(P319/Q319),0)</f>
        <v>0</v>
      </c>
      <c r="T319">
        <f>0</f>
        <v>0</v>
      </c>
      <c r="U319"/>
      <c r="V319">
        <v>13860</v>
      </c>
      <c r="W319" t="s">
        <v>43</v>
      </c>
      <c r="X319"/>
    </row>
    <row r="320" spans="1:27">
      <c r="A320" t="s">
        <v>35</v>
      </c>
      <c r="B320" t="s">
        <v>29</v>
      </c>
      <c r="C320" t="s">
        <v>1187</v>
      </c>
      <c r="D320" t="s">
        <v>1188</v>
      </c>
      <c r="E320" t="s">
        <v>1189</v>
      </c>
      <c r="F320" t="s">
        <v>33</v>
      </c>
      <c r="G320">
        <v>0</v>
      </c>
      <c r="H320">
        <f>((0/1000) * G320)</f>
        <v>0</v>
      </c>
      <c r="I320">
        <v>0</v>
      </c>
      <c r="J320">
        <v>0</v>
      </c>
      <c r="K320" s="1255">
        <v>88495.47</v>
      </c>
      <c r="L320" s="1256">
        <f>(K320 * G320)</f>
        <v>0</v>
      </c>
      <c r="M320" s="1257">
        <v>123893.66</v>
      </c>
      <c r="N320" s="1258">
        <f>(G320 * M320)</f>
        <v>0</v>
      </c>
      <c r="O320">
        <v>0</v>
      </c>
      <c r="P320">
        <v>0</v>
      </c>
      <c r="Q320">
        <f>IF(O320&gt;G320,(O320-G320),0)</f>
        <v>0</v>
      </c>
      <c r="R320">
        <v>1</v>
      </c>
      <c r="S320">
        <f>IF(Q320&gt;0,Int(P320/Q320),0)</f>
        <v>0</v>
      </c>
      <c r="T320">
        <f>0</f>
        <v>0</v>
      </c>
      <c r="U320"/>
      <c r="V320">
        <v>88495.47</v>
      </c>
      <c r="W320" t="s">
        <v>301</v>
      </c>
      <c r="X320"/>
    </row>
    <row r="321" spans="1:27">
      <c r="A321" t="s">
        <v>35</v>
      </c>
      <c r="B321" t="s">
        <v>29</v>
      </c>
      <c r="C321" t="s">
        <v>1190</v>
      </c>
      <c r="D321" t="s">
        <v>1191</v>
      </c>
      <c r="E321" t="s">
        <v>1192</v>
      </c>
      <c r="F321" t="s">
        <v>33</v>
      </c>
      <c r="G321">
        <v>0</v>
      </c>
      <c r="H321">
        <f>((0/1000) * G321)</f>
        <v>0</v>
      </c>
      <c r="I321">
        <v>0</v>
      </c>
      <c r="J321">
        <v>0</v>
      </c>
      <c r="K321" s="1259">
        <v>121570.25</v>
      </c>
      <c r="L321" s="1260">
        <f>(K321 * G321)</f>
        <v>0</v>
      </c>
      <c r="M321" s="1261">
        <v>133727.28</v>
      </c>
      <c r="N321" s="1262">
        <f>(G321 * M321)</f>
        <v>0</v>
      </c>
      <c r="O321">
        <v>0</v>
      </c>
      <c r="P321">
        <v>0</v>
      </c>
      <c r="Q321">
        <f>IF(O321&gt;G321,(O321-G321),0)</f>
        <v>0</v>
      </c>
      <c r="R321">
        <v>1</v>
      </c>
      <c r="S321">
        <f>IF(Q321&gt;0,Int(P321/Q321),0)</f>
        <v>0</v>
      </c>
      <c r="T321">
        <f>50037.57</f>
        <v>50037.57</v>
      </c>
      <c r="U321" t="s">
        <v>1193</v>
      </c>
      <c r="V321">
        <v>121570.25</v>
      </c>
      <c r="W321" t="s">
        <v>43</v>
      </c>
      <c r="X321"/>
    </row>
    <row r="322" spans="1:27">
      <c r="A322" t="s">
        <v>35</v>
      </c>
      <c r="B322" t="s">
        <v>29</v>
      </c>
      <c r="C322" t="s">
        <v>1194</v>
      </c>
      <c r="D322" t="s">
        <v>1195</v>
      </c>
      <c r="E322" t="s">
        <v>1196</v>
      </c>
      <c r="F322" t="s">
        <v>41</v>
      </c>
      <c r="G322">
        <v>20</v>
      </c>
      <c r="H322">
        <f>((0/1000) * G322)</f>
        <v>0</v>
      </c>
      <c r="I322">
        <v>0</v>
      </c>
      <c r="J322">
        <v>20</v>
      </c>
      <c r="K322" s="1263">
        <v>58824</v>
      </c>
      <c r="L322" s="1264">
        <f>(K322 * G322)</f>
        <v>1176480</v>
      </c>
      <c r="M322" s="1265">
        <v>105883.2</v>
      </c>
      <c r="N322" s="1266">
        <f>(G322 * M322)</f>
        <v>2117664</v>
      </c>
      <c r="O322">
        <v>0</v>
      </c>
      <c r="P322">
        <v>0</v>
      </c>
      <c r="Q322">
        <f>IF(O322&gt;G322,(O322-G322),0)</f>
        <v>0</v>
      </c>
      <c r="R322">
        <v>1</v>
      </c>
      <c r="S322">
        <f>IF(Q322&gt;0,Int(P322/Q322),0)</f>
        <v>0</v>
      </c>
      <c r="T322">
        <f>58824</f>
        <v>58824</v>
      </c>
      <c r="U322" t="s">
        <v>427</v>
      </c>
      <c r="V322">
        <v>58824</v>
      </c>
      <c r="W322" t="s">
        <v>197</v>
      </c>
      <c r="X322" t="s">
        <v>692</v>
      </c>
    </row>
    <row r="323" spans="1:27">
      <c r="A323" t="s">
        <v>35</v>
      </c>
      <c r="B323" t="s">
        <v>29</v>
      </c>
      <c r="C323" t="s">
        <v>1197</v>
      </c>
      <c r="D323" t="s">
        <v>1198</v>
      </c>
      <c r="E323" t="s">
        <v>1199</v>
      </c>
      <c r="F323" t="s">
        <v>41</v>
      </c>
      <c r="G323">
        <v>0</v>
      </c>
      <c r="H323">
        <f>((0/1000) * G323)</f>
        <v>0</v>
      </c>
      <c r="I323">
        <v>0</v>
      </c>
      <c r="J323">
        <v>0</v>
      </c>
      <c r="K323" s="1267">
        <v>15850.24</v>
      </c>
      <c r="L323" s="1268">
        <f>(K323 * G323)</f>
        <v>0</v>
      </c>
      <c r="M323" s="1269">
        <v>17435.26</v>
      </c>
      <c r="N323" s="1270">
        <f>(G323 * M323)</f>
        <v>0</v>
      </c>
      <c r="O323">
        <v>0</v>
      </c>
      <c r="P323">
        <v>0</v>
      </c>
      <c r="Q323">
        <f>IF(O323&gt;G323,(O323-G323),0)</f>
        <v>0</v>
      </c>
      <c r="R323">
        <v>1</v>
      </c>
      <c r="S323">
        <f>IF(Q323&gt;0,Int(P323/Q323),0)</f>
        <v>0</v>
      </c>
      <c r="T323">
        <f>15850.24</f>
        <v>15850.24</v>
      </c>
      <c r="U323" t="s">
        <v>1200</v>
      </c>
      <c r="V323">
        <v>15850.24</v>
      </c>
      <c r="W323" t="s">
        <v>43</v>
      </c>
      <c r="X323"/>
    </row>
    <row r="324" spans="1:27">
      <c r="A324" t="s">
        <v>35</v>
      </c>
      <c r="B324" t="s">
        <v>29</v>
      </c>
      <c r="C324" t="s">
        <v>1201</v>
      </c>
      <c r="D324" t="s">
        <v>1202</v>
      </c>
      <c r="E324" t="s">
        <v>1203</v>
      </c>
      <c r="F324" t="s">
        <v>33</v>
      </c>
      <c r="G324">
        <v>0</v>
      </c>
      <c r="H324">
        <f>((0/1000) * G324)</f>
        <v>0</v>
      </c>
      <c r="I324">
        <v>0</v>
      </c>
      <c r="J324">
        <v>0</v>
      </c>
      <c r="K324" s="1271">
        <v>203973.65</v>
      </c>
      <c r="L324" s="1272">
        <f>(K324 * G324)</f>
        <v>0</v>
      </c>
      <c r="M324" s="1273">
        <v>285563.11</v>
      </c>
      <c r="N324" s="1274">
        <f>(G324 * M324)</f>
        <v>0</v>
      </c>
      <c r="O324">
        <v>0</v>
      </c>
      <c r="P324">
        <v>0</v>
      </c>
      <c r="Q324">
        <f>IF(O324&gt;G324,(O324-G324),0)</f>
        <v>0</v>
      </c>
      <c r="R324">
        <v>1</v>
      </c>
      <c r="S324">
        <f>IF(Q324&gt;0,Int(P324/Q324),0)</f>
        <v>0</v>
      </c>
      <c r="T324">
        <f>171594.03</f>
        <v>171594.03</v>
      </c>
      <c r="U324" t="s">
        <v>1204</v>
      </c>
      <c r="V324">
        <v>203973.65</v>
      </c>
      <c r="W324" t="s">
        <v>182</v>
      </c>
      <c r="X324" t="s">
        <v>262</v>
      </c>
    </row>
    <row r="325" spans="1:27">
      <c r="A325" t="s">
        <v>35</v>
      </c>
      <c r="B325" t="s">
        <v>29</v>
      </c>
      <c r="C325" t="s">
        <v>1205</v>
      </c>
      <c r="D325" t="s">
        <v>1206</v>
      </c>
      <c r="E325" t="s">
        <v>1207</v>
      </c>
      <c r="F325" t="s">
        <v>33</v>
      </c>
      <c r="G325">
        <v>0</v>
      </c>
      <c r="H325">
        <f>((0/1000) * G325)</f>
        <v>0</v>
      </c>
      <c r="I325">
        <v>0</v>
      </c>
      <c r="J325">
        <v>0</v>
      </c>
      <c r="K325" s="1275">
        <v>128228.57</v>
      </c>
      <c r="L325" s="1276">
        <f>(K325 * G325)</f>
        <v>0</v>
      </c>
      <c r="M325" s="1277">
        <v>179520</v>
      </c>
      <c r="N325" s="1278">
        <f>(G325 * M325)</f>
        <v>0</v>
      </c>
      <c r="O325">
        <v>0</v>
      </c>
      <c r="P325">
        <v>0</v>
      </c>
      <c r="Q325">
        <f>IF(O325&gt;G325,(O325-G325),0)</f>
        <v>0</v>
      </c>
      <c r="R325">
        <v>0</v>
      </c>
      <c r="S325">
        <f>IF(Q325&gt;0,Int(P325/Q325),0)</f>
        <v>0</v>
      </c>
      <c r="T325">
        <f>128228.57</f>
        <v>128228.57</v>
      </c>
      <c r="U325" t="s">
        <v>1208</v>
      </c>
      <c r="V325">
        <v>128228.57</v>
      </c>
      <c r="W325" t="s">
        <v>301</v>
      </c>
      <c r="X325"/>
    </row>
    <row r="326" spans="1:27">
      <c r="A326" t="s">
        <v>35</v>
      </c>
      <c r="B326" t="s">
        <v>29</v>
      </c>
      <c r="C326" t="s">
        <v>1209</v>
      </c>
      <c r="D326" t="s">
        <v>1210</v>
      </c>
      <c r="E326" t="s">
        <v>1211</v>
      </c>
      <c r="F326" t="s">
        <v>33</v>
      </c>
      <c r="G326">
        <v>0</v>
      </c>
      <c r="H326">
        <f>((0/1000) * G326)</f>
        <v>0</v>
      </c>
      <c r="I326">
        <v>0</v>
      </c>
      <c r="J326">
        <v>0</v>
      </c>
      <c r="K326" s="1279">
        <v>66779.27</v>
      </c>
      <c r="L326" s="1280">
        <f>(K326 * G326)</f>
        <v>0</v>
      </c>
      <c r="M326" s="1281">
        <v>93490.98</v>
      </c>
      <c r="N326" s="1282">
        <f>(G326 * M326)</f>
        <v>0</v>
      </c>
      <c r="O326">
        <v>0</v>
      </c>
      <c r="P326">
        <v>0</v>
      </c>
      <c r="Q326">
        <f>IF(O326&gt;G326,(O326-G326),0)</f>
        <v>0</v>
      </c>
      <c r="R326">
        <v>0</v>
      </c>
      <c r="S326">
        <f>IF(Q326&gt;0,Int(P326/Q326),0)</f>
        <v>0</v>
      </c>
      <c r="T326">
        <f>0</f>
        <v>0</v>
      </c>
      <c r="U326"/>
      <c r="V326">
        <v>66779.27</v>
      </c>
      <c r="W326" t="s">
        <v>75</v>
      </c>
      <c r="X326"/>
    </row>
    <row r="327" spans="1:27">
      <c r="A327" t="s">
        <v>35</v>
      </c>
      <c r="B327" t="s">
        <v>29</v>
      </c>
      <c r="C327" t="s">
        <v>1212</v>
      </c>
      <c r="D327" t="s">
        <v>1213</v>
      </c>
      <c r="E327" t="s">
        <v>1214</v>
      </c>
      <c r="F327" t="s">
        <v>41</v>
      </c>
      <c r="G327">
        <v>0</v>
      </c>
      <c r="H327">
        <f>((0/1000) * G327)</f>
        <v>0</v>
      </c>
      <c r="I327">
        <v>0</v>
      </c>
      <c r="J327">
        <v>0</v>
      </c>
      <c r="K327" s="1283">
        <v>311090.91</v>
      </c>
      <c r="L327" s="1284">
        <f>(K327 * G327)</f>
        <v>0</v>
      </c>
      <c r="M327" s="1285">
        <v>435527.27</v>
      </c>
      <c r="N327" s="1286">
        <f>(G327 * M327)</f>
        <v>0</v>
      </c>
      <c r="O327">
        <v>0</v>
      </c>
      <c r="P327">
        <v>0</v>
      </c>
      <c r="Q327">
        <f>IF(O327&gt;G327,(O327-G327),0)</f>
        <v>0</v>
      </c>
      <c r="R327">
        <v>1</v>
      </c>
      <c r="S327">
        <f>IF(Q327&gt;0,Int(P327/Q327),0)</f>
        <v>0</v>
      </c>
      <c r="T327">
        <f>235837.72</f>
        <v>235837.72</v>
      </c>
      <c r="U327" t="s">
        <v>1215</v>
      </c>
      <c r="V327">
        <v>311090.91</v>
      </c>
      <c r="W327" t="s">
        <v>75</v>
      </c>
      <c r="X327"/>
    </row>
    <row r="328" spans="1:27">
      <c r="A328" t="s">
        <v>35</v>
      </c>
      <c r="B328" t="s">
        <v>29</v>
      </c>
      <c r="C328" t="s">
        <v>1216</v>
      </c>
      <c r="D328" t="s">
        <v>1217</v>
      </c>
      <c r="E328" t="s">
        <v>1218</v>
      </c>
      <c r="F328" t="s">
        <v>33</v>
      </c>
      <c r="G328">
        <v>0</v>
      </c>
      <c r="H328">
        <f>((0/1000) * G328)</f>
        <v>0</v>
      </c>
      <c r="I328">
        <v>0</v>
      </c>
      <c r="J328">
        <v>0</v>
      </c>
      <c r="K328" s="1287">
        <v>105785.12</v>
      </c>
      <c r="L328" s="1288">
        <f>(K328 * G328)</f>
        <v>0</v>
      </c>
      <c r="M328" s="1289">
        <v>116363.63</v>
      </c>
      <c r="N328" s="1290">
        <f>(G328 * M328)</f>
        <v>0</v>
      </c>
      <c r="O328">
        <v>0</v>
      </c>
      <c r="P328">
        <v>0</v>
      </c>
      <c r="Q328">
        <f>IF(O328&gt;G328,(O328-G328),0)</f>
        <v>0</v>
      </c>
      <c r="R328">
        <v>1</v>
      </c>
      <c r="S328">
        <f>IF(Q328&gt;0,Int(P328/Q328),0)</f>
        <v>0</v>
      </c>
      <c r="T328">
        <f>32737.39</f>
        <v>32737.39</v>
      </c>
      <c r="U328" t="s">
        <v>1219</v>
      </c>
      <c r="V328">
        <v>105785.12</v>
      </c>
      <c r="W328" t="s">
        <v>43</v>
      </c>
      <c r="X328"/>
    </row>
    <row r="329" spans="1:27">
      <c r="A329" t="s">
        <v>35</v>
      </c>
      <c r="B329" t="s">
        <v>29</v>
      </c>
      <c r="C329" t="s">
        <v>1220</v>
      </c>
      <c r="D329" t="s">
        <v>1221</v>
      </c>
      <c r="E329" t="s">
        <v>1222</v>
      </c>
      <c r="F329" t="s">
        <v>33</v>
      </c>
      <c r="G329">
        <v>0</v>
      </c>
      <c r="H329">
        <f>((0/1000) * G329)</f>
        <v>0</v>
      </c>
      <c r="I329">
        <v>0</v>
      </c>
      <c r="J329">
        <v>0</v>
      </c>
      <c r="K329" s="1291">
        <v>128228.57</v>
      </c>
      <c r="L329" s="1292">
        <f>(K329 * G329)</f>
        <v>0</v>
      </c>
      <c r="M329" s="1293">
        <v>179520</v>
      </c>
      <c r="N329" s="1294">
        <f>(G329 * M329)</f>
        <v>0</v>
      </c>
      <c r="O329">
        <v>0</v>
      </c>
      <c r="P329">
        <v>0</v>
      </c>
      <c r="Q329">
        <f>IF(O329&gt;G329,(O329-G329),0)</f>
        <v>0</v>
      </c>
      <c r="R329">
        <v>0</v>
      </c>
      <c r="S329">
        <f>IF(Q329&gt;0,Int(P329/Q329),0)</f>
        <v>0</v>
      </c>
      <c r="T329">
        <f>0</f>
        <v>0</v>
      </c>
      <c r="U329"/>
      <c r="V329">
        <v>128228.57</v>
      </c>
      <c r="W329" t="s">
        <v>148</v>
      </c>
      <c r="X329"/>
    </row>
    <row r="330" spans="1:27">
      <c r="A330" t="s">
        <v>35</v>
      </c>
      <c r="B330" t="s">
        <v>29</v>
      </c>
      <c r="C330" t="s">
        <v>1223</v>
      </c>
      <c r="D330" t="s">
        <v>1224</v>
      </c>
      <c r="E330" t="s">
        <v>1225</v>
      </c>
      <c r="F330" t="s">
        <v>33</v>
      </c>
      <c r="G330">
        <v>0</v>
      </c>
      <c r="H330">
        <f>((0/1000) * G330)</f>
        <v>0</v>
      </c>
      <c r="I330">
        <v>0</v>
      </c>
      <c r="J330">
        <v>0</v>
      </c>
      <c r="K330" s="1295">
        <v>57452.18</v>
      </c>
      <c r="L330" s="1296">
        <f>(K330 * G330)</f>
        <v>0</v>
      </c>
      <c r="M330" s="1297">
        <v>80433.06</v>
      </c>
      <c r="N330" s="1298">
        <f>(G330 * M330)</f>
        <v>0</v>
      </c>
      <c r="O330">
        <v>0</v>
      </c>
      <c r="P330">
        <v>0</v>
      </c>
      <c r="Q330">
        <f>IF(O330&gt;G330,(O330-G330),0)</f>
        <v>0</v>
      </c>
      <c r="R330">
        <v>0</v>
      </c>
      <c r="S330">
        <f>IF(Q330&gt;0,Int(P330/Q330),0)</f>
        <v>0</v>
      </c>
      <c r="T330">
        <f>0</f>
        <v>0</v>
      </c>
      <c r="U330"/>
      <c r="V330">
        <v>57452.18</v>
      </c>
      <c r="W330" t="s">
        <v>529</v>
      </c>
      <c r="X330"/>
    </row>
    <row r="331" spans="1:27">
      <c r="A331" t="s">
        <v>35</v>
      </c>
      <c r="B331" t="s">
        <v>29</v>
      </c>
      <c r="C331" t="s">
        <v>1226</v>
      </c>
      <c r="D331" t="s">
        <v>1227</v>
      </c>
      <c r="E331" t="s">
        <v>1228</v>
      </c>
      <c r="F331" t="s">
        <v>33</v>
      </c>
      <c r="G331">
        <v>0</v>
      </c>
      <c r="H331">
        <f>((0/1000) * G331)</f>
        <v>0</v>
      </c>
      <c r="I331">
        <v>0</v>
      </c>
      <c r="J331">
        <v>0</v>
      </c>
      <c r="K331" s="1299">
        <v>68355.57</v>
      </c>
      <c r="L331" s="1300">
        <f>(K331 * G331)</f>
        <v>0</v>
      </c>
      <c r="M331" s="1301">
        <v>95697.8</v>
      </c>
      <c r="N331" s="1302">
        <f>(G331 * M331)</f>
        <v>0</v>
      </c>
      <c r="O331">
        <v>0</v>
      </c>
      <c r="P331">
        <v>0</v>
      </c>
      <c r="Q331">
        <f>IF(O331&gt;G331,(O331-G331),0)</f>
        <v>0</v>
      </c>
      <c r="R331">
        <v>0</v>
      </c>
      <c r="S331">
        <f>IF(Q331&gt;0,Int(P331/Q331),0)</f>
        <v>0</v>
      </c>
      <c r="T331">
        <f>0</f>
        <v>0</v>
      </c>
      <c r="U331"/>
      <c r="V331">
        <v>68355.57</v>
      </c>
      <c r="W331" t="s">
        <v>301</v>
      </c>
      <c r="X331"/>
    </row>
    <row r="332" spans="1:27">
      <c r="A332" t="s">
        <v>35</v>
      </c>
      <c r="B332" t="s">
        <v>29</v>
      </c>
      <c r="C332" t="s">
        <v>1229</v>
      </c>
      <c r="D332" t="s">
        <v>1230</v>
      </c>
      <c r="E332" t="s">
        <v>1231</v>
      </c>
      <c r="F332" t="s">
        <v>41</v>
      </c>
      <c r="G332">
        <v>0</v>
      </c>
      <c r="H332">
        <f>((0/1000) * G332)</f>
        <v>0</v>
      </c>
      <c r="I332">
        <v>0</v>
      </c>
      <c r="J332">
        <v>0</v>
      </c>
      <c r="K332" s="1303">
        <v>233112.75</v>
      </c>
      <c r="L332" s="1304">
        <f>(K332 * G332)</f>
        <v>0</v>
      </c>
      <c r="M332" s="1305">
        <v>326357.85</v>
      </c>
      <c r="N332" s="1306">
        <f>(G332 * M332)</f>
        <v>0</v>
      </c>
      <c r="O332">
        <v>0</v>
      </c>
      <c r="P332">
        <v>0</v>
      </c>
      <c r="Q332">
        <f>IF(O332&gt;G332,(O332-G332),0)</f>
        <v>0</v>
      </c>
      <c r="R332">
        <v>1</v>
      </c>
      <c r="S332">
        <f>IF(Q332&gt;0,Int(P332/Q332),0)</f>
        <v>0</v>
      </c>
      <c r="T332">
        <f>95041.32</f>
        <v>95041.32</v>
      </c>
      <c r="U332" t="s">
        <v>1232</v>
      </c>
      <c r="V332">
        <v>233112.75</v>
      </c>
      <c r="W332" t="s">
        <v>182</v>
      </c>
      <c r="X332"/>
    </row>
    <row r="333" spans="1:27">
      <c r="A333" t="s">
        <v>35</v>
      </c>
      <c r="B333" t="s">
        <v>29</v>
      </c>
      <c r="C333" t="s">
        <v>1233</v>
      </c>
      <c r="D333" t="s">
        <v>1234</v>
      </c>
      <c r="E333" t="s">
        <v>1235</v>
      </c>
      <c r="F333" t="s">
        <v>41</v>
      </c>
      <c r="G333">
        <v>0</v>
      </c>
      <c r="H333">
        <f>((0/1000) * G333)</f>
        <v>0</v>
      </c>
      <c r="I333">
        <v>0</v>
      </c>
      <c r="J333">
        <v>0</v>
      </c>
      <c r="K333" s="1307">
        <v>113057.85</v>
      </c>
      <c r="L333" s="1308">
        <f>(K333 * G333)</f>
        <v>0</v>
      </c>
      <c r="M333" s="1309">
        <v>124363.63</v>
      </c>
      <c r="N333" s="1310">
        <f>(G333 * M333)</f>
        <v>0</v>
      </c>
      <c r="O333">
        <v>0</v>
      </c>
      <c r="P333">
        <v>0</v>
      </c>
      <c r="Q333">
        <f>IF(O333&gt;G333,(O333-G333),0)</f>
        <v>0</v>
      </c>
      <c r="R333">
        <v>1</v>
      </c>
      <c r="S333">
        <f>IF(Q333&gt;0,Int(P333/Q333),0)</f>
        <v>0</v>
      </c>
      <c r="T333">
        <f>102779.86</f>
        <v>102779.86</v>
      </c>
      <c r="U333" t="s">
        <v>1236</v>
      </c>
      <c r="V333">
        <v>113057.85</v>
      </c>
      <c r="W333" t="s">
        <v>292</v>
      </c>
      <c r="X333" t="s">
        <v>166</v>
      </c>
    </row>
    <row r="334" spans="1:27">
      <c r="A334" t="s">
        <v>35</v>
      </c>
      <c r="B334" t="s">
        <v>29</v>
      </c>
      <c r="C334" t="s">
        <v>1237</v>
      </c>
      <c r="D334" t="s">
        <v>1238</v>
      </c>
      <c r="E334" t="s">
        <v>1239</v>
      </c>
      <c r="F334" t="s">
        <v>33</v>
      </c>
      <c r="G334">
        <v>0</v>
      </c>
      <c r="H334">
        <f>((0/1000) * G334)</f>
        <v>0</v>
      </c>
      <c r="I334">
        <v>0</v>
      </c>
      <c r="J334">
        <v>0</v>
      </c>
      <c r="K334" s="1311">
        <v>103575</v>
      </c>
      <c r="L334" s="1312">
        <f>(K334 * G334)</f>
        <v>0</v>
      </c>
      <c r="M334" s="1313">
        <v>145005</v>
      </c>
      <c r="N334" s="1314">
        <f>(G334 * M334)</f>
        <v>0</v>
      </c>
      <c r="O334">
        <v>0</v>
      </c>
      <c r="P334">
        <v>0</v>
      </c>
      <c r="Q334">
        <f>IF(O334&gt;G334,(O334-G334),0)</f>
        <v>0</v>
      </c>
      <c r="R334">
        <v>1</v>
      </c>
      <c r="S334">
        <f>IF(Q334&gt;0,Int(P334/Q334),0)</f>
        <v>0</v>
      </c>
      <c r="T334">
        <f>85100</f>
        <v>85100</v>
      </c>
      <c r="U334" t="s">
        <v>1240</v>
      </c>
      <c r="V334">
        <v>103575</v>
      </c>
      <c r="W334" t="s">
        <v>75</v>
      </c>
      <c r="X334"/>
    </row>
    <row r="335" spans="1:27">
      <c r="A335" t="s">
        <v>35</v>
      </c>
      <c r="B335" t="s">
        <v>29</v>
      </c>
      <c r="C335" t="s">
        <v>1241</v>
      </c>
      <c r="D335" t="s">
        <v>1242</v>
      </c>
      <c r="E335" t="s">
        <v>1243</v>
      </c>
      <c r="F335" t="s">
        <v>33</v>
      </c>
      <c r="G335">
        <v>0</v>
      </c>
      <c r="H335">
        <f>((0/1000) * G335)</f>
        <v>0</v>
      </c>
      <c r="I335">
        <v>0</v>
      </c>
      <c r="J335">
        <v>0</v>
      </c>
      <c r="K335" s="1315">
        <v>194260.63</v>
      </c>
      <c r="L335" s="1316">
        <f>(K335 * G335)</f>
        <v>0</v>
      </c>
      <c r="M335" s="1317">
        <v>271964.88</v>
      </c>
      <c r="N335" s="1318">
        <f>(G335 * M335)</f>
        <v>0</v>
      </c>
      <c r="O335">
        <v>0</v>
      </c>
      <c r="P335">
        <v>0</v>
      </c>
      <c r="Q335">
        <f>IF(O335&gt;G335,(O335-G335),0)</f>
        <v>0</v>
      </c>
      <c r="R335">
        <v>1</v>
      </c>
      <c r="S335">
        <f>IF(Q335&gt;0,Int(P335/Q335),0)</f>
        <v>0</v>
      </c>
      <c r="T335">
        <f>176535.06</f>
        <v>176535.06</v>
      </c>
      <c r="U335" t="s">
        <v>1244</v>
      </c>
      <c r="V335">
        <v>194260.63</v>
      </c>
      <c r="W335" t="s">
        <v>182</v>
      </c>
      <c r="X335" t="s">
        <v>687</v>
      </c>
    </row>
    <row r="336" spans="1:27">
      <c r="A336" t="s">
        <v>35</v>
      </c>
      <c r="B336" t="s">
        <v>29</v>
      </c>
      <c r="C336" t="s">
        <v>1245</v>
      </c>
      <c r="D336" t="s">
        <v>1246</v>
      </c>
      <c r="E336" t="s">
        <v>1247</v>
      </c>
      <c r="F336" t="s">
        <v>41</v>
      </c>
      <c r="G336">
        <v>1</v>
      </c>
      <c r="H336">
        <f>((0/1000) * G336)</f>
        <v>0</v>
      </c>
      <c r="I336">
        <v>1</v>
      </c>
      <c r="J336">
        <v>0</v>
      </c>
      <c r="K336" s="1319">
        <v>254921.1</v>
      </c>
      <c r="L336" s="1320">
        <f>(K336 * G336)</f>
        <v>254921.1</v>
      </c>
      <c r="M336" s="1321">
        <v>356889.54</v>
      </c>
      <c r="N336" s="1322">
        <f>(G336 * M336)</f>
        <v>356889.54</v>
      </c>
      <c r="O336">
        <v>0</v>
      </c>
      <c r="P336">
        <v>0</v>
      </c>
      <c r="Q336">
        <f>IF(O336&gt;G336,(O336-G336),0)</f>
        <v>0</v>
      </c>
      <c r="R336">
        <v>1</v>
      </c>
      <c r="S336">
        <f>IF(Q336&gt;0,Int(P336/Q336),0)</f>
        <v>0</v>
      </c>
      <c r="T336">
        <f>81592.79</f>
        <v>81592.79</v>
      </c>
      <c r="U336" t="s">
        <v>1248</v>
      </c>
      <c r="V336">
        <v>254921.1</v>
      </c>
      <c r="W336" t="s">
        <v>75</v>
      </c>
      <c r="X336"/>
    </row>
    <row r="337" spans="1:27">
      <c r="A337" t="s">
        <v>35</v>
      </c>
      <c r="B337" t="s">
        <v>29</v>
      </c>
      <c r="C337" t="s">
        <v>1249</v>
      </c>
      <c r="D337" t="s">
        <v>1250</v>
      </c>
      <c r="E337" t="s">
        <v>1251</v>
      </c>
      <c r="F337" t="s">
        <v>33</v>
      </c>
      <c r="G337">
        <v>0</v>
      </c>
      <c r="H337">
        <f>((0/1000) * G337)</f>
        <v>0</v>
      </c>
      <c r="I337">
        <v>0</v>
      </c>
      <c r="J337">
        <v>0</v>
      </c>
      <c r="K337" s="1323">
        <v>182086.49</v>
      </c>
      <c r="L337" s="1324">
        <f>(K337 * G337)</f>
        <v>0</v>
      </c>
      <c r="M337" s="1325">
        <v>254921.09</v>
      </c>
      <c r="N337" s="1326">
        <f>(G337 * M337)</f>
        <v>0</v>
      </c>
      <c r="O337">
        <v>0</v>
      </c>
      <c r="P337">
        <v>0</v>
      </c>
      <c r="Q337">
        <f>IF(O337&gt;G337,(O337-G337),0)</f>
        <v>0</v>
      </c>
      <c r="R337">
        <v>1</v>
      </c>
      <c r="S337">
        <f>IF(Q337&gt;0,Int(P337/Q337),0)</f>
        <v>0</v>
      </c>
      <c r="T337">
        <f>182086.49</f>
        <v>182086.49</v>
      </c>
      <c r="U337" t="s">
        <v>1252</v>
      </c>
      <c r="V337">
        <v>182086.49</v>
      </c>
      <c r="W337" t="s">
        <v>75</v>
      </c>
      <c r="X337"/>
    </row>
    <row r="338" spans="1:27">
      <c r="A338" t="s">
        <v>35</v>
      </c>
      <c r="B338" t="s">
        <v>29</v>
      </c>
      <c r="C338" t="s">
        <v>1253</v>
      </c>
      <c r="D338" t="s">
        <v>1254</v>
      </c>
      <c r="E338" t="s">
        <v>1255</v>
      </c>
      <c r="F338" t="s">
        <v>33</v>
      </c>
      <c r="G338">
        <v>0</v>
      </c>
      <c r="H338">
        <f>((0/1000) * G338)</f>
        <v>0</v>
      </c>
      <c r="I338">
        <v>0</v>
      </c>
      <c r="J338">
        <v>0</v>
      </c>
      <c r="K338" s="1327">
        <v>213152.38</v>
      </c>
      <c r="L338" s="1328">
        <f>(K338 * G338)</f>
        <v>0</v>
      </c>
      <c r="M338" s="1329">
        <v>298413.33</v>
      </c>
      <c r="N338" s="1330">
        <f>(G338 * M338)</f>
        <v>0</v>
      </c>
      <c r="O338">
        <v>0</v>
      </c>
      <c r="P338">
        <v>0</v>
      </c>
      <c r="Q338">
        <f>IF(O338&gt;G338,(O338-G338),0)</f>
        <v>0</v>
      </c>
      <c r="R338">
        <v>1</v>
      </c>
      <c r="S338">
        <f>IF(Q338&gt;0,Int(P338/Q338),0)</f>
        <v>0</v>
      </c>
      <c r="T338">
        <f>165146.68</f>
        <v>165146.68</v>
      </c>
      <c r="U338" t="s">
        <v>1256</v>
      </c>
      <c r="V338">
        <v>213152.38</v>
      </c>
      <c r="W338" t="s">
        <v>182</v>
      </c>
      <c r="X338"/>
    </row>
    <row r="339" spans="1:27">
      <c r="A339" t="s">
        <v>35</v>
      </c>
      <c r="B339" t="s">
        <v>29</v>
      </c>
      <c r="C339" t="s">
        <v>1257</v>
      </c>
      <c r="D339" t="s">
        <v>1258</v>
      </c>
      <c r="E339" t="s">
        <v>1259</v>
      </c>
      <c r="F339" t="s">
        <v>33</v>
      </c>
      <c r="G339">
        <v>0</v>
      </c>
      <c r="H339">
        <f>((0/1000) * G339)</f>
        <v>0</v>
      </c>
      <c r="I339">
        <v>0</v>
      </c>
      <c r="J339">
        <v>0</v>
      </c>
      <c r="K339" s="1331">
        <v>157814.66</v>
      </c>
      <c r="L339" s="1332">
        <f>(K339 * G339)</f>
        <v>0</v>
      </c>
      <c r="M339" s="1333">
        <v>173596.13</v>
      </c>
      <c r="N339" s="1334">
        <f>(G339 * M339)</f>
        <v>0</v>
      </c>
      <c r="O339">
        <v>0</v>
      </c>
      <c r="P339">
        <v>0</v>
      </c>
      <c r="Q339">
        <f>IF(O339&gt;G339,(O339-G339),0)</f>
        <v>0</v>
      </c>
      <c r="R339">
        <v>1</v>
      </c>
      <c r="S339">
        <f>IF(Q339&gt;0,Int(P339/Q339),0)</f>
        <v>0</v>
      </c>
      <c r="T339">
        <f>143467.87</f>
        <v>143467.87</v>
      </c>
      <c r="U339" t="s">
        <v>1260</v>
      </c>
      <c r="V339">
        <v>157814.66</v>
      </c>
      <c r="W339" t="s">
        <v>43</v>
      </c>
      <c r="X339"/>
    </row>
    <row r="340" spans="1:27">
      <c r="A340" t="s">
        <v>35</v>
      </c>
      <c r="B340" t="s">
        <v>29</v>
      </c>
      <c r="C340" t="s">
        <v>1261</v>
      </c>
      <c r="D340" t="s">
        <v>1262</v>
      </c>
      <c r="E340" t="s">
        <v>1263</v>
      </c>
      <c r="F340" t="s">
        <v>41</v>
      </c>
      <c r="G340">
        <v>0</v>
      </c>
      <c r="H340">
        <f>((0/1000) * G340)</f>
        <v>0</v>
      </c>
      <c r="I340">
        <v>0</v>
      </c>
      <c r="J340">
        <v>0</v>
      </c>
      <c r="K340" s="1335">
        <v>57609</v>
      </c>
      <c r="L340" s="1336">
        <f>(K340 * G340)</f>
        <v>0</v>
      </c>
      <c r="M340" s="1337">
        <v>99173.55</v>
      </c>
      <c r="N340" s="1338">
        <f>(G340 * M340)</f>
        <v>0</v>
      </c>
      <c r="O340">
        <v>0</v>
      </c>
      <c r="P340">
        <v>0</v>
      </c>
      <c r="Q340">
        <f>IF(O340&gt;G340,(O340-G340),0)</f>
        <v>0</v>
      </c>
      <c r="R340">
        <v>0</v>
      </c>
      <c r="S340">
        <f>IF(Q340&gt;0,Int(P340/Q340),0)</f>
        <v>0</v>
      </c>
      <c r="T340">
        <f>69931.82</f>
        <v>69931.82</v>
      </c>
      <c r="U340" t="s">
        <v>1141</v>
      </c>
      <c r="V340">
        <v>57609</v>
      </c>
      <c r="W340" t="s">
        <v>54</v>
      </c>
      <c r="X340" t="s">
        <v>490</v>
      </c>
    </row>
    <row r="341" spans="1:27">
      <c r="A341" t="s">
        <v>35</v>
      </c>
      <c r="B341" t="s">
        <v>29</v>
      </c>
      <c r="C341" t="s">
        <v>1264</v>
      </c>
      <c r="D341" t="s">
        <v>1265</v>
      </c>
      <c r="E341" t="s">
        <v>1266</v>
      </c>
      <c r="F341" t="s">
        <v>41</v>
      </c>
      <c r="G341">
        <v>0</v>
      </c>
      <c r="H341">
        <f>((0/1000) * G341)</f>
        <v>0</v>
      </c>
      <c r="I341">
        <v>0</v>
      </c>
      <c r="J341">
        <v>0</v>
      </c>
      <c r="K341" s="1339">
        <v>86121</v>
      </c>
      <c r="L341" s="1340">
        <f>(K341 * G341)</f>
        <v>0</v>
      </c>
      <c r="M341" s="1341">
        <v>142099.65</v>
      </c>
      <c r="N341" s="1342">
        <f>(G341 * M341)</f>
        <v>0</v>
      </c>
      <c r="O341">
        <v>0</v>
      </c>
      <c r="P341">
        <v>0</v>
      </c>
      <c r="Q341">
        <f>IF(O341&gt;G341,(O341-G341),0)</f>
        <v>0</v>
      </c>
      <c r="R341">
        <v>0</v>
      </c>
      <c r="S341">
        <f>IF(Q341&gt;0,Int(P341/Q341),0)</f>
        <v>0</v>
      </c>
      <c r="T341">
        <f>86121</f>
        <v>86121</v>
      </c>
      <c r="U341" t="s">
        <v>691</v>
      </c>
      <c r="V341">
        <v>86121</v>
      </c>
      <c r="W341" t="s">
        <v>144</v>
      </c>
      <c r="X341" t="s">
        <v>166</v>
      </c>
    </row>
    <row r="342" spans="1:27">
      <c r="A342" t="s">
        <v>35</v>
      </c>
      <c r="B342" t="s">
        <v>29</v>
      </c>
      <c r="C342" t="s">
        <v>1267</v>
      </c>
      <c r="D342" t="s">
        <v>1268</v>
      </c>
      <c r="E342" t="s">
        <v>1269</v>
      </c>
      <c r="F342" t="s">
        <v>41</v>
      </c>
      <c r="G342">
        <v>0</v>
      </c>
      <c r="H342">
        <f>((0/1000) * G342)</f>
        <v>0</v>
      </c>
      <c r="I342">
        <v>0</v>
      </c>
      <c r="J342">
        <v>0</v>
      </c>
      <c r="K342" s="1343">
        <v>152479.34</v>
      </c>
      <c r="L342" s="1344">
        <f>(K342 * G342)</f>
        <v>0</v>
      </c>
      <c r="M342" s="1345">
        <v>167727.27</v>
      </c>
      <c r="N342" s="1346">
        <f>(G342 * M342)</f>
        <v>0</v>
      </c>
      <c r="O342">
        <v>0</v>
      </c>
      <c r="P342">
        <v>0</v>
      </c>
      <c r="Q342">
        <f>IF(O342&gt;G342,(O342-G342),0)</f>
        <v>0</v>
      </c>
      <c r="R342">
        <v>1</v>
      </c>
      <c r="S342">
        <f>IF(Q342&gt;0,Int(P342/Q342),0)</f>
        <v>0</v>
      </c>
      <c r="T342">
        <f>0</f>
        <v>0</v>
      </c>
      <c r="U342"/>
      <c r="V342">
        <v>152479.34</v>
      </c>
      <c r="W342" t="s">
        <v>43</v>
      </c>
      <c r="X342"/>
    </row>
    <row r="343" spans="1:27">
      <c r="A343" t="s">
        <v>35</v>
      </c>
      <c r="B343" t="s">
        <v>29</v>
      </c>
      <c r="C343" t="s">
        <v>1270</v>
      </c>
      <c r="D343" t="s">
        <v>1271</v>
      </c>
      <c r="E343" t="s">
        <v>1272</v>
      </c>
      <c r="F343" t="s">
        <v>41</v>
      </c>
      <c r="G343">
        <v>21</v>
      </c>
      <c r="H343">
        <f>((0/1000) * G343)</f>
        <v>0</v>
      </c>
      <c r="I343">
        <v>0</v>
      </c>
      <c r="J343">
        <v>21</v>
      </c>
      <c r="K343" s="1347">
        <v>66876</v>
      </c>
      <c r="L343" s="1348">
        <f>(K343 * G343)</f>
        <v>1404396</v>
      </c>
      <c r="M343" s="1349">
        <v>120376.8</v>
      </c>
      <c r="N343" s="1350">
        <f>(G343 * M343)</f>
        <v>2527912.8</v>
      </c>
      <c r="O343">
        <v>0</v>
      </c>
      <c r="P343">
        <v>0</v>
      </c>
      <c r="Q343">
        <f>IF(O343&gt;G343,(O343-G343),0)</f>
        <v>0</v>
      </c>
      <c r="R343">
        <v>1</v>
      </c>
      <c r="S343">
        <f>IF(Q343&gt;0,Int(P343/Q343),0)</f>
        <v>0</v>
      </c>
      <c r="T343">
        <f>66876</f>
        <v>66876</v>
      </c>
      <c r="U343" t="s">
        <v>766</v>
      </c>
      <c r="V343">
        <v>66876</v>
      </c>
      <c r="W343" t="s">
        <v>197</v>
      </c>
      <c r="X343" t="s">
        <v>198</v>
      </c>
    </row>
    <row r="344" spans="1:27">
      <c r="A344" t="s">
        <v>35</v>
      </c>
      <c r="B344" t="s">
        <v>29</v>
      </c>
      <c r="C344" t="s">
        <v>1273</v>
      </c>
      <c r="D344" t="s">
        <v>1274</v>
      </c>
      <c r="E344" t="s">
        <v>1275</v>
      </c>
      <c r="F344" t="s">
        <v>33</v>
      </c>
      <c r="G344">
        <v>0</v>
      </c>
      <c r="H344">
        <f>((0/1000) * G344)</f>
        <v>0</v>
      </c>
      <c r="I344">
        <v>0</v>
      </c>
      <c r="J344">
        <v>0</v>
      </c>
      <c r="K344" s="1351">
        <v>73388.42</v>
      </c>
      <c r="L344" s="1352">
        <f>(K344 * G344)</f>
        <v>0</v>
      </c>
      <c r="M344" s="1353">
        <v>102743.79</v>
      </c>
      <c r="N344" s="1354">
        <f>(G344 * M344)</f>
        <v>0</v>
      </c>
      <c r="O344">
        <v>0</v>
      </c>
      <c r="P344">
        <v>0</v>
      </c>
      <c r="Q344">
        <f>IF(O344&gt;G344,(O344-G344),0)</f>
        <v>0</v>
      </c>
      <c r="R344">
        <v>1</v>
      </c>
      <c r="S344">
        <f>IF(Q344&gt;0,Int(P344/Q344),0)</f>
        <v>0</v>
      </c>
      <c r="T344">
        <f>48835.46</f>
        <v>48835.46</v>
      </c>
      <c r="U344" t="s">
        <v>1276</v>
      </c>
      <c r="V344">
        <v>73388.42</v>
      </c>
      <c r="W344" t="s">
        <v>75</v>
      </c>
      <c r="X344"/>
    </row>
    <row r="345" spans="1:27">
      <c r="A345" t="s">
        <v>35</v>
      </c>
      <c r="B345" t="s">
        <v>29</v>
      </c>
      <c r="C345" t="s">
        <v>1277</v>
      </c>
      <c r="D345" t="s">
        <v>1277</v>
      </c>
      <c r="E345" t="s">
        <v>1278</v>
      </c>
      <c r="F345" t="s">
        <v>33</v>
      </c>
      <c r="G345">
        <v>0</v>
      </c>
      <c r="H345">
        <f>((1/1000) * G345)</f>
        <v>0</v>
      </c>
      <c r="I345">
        <v>0</v>
      </c>
      <c r="J345">
        <v>0</v>
      </c>
      <c r="K345" s="1355">
        <v>0</v>
      </c>
      <c r="L345" s="1356">
        <f>(K345 * G345)</f>
        <v>0</v>
      </c>
      <c r="M345" s="1357">
        <v>0</v>
      </c>
      <c r="N345" s="1358">
        <f>(G345 * M345)</f>
        <v>0</v>
      </c>
      <c r="O345">
        <v>0</v>
      </c>
      <c r="P345">
        <v>0</v>
      </c>
      <c r="Q345">
        <f>IF(O345&gt;G345,(O345-G345),0)</f>
        <v>0</v>
      </c>
      <c r="R345">
        <v>0</v>
      </c>
      <c r="S345">
        <f>IF(Q345&gt;0,Int(P345/Q345),0)</f>
        <v>0</v>
      </c>
      <c r="T345">
        <f>0</f>
        <v>0</v>
      </c>
      <c r="U345"/>
      <c r="V345">
        <v>0</v>
      </c>
      <c r="W345">
        <v>0</v>
      </c>
      <c r="X345"/>
    </row>
    <row r="346" spans="1:27">
      <c r="A346" t="s">
        <v>35</v>
      </c>
      <c r="B346" t="s">
        <v>29</v>
      </c>
      <c r="C346" t="s">
        <v>1279</v>
      </c>
      <c r="D346" t="s">
        <v>1279</v>
      </c>
      <c r="E346" t="s">
        <v>1280</v>
      </c>
      <c r="F346" t="s">
        <v>33</v>
      </c>
      <c r="G346">
        <v>0</v>
      </c>
      <c r="H346">
        <f>((1/1000) * G346)</f>
        <v>0</v>
      </c>
      <c r="I346">
        <v>0</v>
      </c>
      <c r="J346">
        <v>0</v>
      </c>
      <c r="K346" s="1359">
        <v>0</v>
      </c>
      <c r="L346" s="1360">
        <f>(K346 * G346)</f>
        <v>0</v>
      </c>
      <c r="M346" s="1361">
        <v>0</v>
      </c>
      <c r="N346" s="1362">
        <f>(G346 * M346)</f>
        <v>0</v>
      </c>
      <c r="O346">
        <v>0</v>
      </c>
      <c r="P346">
        <v>0</v>
      </c>
      <c r="Q346">
        <f>IF(O346&gt;G346,(O346-G346),0)</f>
        <v>0</v>
      </c>
      <c r="R346">
        <v>0</v>
      </c>
      <c r="S346">
        <f>IF(Q346&gt;0,Int(P346/Q346),0)</f>
        <v>0</v>
      </c>
      <c r="T346">
        <f>0</f>
        <v>0</v>
      </c>
      <c r="U346"/>
      <c r="V346">
        <v>0</v>
      </c>
      <c r="W346">
        <v>0</v>
      </c>
      <c r="X346"/>
    </row>
    <row r="347" spans="1:27">
      <c r="A347" t="s">
        <v>35</v>
      </c>
      <c r="B347" t="s">
        <v>29</v>
      </c>
      <c r="C347" t="s">
        <v>1281</v>
      </c>
      <c r="D347" t="s">
        <v>1282</v>
      </c>
      <c r="E347" t="s">
        <v>1283</v>
      </c>
      <c r="F347" t="s">
        <v>33</v>
      </c>
      <c r="G347">
        <v>0</v>
      </c>
      <c r="H347">
        <f>((1/1000) * G347)</f>
        <v>0</v>
      </c>
      <c r="I347">
        <v>0</v>
      </c>
      <c r="J347">
        <v>0</v>
      </c>
      <c r="K347" s="1363">
        <v>69835.07</v>
      </c>
      <c r="L347" s="1364">
        <f>(K347 * G347)</f>
        <v>0</v>
      </c>
      <c r="M347" s="1365">
        <v>97769.1</v>
      </c>
      <c r="N347" s="1366">
        <f>(G347 * M347)</f>
        <v>0</v>
      </c>
      <c r="O347">
        <v>0</v>
      </c>
      <c r="P347">
        <v>0</v>
      </c>
      <c r="Q347">
        <f>IF(O347&gt;G347,(O347-G347),0)</f>
        <v>0</v>
      </c>
      <c r="R347">
        <v>1</v>
      </c>
      <c r="S347">
        <f>IF(Q347&gt;0,Int(P347/Q347),0)</f>
        <v>0</v>
      </c>
      <c r="T347">
        <f>66628.57</f>
        <v>66628.57</v>
      </c>
      <c r="U347" t="s">
        <v>1284</v>
      </c>
      <c r="V347">
        <v>69835.07</v>
      </c>
      <c r="W347" t="s">
        <v>301</v>
      </c>
      <c r="X347" t="s">
        <v>490</v>
      </c>
    </row>
    <row r="348" spans="1:27">
      <c r="A348" t="s">
        <v>35</v>
      </c>
      <c r="B348" t="s">
        <v>29</v>
      </c>
      <c r="C348" t="s">
        <v>1285</v>
      </c>
      <c r="D348" t="s">
        <v>1285</v>
      </c>
      <c r="E348" t="s">
        <v>1286</v>
      </c>
      <c r="F348" t="s">
        <v>33</v>
      </c>
      <c r="G348">
        <v>0</v>
      </c>
      <c r="H348">
        <f>((1/1000) * G348)</f>
        <v>0</v>
      </c>
      <c r="I348">
        <v>0</v>
      </c>
      <c r="J348">
        <v>0</v>
      </c>
      <c r="K348" s="1367">
        <v>0</v>
      </c>
      <c r="L348" s="1368">
        <f>(K348 * G348)</f>
        <v>0</v>
      </c>
      <c r="M348" s="1369">
        <v>0</v>
      </c>
      <c r="N348" s="1370">
        <f>(G348 * M348)</f>
        <v>0</v>
      </c>
      <c r="O348">
        <v>0</v>
      </c>
      <c r="P348">
        <v>0</v>
      </c>
      <c r="Q348">
        <f>IF(O348&gt;G348,(O348-G348),0)</f>
        <v>0</v>
      </c>
      <c r="R348">
        <v>0</v>
      </c>
      <c r="S348">
        <f>IF(Q348&gt;0,Int(P348/Q348),0)</f>
        <v>0</v>
      </c>
      <c r="T348">
        <f>0</f>
        <v>0</v>
      </c>
      <c r="U348" t="s">
        <v>1287</v>
      </c>
      <c r="V348">
        <v>0</v>
      </c>
      <c r="W348">
        <v>0</v>
      </c>
      <c r="X348"/>
    </row>
    <row r="349" spans="1:27">
      <c r="A349" t="s">
        <v>35</v>
      </c>
      <c r="B349" t="s">
        <v>29</v>
      </c>
      <c r="C349" t="s">
        <v>1288</v>
      </c>
      <c r="D349" t="s">
        <v>1288</v>
      </c>
      <c r="E349" t="s">
        <v>1289</v>
      </c>
      <c r="F349" t="s">
        <v>33</v>
      </c>
      <c r="G349">
        <v>0</v>
      </c>
      <c r="H349">
        <f>((1/1000) * G349)</f>
        <v>0</v>
      </c>
      <c r="I349">
        <v>0</v>
      </c>
      <c r="J349">
        <v>0</v>
      </c>
      <c r="K349" s="1371">
        <v>0</v>
      </c>
      <c r="L349" s="1372">
        <f>(K349 * G349)</f>
        <v>0</v>
      </c>
      <c r="M349" s="1373">
        <v>0</v>
      </c>
      <c r="N349" s="1374">
        <f>(G349 * M349)</f>
        <v>0</v>
      </c>
      <c r="O349">
        <v>0</v>
      </c>
      <c r="P349">
        <v>0</v>
      </c>
      <c r="Q349">
        <f>IF(O349&gt;G349,(O349-G349),0)</f>
        <v>0</v>
      </c>
      <c r="R349">
        <v>0</v>
      </c>
      <c r="S349">
        <f>IF(Q349&gt;0,Int(P349/Q349),0)</f>
        <v>0</v>
      </c>
      <c r="T349">
        <f>0</f>
        <v>0</v>
      </c>
      <c r="U349"/>
      <c r="V349">
        <v>0</v>
      </c>
      <c r="W349">
        <v>0</v>
      </c>
      <c r="X349"/>
    </row>
    <row r="350" spans="1:27">
      <c r="A350" t="s">
        <v>35</v>
      </c>
      <c r="B350" t="s">
        <v>29</v>
      </c>
      <c r="C350" t="s">
        <v>1290</v>
      </c>
      <c r="D350" t="s">
        <v>1290</v>
      </c>
      <c r="E350" t="s">
        <v>1291</v>
      </c>
      <c r="F350" t="s">
        <v>33</v>
      </c>
      <c r="G350">
        <v>0</v>
      </c>
      <c r="H350">
        <f>((1/1000) * G350)</f>
        <v>0</v>
      </c>
      <c r="I350">
        <v>0</v>
      </c>
      <c r="J350">
        <v>0</v>
      </c>
      <c r="K350" s="1375">
        <v>0</v>
      </c>
      <c r="L350" s="1376">
        <f>(K350 * G350)</f>
        <v>0</v>
      </c>
      <c r="M350" s="1377">
        <v>0</v>
      </c>
      <c r="N350" s="1378">
        <f>(G350 * M350)</f>
        <v>0</v>
      </c>
      <c r="O350">
        <v>0</v>
      </c>
      <c r="P350">
        <v>0</v>
      </c>
      <c r="Q350">
        <f>IF(O350&gt;G350,(O350-G350),0)</f>
        <v>0</v>
      </c>
      <c r="R350">
        <v>0</v>
      </c>
      <c r="S350">
        <f>IF(Q350&gt;0,Int(P350/Q350),0)</f>
        <v>0</v>
      </c>
      <c r="T350">
        <f>0</f>
        <v>0</v>
      </c>
      <c r="U350"/>
      <c r="V350">
        <v>0</v>
      </c>
      <c r="W350">
        <v>0</v>
      </c>
      <c r="X350"/>
    </row>
    <row r="351" spans="1:27">
      <c r="A351" t="s">
        <v>35</v>
      </c>
      <c r="B351" t="s">
        <v>29</v>
      </c>
      <c r="C351" t="s">
        <v>1292</v>
      </c>
      <c r="D351" t="s">
        <v>1292</v>
      </c>
      <c r="E351" t="s">
        <v>1293</v>
      </c>
      <c r="F351" t="s">
        <v>33</v>
      </c>
      <c r="G351">
        <v>0</v>
      </c>
      <c r="H351">
        <f>((1/1000) * G351)</f>
        <v>0</v>
      </c>
      <c r="I351">
        <v>0</v>
      </c>
      <c r="J351">
        <v>0</v>
      </c>
      <c r="K351" s="1379">
        <v>0</v>
      </c>
      <c r="L351" s="1380">
        <f>(K351 * G351)</f>
        <v>0</v>
      </c>
      <c r="M351" s="1381">
        <v>0</v>
      </c>
      <c r="N351" s="1382">
        <f>(G351 * M351)</f>
        <v>0</v>
      </c>
      <c r="O351">
        <v>0</v>
      </c>
      <c r="P351">
        <v>0</v>
      </c>
      <c r="Q351">
        <f>IF(O351&gt;G351,(O351-G351),0)</f>
        <v>0</v>
      </c>
      <c r="R351">
        <v>0</v>
      </c>
      <c r="S351">
        <f>IF(Q351&gt;0,Int(P351/Q351),0)</f>
        <v>0</v>
      </c>
      <c r="T351">
        <f>0</f>
        <v>0</v>
      </c>
      <c r="U351"/>
      <c r="V351">
        <v>0</v>
      </c>
      <c r="W351">
        <v>0</v>
      </c>
      <c r="X351"/>
    </row>
    <row r="352" spans="1:27">
      <c r="A352" t="s">
        <v>35</v>
      </c>
      <c r="B352" t="s">
        <v>29</v>
      </c>
      <c r="C352" t="s">
        <v>1294</v>
      </c>
      <c r="D352" t="s">
        <v>1295</v>
      </c>
      <c r="E352" t="s">
        <v>1296</v>
      </c>
      <c r="F352" t="s">
        <v>41</v>
      </c>
      <c r="G352">
        <v>0</v>
      </c>
      <c r="H352">
        <f>((1/1000) * G352)</f>
        <v>0</v>
      </c>
      <c r="I352">
        <v>0</v>
      </c>
      <c r="J352">
        <v>0</v>
      </c>
      <c r="K352" s="1383">
        <v>142037.2</v>
      </c>
      <c r="L352" s="1384">
        <f>(K352 * G352)</f>
        <v>0</v>
      </c>
      <c r="M352" s="1385">
        <v>156240.92</v>
      </c>
      <c r="N352" s="1386">
        <f>(G352 * M352)</f>
        <v>0</v>
      </c>
      <c r="O352">
        <v>0</v>
      </c>
      <c r="P352">
        <v>0</v>
      </c>
      <c r="Q352">
        <f>IF(O352&gt;G352,(O352-G352),0)</f>
        <v>0</v>
      </c>
      <c r="R352">
        <v>1</v>
      </c>
      <c r="S352">
        <f>IF(Q352&gt;0,Int(P352/Q352),0)</f>
        <v>0</v>
      </c>
      <c r="T352">
        <f>0</f>
        <v>0</v>
      </c>
      <c r="U352"/>
      <c r="V352">
        <v>142037.2</v>
      </c>
      <c r="W352" t="s">
        <v>43</v>
      </c>
      <c r="X352"/>
    </row>
    <row r="353" spans="1:27">
      <c r="A353" t="s">
        <v>35</v>
      </c>
      <c r="B353" t="s">
        <v>29</v>
      </c>
      <c r="C353" t="s">
        <v>1297</v>
      </c>
      <c r="D353" t="s">
        <v>1298</v>
      </c>
      <c r="E353" t="s">
        <v>1299</v>
      </c>
      <c r="F353" t="s">
        <v>33</v>
      </c>
      <c r="G353">
        <v>0</v>
      </c>
      <c r="H353">
        <f>((0/1000) * G353)</f>
        <v>0</v>
      </c>
      <c r="I353">
        <v>0</v>
      </c>
      <c r="J353">
        <v>0</v>
      </c>
      <c r="K353" s="1387">
        <v>67272.72</v>
      </c>
      <c r="L353" s="1388">
        <f>(K353 * G353)</f>
        <v>0</v>
      </c>
      <c r="M353" s="1389">
        <v>94181.81</v>
      </c>
      <c r="N353" s="1390">
        <f>(G353 * M353)</f>
        <v>0</v>
      </c>
      <c r="O353">
        <v>0</v>
      </c>
      <c r="P353">
        <v>0</v>
      </c>
      <c r="Q353">
        <f>IF(O353&gt;G353,(O353-G353),0)</f>
        <v>0</v>
      </c>
      <c r="R353">
        <v>1</v>
      </c>
      <c r="S353">
        <f>IF(Q353&gt;0,Int(P353/Q353),0)</f>
        <v>0</v>
      </c>
      <c r="T353">
        <f>0</f>
        <v>0</v>
      </c>
      <c r="U353"/>
      <c r="V353">
        <v>67272.72</v>
      </c>
      <c r="W353" t="s">
        <v>75</v>
      </c>
      <c r="X353"/>
    </row>
    <row r="354" spans="1:27">
      <c r="A354" t="s">
        <v>35</v>
      </c>
      <c r="B354" t="s">
        <v>29</v>
      </c>
      <c r="C354" t="s">
        <v>1300</v>
      </c>
      <c r="D354" t="s">
        <v>1300</v>
      </c>
      <c r="E354" t="s">
        <v>1301</v>
      </c>
      <c r="F354" t="s">
        <v>33</v>
      </c>
      <c r="G354">
        <v>0</v>
      </c>
      <c r="H354">
        <f>((0/1000) * G354)</f>
        <v>0</v>
      </c>
      <c r="I354">
        <v>0</v>
      </c>
      <c r="J354">
        <v>0</v>
      </c>
      <c r="K354" s="1391">
        <v>9900</v>
      </c>
      <c r="L354" s="1392">
        <f>(K354 * G354)</f>
        <v>0</v>
      </c>
      <c r="M354" s="1393">
        <v>10890</v>
      </c>
      <c r="N354" s="1394">
        <f>(G354 * M354)</f>
        <v>0</v>
      </c>
      <c r="O354">
        <v>0</v>
      </c>
      <c r="P354">
        <v>0</v>
      </c>
      <c r="Q354">
        <f>IF(O354&gt;G354,(O354-G354),0)</f>
        <v>0</v>
      </c>
      <c r="R354">
        <v>1</v>
      </c>
      <c r="S354">
        <f>IF(Q354&gt;0,Int(P354/Q354),0)</f>
        <v>0</v>
      </c>
      <c r="T354">
        <f>0</f>
        <v>0</v>
      </c>
      <c r="U354"/>
      <c r="V354">
        <v>9900</v>
      </c>
      <c r="W354" t="s">
        <v>43</v>
      </c>
      <c r="X354"/>
    </row>
    <row r="355" spans="1:27">
      <c r="A355" t="s">
        <v>35</v>
      </c>
      <c r="B355" t="s">
        <v>29</v>
      </c>
      <c r="C355" t="s">
        <v>1302</v>
      </c>
      <c r="D355" t="s">
        <v>1303</v>
      </c>
      <c r="E355" t="s">
        <v>1304</v>
      </c>
      <c r="F355" t="s">
        <v>33</v>
      </c>
      <c r="G355">
        <v>0</v>
      </c>
      <c r="H355">
        <f>((0/1000) * G355)</f>
        <v>0</v>
      </c>
      <c r="I355">
        <v>0</v>
      </c>
      <c r="J355">
        <v>0</v>
      </c>
      <c r="K355" s="1395">
        <v>59550.07</v>
      </c>
      <c r="L355" s="1396">
        <f>(K355 * G355)</f>
        <v>0</v>
      </c>
      <c r="M355" s="1397">
        <v>83370.1</v>
      </c>
      <c r="N355" s="1398">
        <f>(G355 * M355)</f>
        <v>0</v>
      </c>
      <c r="O355">
        <v>0</v>
      </c>
      <c r="P355">
        <v>0</v>
      </c>
      <c r="Q355">
        <f>IF(O355&gt;G355,(O355-G355),0)</f>
        <v>0</v>
      </c>
      <c r="R355">
        <v>1</v>
      </c>
      <c r="S355">
        <f>IF(Q355&gt;0,Int(P355/Q355),0)</f>
        <v>0</v>
      </c>
      <c r="T355">
        <f>57838.01</f>
        <v>57838.01</v>
      </c>
      <c r="U355" t="s">
        <v>1305</v>
      </c>
      <c r="V355">
        <v>59550.07</v>
      </c>
      <c r="W355" t="s">
        <v>75</v>
      </c>
      <c r="X355"/>
    </row>
    <row r="356" spans="1:27">
      <c r="A356" t="s">
        <v>35</v>
      </c>
      <c r="B356" t="s">
        <v>29</v>
      </c>
      <c r="C356" t="s">
        <v>1306</v>
      </c>
      <c r="D356" t="s">
        <v>1307</v>
      </c>
      <c r="E356" t="s">
        <v>1308</v>
      </c>
      <c r="F356" t="s">
        <v>41</v>
      </c>
      <c r="G356">
        <v>0</v>
      </c>
      <c r="H356">
        <f>((0/1000) * G356)</f>
        <v>0</v>
      </c>
      <c r="I356">
        <v>0</v>
      </c>
      <c r="J356">
        <v>0</v>
      </c>
      <c r="K356" s="1399">
        <v>12297.78</v>
      </c>
      <c r="L356" s="1400">
        <f>(K356 * G356)</f>
        <v>0</v>
      </c>
      <c r="M356" s="1401">
        <v>13527.56</v>
      </c>
      <c r="N356" s="1402">
        <f>(G356 * M356)</f>
        <v>0</v>
      </c>
      <c r="O356">
        <v>0</v>
      </c>
      <c r="P356">
        <v>0</v>
      </c>
      <c r="Q356">
        <f>IF(O356&gt;G356,(O356-G356),0)</f>
        <v>0</v>
      </c>
      <c r="R356">
        <v>1</v>
      </c>
      <c r="S356">
        <f>IF(Q356&gt;0,Int(P356/Q356),0)</f>
        <v>0</v>
      </c>
      <c r="T356">
        <f>0</f>
        <v>0</v>
      </c>
      <c r="U356"/>
      <c r="V356">
        <v>12297.78</v>
      </c>
      <c r="W356" t="s">
        <v>43</v>
      </c>
      <c r="X356"/>
    </row>
    <row r="357" spans="1:27">
      <c r="A357" t="s">
        <v>35</v>
      </c>
      <c r="B357" t="s">
        <v>29</v>
      </c>
      <c r="C357" t="s">
        <v>1309</v>
      </c>
      <c r="D357" t="s">
        <v>1310</v>
      </c>
      <c r="E357" t="s">
        <v>1311</v>
      </c>
      <c r="F357" t="s">
        <v>41</v>
      </c>
      <c r="G357">
        <v>0</v>
      </c>
      <c r="H357">
        <f>((0/1000) * G357)</f>
        <v>0</v>
      </c>
      <c r="I357">
        <v>0</v>
      </c>
      <c r="J357">
        <v>0</v>
      </c>
      <c r="K357" s="1403">
        <v>66377</v>
      </c>
      <c r="L357" s="1404">
        <f>(K357 * G357)</f>
        <v>0</v>
      </c>
      <c r="M357" s="1405">
        <v>119478.6</v>
      </c>
      <c r="N357" s="1406">
        <f>(G357 * M357)</f>
        <v>0</v>
      </c>
      <c r="O357">
        <v>0</v>
      </c>
      <c r="P357">
        <v>0</v>
      </c>
      <c r="Q357">
        <f>IF(O357&gt;G357,(O357-G357),0)</f>
        <v>0</v>
      </c>
      <c r="R357">
        <v>1</v>
      </c>
      <c r="S357">
        <f>IF(Q357&gt;0,Int(P357/Q357),0)</f>
        <v>0</v>
      </c>
      <c r="T357">
        <f>66377</f>
        <v>66377</v>
      </c>
      <c r="U357" t="s">
        <v>1312</v>
      </c>
      <c r="V357">
        <v>66377</v>
      </c>
      <c r="W357" t="s">
        <v>1313</v>
      </c>
      <c r="X357" t="s">
        <v>81</v>
      </c>
    </row>
    <row r="358" spans="1:27">
      <c r="A358" t="s">
        <v>35</v>
      </c>
      <c r="B358" t="s">
        <v>29</v>
      </c>
      <c r="C358" t="s">
        <v>1314</v>
      </c>
      <c r="D358" t="s">
        <v>1315</v>
      </c>
      <c r="E358" t="s">
        <v>1316</v>
      </c>
      <c r="F358" t="s">
        <v>33</v>
      </c>
      <c r="G358">
        <v>0</v>
      </c>
      <c r="H358">
        <f>((0/1000) * G358)</f>
        <v>0</v>
      </c>
      <c r="I358">
        <v>0</v>
      </c>
      <c r="J358">
        <v>0</v>
      </c>
      <c r="K358" s="1407">
        <v>56198.35</v>
      </c>
      <c r="L358" s="1408">
        <f>(K358 * G358)</f>
        <v>0</v>
      </c>
      <c r="M358" s="1409">
        <v>78677.68</v>
      </c>
      <c r="N358" s="1410">
        <f>(G358 * M358)</f>
        <v>0</v>
      </c>
      <c r="O358">
        <v>0</v>
      </c>
      <c r="P358">
        <v>0</v>
      </c>
      <c r="Q358">
        <f>IF(O358&gt;G358,(O358-G358),0)</f>
        <v>0</v>
      </c>
      <c r="R358">
        <v>1</v>
      </c>
      <c r="S358">
        <f>IF(Q358&gt;0,Int(P358/Q358),0)</f>
        <v>0</v>
      </c>
      <c r="T358">
        <f>33057.85</f>
        <v>33057.85</v>
      </c>
      <c r="U358" t="s">
        <v>1317</v>
      </c>
      <c r="V358">
        <v>56198.35</v>
      </c>
      <c r="W358" t="s">
        <v>75</v>
      </c>
      <c r="X358"/>
    </row>
    <row r="359" spans="1:27">
      <c r="A359" t="s">
        <v>35</v>
      </c>
      <c r="B359" t="s">
        <v>29</v>
      </c>
      <c r="C359" t="s">
        <v>1318</v>
      </c>
      <c r="D359" t="s">
        <v>1319</v>
      </c>
      <c r="E359" t="s">
        <v>1320</v>
      </c>
      <c r="F359" t="s">
        <v>41</v>
      </c>
      <c r="G359">
        <v>2</v>
      </c>
      <c r="H359">
        <f>((0/1000) * G359)</f>
        <v>0</v>
      </c>
      <c r="I359">
        <v>2</v>
      </c>
      <c r="J359">
        <v>0</v>
      </c>
      <c r="K359" s="1411">
        <v>123222.87</v>
      </c>
      <c r="L359" s="1412">
        <f>(K359 * G359)</f>
        <v>246445.74</v>
      </c>
      <c r="M359" s="1413">
        <v>172512.02</v>
      </c>
      <c r="N359" s="1414">
        <f>(G359 * M359)</f>
        <v>345024.04</v>
      </c>
      <c r="O359">
        <v>0</v>
      </c>
      <c r="P359">
        <v>0</v>
      </c>
      <c r="Q359">
        <f>IF(O359&gt;G359,(O359-G359),0)</f>
        <v>0</v>
      </c>
      <c r="R359">
        <v>1</v>
      </c>
      <c r="S359">
        <f>IF(Q359&gt;0,Int(P359/Q359),0)</f>
        <v>0</v>
      </c>
      <c r="T359">
        <f>147066.04</f>
        <v>147066.04</v>
      </c>
      <c r="U359" t="s">
        <v>1321</v>
      </c>
      <c r="V359">
        <v>123222.87</v>
      </c>
      <c r="W359" t="s">
        <v>182</v>
      </c>
      <c r="X359"/>
    </row>
    <row r="360" spans="1:27">
      <c r="A360" t="s">
        <v>35</v>
      </c>
      <c r="B360" t="s">
        <v>29</v>
      </c>
      <c r="C360" t="s">
        <v>1322</v>
      </c>
      <c r="D360" t="s">
        <v>1323</v>
      </c>
      <c r="E360" t="s">
        <v>1324</v>
      </c>
      <c r="F360" t="s">
        <v>33</v>
      </c>
      <c r="G360">
        <v>0</v>
      </c>
      <c r="H360">
        <f>((0/1000) * G360)</f>
        <v>0</v>
      </c>
      <c r="I360">
        <v>0</v>
      </c>
      <c r="J360">
        <v>0</v>
      </c>
      <c r="K360" s="1415">
        <v>63636.35</v>
      </c>
      <c r="L360" s="1416">
        <f>(K360 * G360)</f>
        <v>0</v>
      </c>
      <c r="M360" s="1417">
        <v>89090.89</v>
      </c>
      <c r="N360" s="1418">
        <f>(G360 * M360)</f>
        <v>0</v>
      </c>
      <c r="O360">
        <v>0</v>
      </c>
      <c r="P360">
        <v>0</v>
      </c>
      <c r="Q360">
        <f>IF(O360&gt;G360,(O360-G360),0)</f>
        <v>0</v>
      </c>
      <c r="R360">
        <v>1</v>
      </c>
      <c r="S360">
        <f>IF(Q360&gt;0,Int(P360/Q360),0)</f>
        <v>0</v>
      </c>
      <c r="T360">
        <f>57851.23</f>
        <v>57851.23</v>
      </c>
      <c r="U360" t="s">
        <v>1325</v>
      </c>
      <c r="V360">
        <v>63636.35</v>
      </c>
      <c r="W360" t="s">
        <v>75</v>
      </c>
      <c r="X360"/>
    </row>
    <row r="361" spans="1:27">
      <c r="A361" t="s">
        <v>35</v>
      </c>
      <c r="B361" t="s">
        <v>29</v>
      </c>
      <c r="C361" t="s">
        <v>1326</v>
      </c>
      <c r="D361" t="s">
        <v>1327</v>
      </c>
      <c r="E361" t="s">
        <v>1328</v>
      </c>
      <c r="F361" t="s">
        <v>33</v>
      </c>
      <c r="G361">
        <v>0</v>
      </c>
      <c r="H361">
        <f>((0/1000) * G361)</f>
        <v>0</v>
      </c>
      <c r="I361">
        <v>0</v>
      </c>
      <c r="J361">
        <v>0</v>
      </c>
      <c r="K361" s="1419">
        <v>86363.64</v>
      </c>
      <c r="L361" s="1420">
        <f>(K361 * G361)</f>
        <v>0</v>
      </c>
      <c r="M361" s="1421">
        <v>120909.1</v>
      </c>
      <c r="N361" s="1422">
        <f>(G361 * M361)</f>
        <v>0</v>
      </c>
      <c r="O361">
        <v>0</v>
      </c>
      <c r="P361">
        <v>0</v>
      </c>
      <c r="Q361">
        <f>IF(O361&gt;G361,(O361-G361),0)</f>
        <v>0</v>
      </c>
      <c r="R361">
        <v>1</v>
      </c>
      <c r="S361">
        <f>IF(Q361&gt;0,Int(P361/Q361),0)</f>
        <v>0</v>
      </c>
      <c r="T361">
        <f>0</f>
        <v>0</v>
      </c>
      <c r="U361"/>
      <c r="V361">
        <v>86363.64</v>
      </c>
      <c r="W361" t="s">
        <v>75</v>
      </c>
      <c r="X361"/>
    </row>
    <row r="362" spans="1:27">
      <c r="A362" t="s">
        <v>35</v>
      </c>
      <c r="B362" t="s">
        <v>29</v>
      </c>
      <c r="C362" t="s">
        <v>1329</v>
      </c>
      <c r="D362" t="s">
        <v>1330</v>
      </c>
      <c r="E362" t="s">
        <v>1331</v>
      </c>
      <c r="F362" t="s">
        <v>33</v>
      </c>
      <c r="G362">
        <v>1</v>
      </c>
      <c r="H362">
        <f>((0/1000) * G362)</f>
        <v>0</v>
      </c>
      <c r="I362">
        <v>0</v>
      </c>
      <c r="J362">
        <v>1</v>
      </c>
      <c r="K362" s="1423">
        <v>140511.32</v>
      </c>
      <c r="L362" s="1424">
        <f>(K362 * G362)</f>
        <v>140511.32</v>
      </c>
      <c r="M362" s="1425">
        <v>196715.85</v>
      </c>
      <c r="N362" s="1426">
        <f>(G362 * M362)</f>
        <v>196715.85</v>
      </c>
      <c r="O362">
        <v>0</v>
      </c>
      <c r="P362">
        <v>0</v>
      </c>
      <c r="Q362">
        <f>IF(O362&gt;G362,(O362-G362),0)</f>
        <v>0</v>
      </c>
      <c r="R362">
        <v>1</v>
      </c>
      <c r="S362">
        <f>IF(Q362&gt;0,Int(P362/Q362),0)</f>
        <v>0</v>
      </c>
      <c r="T362">
        <f>140511.32</f>
        <v>140511.32</v>
      </c>
      <c r="U362" t="s">
        <v>1332</v>
      </c>
      <c r="V362">
        <v>140511.32</v>
      </c>
      <c r="W362" t="s">
        <v>75</v>
      </c>
      <c r="X362" t="s">
        <v>687</v>
      </c>
    </row>
    <row r="363" spans="1:27">
      <c r="A363" t="s">
        <v>35</v>
      </c>
      <c r="B363" t="s">
        <v>29</v>
      </c>
      <c r="C363" t="s">
        <v>1333</v>
      </c>
      <c r="D363" t="s">
        <v>1334</v>
      </c>
      <c r="E363" t="s">
        <v>1335</v>
      </c>
      <c r="F363" t="s">
        <v>41</v>
      </c>
      <c r="G363">
        <v>0</v>
      </c>
      <c r="H363">
        <f>((0/1000) * G363)</f>
        <v>0</v>
      </c>
      <c r="I363">
        <v>0</v>
      </c>
      <c r="J363">
        <v>0</v>
      </c>
      <c r="K363" s="1427">
        <v>140091.89</v>
      </c>
      <c r="L363" s="1428">
        <f>(K363 * G363)</f>
        <v>0</v>
      </c>
      <c r="M363" s="1429">
        <v>196128.64</v>
      </c>
      <c r="N363" s="1430">
        <f>(G363 * M363)</f>
        <v>0</v>
      </c>
      <c r="O363">
        <v>0</v>
      </c>
      <c r="P363">
        <v>0</v>
      </c>
      <c r="Q363">
        <f>IF(O363&gt;G363,(O363-G363),0)</f>
        <v>0</v>
      </c>
      <c r="R363">
        <v>1</v>
      </c>
      <c r="S363">
        <f>IF(Q363&gt;0,Int(P363/Q363),0)</f>
        <v>0</v>
      </c>
      <c r="T363">
        <f>127309.02</f>
        <v>127309.02</v>
      </c>
      <c r="U363" t="s">
        <v>1336</v>
      </c>
      <c r="V363">
        <v>140091.89</v>
      </c>
      <c r="W363" t="s">
        <v>182</v>
      </c>
      <c r="X363" t="s">
        <v>687</v>
      </c>
    </row>
    <row r="364" spans="1:27">
      <c r="A364" t="s">
        <v>35</v>
      </c>
      <c r="B364" t="s">
        <v>29</v>
      </c>
      <c r="C364" t="s">
        <v>1337</v>
      </c>
      <c r="D364" t="s">
        <v>1338</v>
      </c>
      <c r="E364" t="s">
        <v>1339</v>
      </c>
      <c r="F364" t="s">
        <v>33</v>
      </c>
      <c r="G364">
        <v>0</v>
      </c>
      <c r="H364">
        <f>((0/1000) * G364)</f>
        <v>0</v>
      </c>
      <c r="I364">
        <v>0</v>
      </c>
      <c r="J364">
        <v>0</v>
      </c>
      <c r="K364" s="1431">
        <v>49933.88</v>
      </c>
      <c r="L364" s="1432">
        <f>(K364 * G364)</f>
        <v>0</v>
      </c>
      <c r="M364" s="1433">
        <v>54927.27</v>
      </c>
      <c r="N364" s="1434">
        <f>(G364 * M364)</f>
        <v>0</v>
      </c>
      <c r="O364">
        <v>0</v>
      </c>
      <c r="P364">
        <v>0</v>
      </c>
      <c r="Q364">
        <f>IF(O364&gt;G364,(O364-G364),0)</f>
        <v>0</v>
      </c>
      <c r="R364">
        <v>1</v>
      </c>
      <c r="S364">
        <f>IF(Q364&gt;0,Int(P364/Q364),0)</f>
        <v>0</v>
      </c>
      <c r="T364">
        <f>45394.44</f>
        <v>45394.44</v>
      </c>
      <c r="U364" t="s">
        <v>1340</v>
      </c>
      <c r="V364">
        <v>49933.88</v>
      </c>
      <c r="W364" t="s">
        <v>43</v>
      </c>
      <c r="X364"/>
    </row>
    <row r="365" spans="1:27">
      <c r="A365" t="s">
        <v>35</v>
      </c>
      <c r="B365" t="s">
        <v>29</v>
      </c>
      <c r="C365" t="s">
        <v>1341</v>
      </c>
      <c r="D365" t="s">
        <v>1342</v>
      </c>
      <c r="E365" t="s">
        <v>1343</v>
      </c>
      <c r="F365" t="s">
        <v>41</v>
      </c>
      <c r="G365">
        <v>0</v>
      </c>
      <c r="H365">
        <f>((0/1000) * G365)</f>
        <v>0</v>
      </c>
      <c r="I365">
        <v>0</v>
      </c>
      <c r="J365">
        <v>0</v>
      </c>
      <c r="K365" s="1435">
        <v>143801.66</v>
      </c>
      <c r="L365" s="1436">
        <f>(K365 * G365)</f>
        <v>0</v>
      </c>
      <c r="M365" s="1437">
        <v>158181.83</v>
      </c>
      <c r="N365" s="1438">
        <f>(G365 * M365)</f>
        <v>0</v>
      </c>
      <c r="O365">
        <v>0</v>
      </c>
      <c r="P365">
        <v>0</v>
      </c>
      <c r="Q365">
        <f>IF(O365&gt;G365,(O365-G365),0)</f>
        <v>0</v>
      </c>
      <c r="R365">
        <v>1</v>
      </c>
      <c r="S365">
        <f>IF(Q365&gt;0,Int(P365/Q365),0)</f>
        <v>0</v>
      </c>
      <c r="T365">
        <f>0</f>
        <v>0</v>
      </c>
      <c r="U365"/>
      <c r="V365">
        <v>143801.66</v>
      </c>
      <c r="W365" t="s">
        <v>43</v>
      </c>
      <c r="X365"/>
    </row>
    <row r="366" spans="1:27">
      <c r="A366" t="s">
        <v>35</v>
      </c>
      <c r="B366" t="s">
        <v>29</v>
      </c>
      <c r="C366" t="s">
        <v>1344</v>
      </c>
      <c r="D366" t="s">
        <v>1345</v>
      </c>
      <c r="E366" t="s">
        <v>1346</v>
      </c>
      <c r="F366" t="s">
        <v>41</v>
      </c>
      <c r="G366">
        <v>-9</v>
      </c>
      <c r="H366">
        <f>((0/1000) * G366)</f>
        <v>-0</v>
      </c>
      <c r="I366">
        <v>0</v>
      </c>
      <c r="J366">
        <v>-9</v>
      </c>
      <c r="K366" s="1439">
        <v>51930</v>
      </c>
      <c r="L366" s="1440">
        <f>(K366 * G366)</f>
        <v>-467370</v>
      </c>
      <c r="M366" s="1441">
        <v>95041.32</v>
      </c>
      <c r="N366" s="1442">
        <f>(G366 * M366)</f>
        <v>-855371.88</v>
      </c>
      <c r="O366">
        <v>0</v>
      </c>
      <c r="P366">
        <v>0</v>
      </c>
      <c r="Q366">
        <f>IF(O366&gt;G366,(O366-G366),0)</f>
        <v>9</v>
      </c>
      <c r="R366">
        <v>1</v>
      </c>
      <c r="S366">
        <f>IF(Q366&gt;0,Int(P366/Q366),0)</f>
        <v>0</v>
      </c>
      <c r="T366">
        <f>46030</f>
        <v>46030</v>
      </c>
      <c r="U366" t="s">
        <v>1141</v>
      </c>
      <c r="V366">
        <v>51930</v>
      </c>
      <c r="W366" t="s">
        <v>54</v>
      </c>
      <c r="X366" t="s">
        <v>1347</v>
      </c>
    </row>
    <row r="367" spans="1:27">
      <c r="A367" t="s">
        <v>35</v>
      </c>
      <c r="B367" t="s">
        <v>29</v>
      </c>
      <c r="C367" t="s">
        <v>1348</v>
      </c>
      <c r="D367" t="s">
        <v>1349</v>
      </c>
      <c r="E367" t="s">
        <v>1350</v>
      </c>
      <c r="F367" t="s">
        <v>33</v>
      </c>
      <c r="G367">
        <v>0</v>
      </c>
      <c r="H367">
        <f>((0/1000) * G367)</f>
        <v>0</v>
      </c>
      <c r="I367">
        <v>0</v>
      </c>
      <c r="J367">
        <v>0</v>
      </c>
      <c r="K367" s="1443">
        <v>59383.97</v>
      </c>
      <c r="L367" s="1444">
        <f>(K367 * G367)</f>
        <v>0</v>
      </c>
      <c r="M367" s="1445">
        <v>83137.56</v>
      </c>
      <c r="N367" s="1446">
        <f>(G367 * M367)</f>
        <v>0</v>
      </c>
      <c r="O367">
        <v>0</v>
      </c>
      <c r="P367">
        <v>0</v>
      </c>
      <c r="Q367">
        <f>IF(O367&gt;G367,(O367-G367),0)</f>
        <v>0</v>
      </c>
      <c r="R367">
        <v>0</v>
      </c>
      <c r="S367">
        <f>IF(Q367&gt;0,Int(P367/Q367),0)</f>
        <v>0</v>
      </c>
      <c r="T367">
        <f>0</f>
        <v>0</v>
      </c>
      <c r="U367"/>
      <c r="V367">
        <v>59383.97</v>
      </c>
      <c r="W367" t="s">
        <v>148</v>
      </c>
      <c r="X367"/>
    </row>
    <row r="368" spans="1:27">
      <c r="A368" t="s">
        <v>35</v>
      </c>
      <c r="B368" t="s">
        <v>29</v>
      </c>
      <c r="C368" t="s">
        <v>1351</v>
      </c>
      <c r="D368" t="s">
        <v>1352</v>
      </c>
      <c r="E368" t="s">
        <v>1353</v>
      </c>
      <c r="F368" t="s">
        <v>41</v>
      </c>
      <c r="G368">
        <v>0</v>
      </c>
      <c r="H368">
        <f>((0/1000) * G368)</f>
        <v>0</v>
      </c>
      <c r="I368">
        <v>0</v>
      </c>
      <c r="J368">
        <v>0</v>
      </c>
      <c r="K368" s="1447">
        <v>101983.47</v>
      </c>
      <c r="L368" s="1448">
        <f>(K368 * G368)</f>
        <v>0</v>
      </c>
      <c r="M368" s="1449">
        <v>112181.82</v>
      </c>
      <c r="N368" s="1450">
        <f>(G368 * M368)</f>
        <v>0</v>
      </c>
      <c r="O368">
        <v>0</v>
      </c>
      <c r="P368">
        <v>0</v>
      </c>
      <c r="Q368">
        <f>IF(O368&gt;G368,(O368-G368),0)</f>
        <v>0</v>
      </c>
      <c r="R368">
        <v>1</v>
      </c>
      <c r="S368">
        <f>IF(Q368&gt;0,Int(P368/Q368),0)</f>
        <v>0</v>
      </c>
      <c r="T368">
        <f>79564.24</f>
        <v>79564.24</v>
      </c>
      <c r="U368" t="s">
        <v>1354</v>
      </c>
      <c r="V368">
        <v>101983.47</v>
      </c>
      <c r="W368" t="s">
        <v>43</v>
      </c>
      <c r="X368"/>
    </row>
    <row r="369" spans="1:27">
      <c r="A369" t="s">
        <v>35</v>
      </c>
      <c r="B369" t="s">
        <v>29</v>
      </c>
      <c r="C369" t="s">
        <v>1355</v>
      </c>
      <c r="D369" t="s">
        <v>1356</v>
      </c>
      <c r="E369" t="s">
        <v>1357</v>
      </c>
      <c r="F369" t="s">
        <v>33</v>
      </c>
      <c r="G369">
        <v>0</v>
      </c>
      <c r="H369">
        <f>((0/1000) * G369)</f>
        <v>0</v>
      </c>
      <c r="I369">
        <v>0</v>
      </c>
      <c r="J369">
        <v>0</v>
      </c>
      <c r="K369" s="1451">
        <v>0</v>
      </c>
      <c r="L369" s="1452">
        <f>(K369 * G369)</f>
        <v>0</v>
      </c>
      <c r="M369" s="1453">
        <v>0</v>
      </c>
      <c r="N369" s="1454">
        <f>(G369 * M369)</f>
        <v>0</v>
      </c>
      <c r="O369">
        <v>0</v>
      </c>
      <c r="P369">
        <v>0</v>
      </c>
      <c r="Q369">
        <f>IF(O369&gt;G369,(O369-G369),0)</f>
        <v>0</v>
      </c>
      <c r="R369">
        <v>1</v>
      </c>
      <c r="S369">
        <f>IF(Q369&gt;0,Int(P369/Q369),0)</f>
        <v>0</v>
      </c>
      <c r="T369">
        <f>0</f>
        <v>0</v>
      </c>
      <c r="U369"/>
      <c r="V369">
        <v>0</v>
      </c>
      <c r="W369">
        <v>0</v>
      </c>
      <c r="X369"/>
    </row>
    <row r="370" spans="1:27">
      <c r="A370" t="s">
        <v>35</v>
      </c>
      <c r="B370" t="s">
        <v>29</v>
      </c>
      <c r="C370" t="s">
        <v>1358</v>
      </c>
      <c r="D370" t="s">
        <v>1359</v>
      </c>
      <c r="E370" t="s">
        <v>1360</v>
      </c>
      <c r="F370" t="s">
        <v>33</v>
      </c>
      <c r="G370">
        <v>0</v>
      </c>
      <c r="H370">
        <f>((0/1000) * G370)</f>
        <v>0</v>
      </c>
      <c r="I370">
        <v>0</v>
      </c>
      <c r="J370">
        <v>0</v>
      </c>
      <c r="K370" s="1455">
        <v>125123.97</v>
      </c>
      <c r="L370" s="1456">
        <f>(K370 * G370)</f>
        <v>0</v>
      </c>
      <c r="M370" s="1457">
        <v>137636.37</v>
      </c>
      <c r="N370" s="1458">
        <f>(G370 * M370)</f>
        <v>0</v>
      </c>
      <c r="O370">
        <v>0</v>
      </c>
      <c r="P370">
        <v>0</v>
      </c>
      <c r="Q370">
        <f>IF(O370&gt;G370,(O370-G370),0)</f>
        <v>0</v>
      </c>
      <c r="R370">
        <v>1</v>
      </c>
      <c r="S370">
        <f>IF(Q370&gt;0,Int(P370/Q370),0)</f>
        <v>0</v>
      </c>
      <c r="T370">
        <f>37581.99</f>
        <v>37581.99</v>
      </c>
      <c r="U370" t="s">
        <v>1361</v>
      </c>
      <c r="V370">
        <v>125123.97</v>
      </c>
      <c r="W370" t="s">
        <v>43</v>
      </c>
      <c r="X370"/>
    </row>
    <row r="371" spans="1:27">
      <c r="A371" t="s">
        <v>35</v>
      </c>
      <c r="B371" t="s">
        <v>29</v>
      </c>
      <c r="C371" t="s">
        <v>1362</v>
      </c>
      <c r="D371" t="s">
        <v>1363</v>
      </c>
      <c r="E371" t="s">
        <v>1364</v>
      </c>
      <c r="F371" t="s">
        <v>33</v>
      </c>
      <c r="G371">
        <v>0</v>
      </c>
      <c r="H371">
        <f>((0/1000) * G371)</f>
        <v>0</v>
      </c>
      <c r="I371">
        <v>0</v>
      </c>
      <c r="J371">
        <v>0</v>
      </c>
      <c r="K371" s="1459">
        <v>126825</v>
      </c>
      <c r="L371" s="1460">
        <f>(K371 * G371)</f>
        <v>0</v>
      </c>
      <c r="M371" s="1461">
        <v>139507.5</v>
      </c>
      <c r="N371" s="1462">
        <f>(G371 * M371)</f>
        <v>0</v>
      </c>
      <c r="O371">
        <v>0</v>
      </c>
      <c r="P371">
        <v>0</v>
      </c>
      <c r="Q371">
        <f>IF(O371&gt;G371,(O371-G371),0)</f>
        <v>0</v>
      </c>
      <c r="R371">
        <v>1</v>
      </c>
      <c r="S371">
        <f>IF(Q371&gt;0,Int(P371/Q371),0)</f>
        <v>0</v>
      </c>
      <c r="T371">
        <f>123215.63</f>
        <v>123215.63</v>
      </c>
      <c r="U371" t="s">
        <v>1365</v>
      </c>
      <c r="V371">
        <v>126825</v>
      </c>
      <c r="W371" t="s">
        <v>43</v>
      </c>
      <c r="X371"/>
    </row>
    <row r="372" spans="1:27">
      <c r="A372" t="s">
        <v>35</v>
      </c>
      <c r="B372" t="s">
        <v>29</v>
      </c>
      <c r="C372" t="s">
        <v>1366</v>
      </c>
      <c r="D372" t="s">
        <v>1367</v>
      </c>
      <c r="E372" t="s">
        <v>1368</v>
      </c>
      <c r="F372" t="s">
        <v>33</v>
      </c>
      <c r="G372">
        <v>0</v>
      </c>
      <c r="H372">
        <f>((0/1000) * G372)</f>
        <v>0</v>
      </c>
      <c r="I372">
        <v>0</v>
      </c>
      <c r="J372">
        <v>0</v>
      </c>
      <c r="K372" s="1463">
        <v>66298.88</v>
      </c>
      <c r="L372" s="1464">
        <f>(K372 * G372)</f>
        <v>0</v>
      </c>
      <c r="M372" s="1465">
        <v>92818.44</v>
      </c>
      <c r="N372" s="1466">
        <f>(G372 * M372)</f>
        <v>0</v>
      </c>
      <c r="O372">
        <v>0</v>
      </c>
      <c r="P372">
        <v>0</v>
      </c>
      <c r="Q372">
        <f>IF(O372&gt;G372,(O372-G372),0)</f>
        <v>0</v>
      </c>
      <c r="R372">
        <v>0</v>
      </c>
      <c r="S372">
        <f>IF(Q372&gt;0,Int(P372/Q372),0)</f>
        <v>0</v>
      </c>
      <c r="T372">
        <f>0</f>
        <v>0</v>
      </c>
      <c r="U372"/>
      <c r="V372">
        <v>66298.88</v>
      </c>
      <c r="W372" t="s">
        <v>75</v>
      </c>
      <c r="X372"/>
    </row>
    <row r="373" spans="1:27">
      <c r="A373" t="s">
        <v>35</v>
      </c>
      <c r="B373" t="s">
        <v>29</v>
      </c>
      <c r="C373" t="s">
        <v>1369</v>
      </c>
      <c r="D373" t="s">
        <v>1370</v>
      </c>
      <c r="E373" t="s">
        <v>1371</v>
      </c>
      <c r="F373" t="s">
        <v>33</v>
      </c>
      <c r="G373">
        <v>0</v>
      </c>
      <c r="H373">
        <f>((0/1000) * G373)</f>
        <v>0</v>
      </c>
      <c r="I373">
        <v>0</v>
      </c>
      <c r="J373">
        <v>0</v>
      </c>
      <c r="K373" s="1467">
        <v>61461.4</v>
      </c>
      <c r="L373" s="1468">
        <f>(K373 * G373)</f>
        <v>0</v>
      </c>
      <c r="M373" s="1469">
        <v>86045.96</v>
      </c>
      <c r="N373" s="1470">
        <f>(G373 * M373)</f>
        <v>0</v>
      </c>
      <c r="O373">
        <v>0</v>
      </c>
      <c r="P373">
        <v>0</v>
      </c>
      <c r="Q373">
        <f>IF(O373&gt;G373,(O373-G373),0)</f>
        <v>0</v>
      </c>
      <c r="R373">
        <v>1</v>
      </c>
      <c r="S373">
        <f>IF(Q373&gt;0,Int(P373/Q373),0)</f>
        <v>0</v>
      </c>
      <c r="T373">
        <f>55874</f>
        <v>55874</v>
      </c>
      <c r="U373" t="s">
        <v>929</v>
      </c>
      <c r="V373">
        <v>61461.4</v>
      </c>
      <c r="W373" t="s">
        <v>43</v>
      </c>
      <c r="X373" t="s">
        <v>262</v>
      </c>
    </row>
    <row r="374" spans="1:27">
      <c r="A374" t="s">
        <v>35</v>
      </c>
      <c r="B374" t="s">
        <v>29</v>
      </c>
      <c r="C374" t="s">
        <v>1372</v>
      </c>
      <c r="D374" t="s">
        <v>1373</v>
      </c>
      <c r="E374" t="s">
        <v>1374</v>
      </c>
      <c r="F374" t="s">
        <v>41</v>
      </c>
      <c r="G374">
        <v>0</v>
      </c>
      <c r="H374">
        <f>((0/1000) * G374)</f>
        <v>0</v>
      </c>
      <c r="I374">
        <v>0</v>
      </c>
      <c r="J374">
        <v>0</v>
      </c>
      <c r="K374" s="1471">
        <v>81597</v>
      </c>
      <c r="L374" s="1472">
        <f>(K374 * G374)</f>
        <v>0</v>
      </c>
      <c r="M374" s="1473">
        <v>146874.6</v>
      </c>
      <c r="N374" s="1474">
        <f>(G374 * M374)</f>
        <v>0</v>
      </c>
      <c r="O374">
        <v>0</v>
      </c>
      <c r="P374">
        <v>0</v>
      </c>
      <c r="Q374">
        <f>IF(O374&gt;G374,(O374-G374),0)</f>
        <v>0</v>
      </c>
      <c r="R374">
        <v>1</v>
      </c>
      <c r="S374">
        <f>IF(Q374&gt;0,Int(P374/Q374),0)</f>
        <v>0</v>
      </c>
      <c r="T374">
        <f>81597</f>
        <v>81597</v>
      </c>
      <c r="U374" t="s">
        <v>1375</v>
      </c>
      <c r="V374">
        <v>81597</v>
      </c>
      <c r="W374" t="s">
        <v>423</v>
      </c>
      <c r="X374" t="s">
        <v>136</v>
      </c>
    </row>
    <row r="375" spans="1:27">
      <c r="A375" t="s">
        <v>35</v>
      </c>
      <c r="B375" t="s">
        <v>29</v>
      </c>
      <c r="C375" t="s">
        <v>1376</v>
      </c>
      <c r="D375" t="s">
        <v>1377</v>
      </c>
      <c r="E375" t="s">
        <v>1378</v>
      </c>
      <c r="F375" t="s">
        <v>41</v>
      </c>
      <c r="G375">
        <v>0</v>
      </c>
      <c r="H375">
        <f>((0/1000) * G375)</f>
        <v>0</v>
      </c>
      <c r="I375">
        <v>0</v>
      </c>
      <c r="J375">
        <v>0</v>
      </c>
      <c r="K375" s="1475">
        <v>67500</v>
      </c>
      <c r="L375" s="1476">
        <f>(K375 * G375)</f>
        <v>0</v>
      </c>
      <c r="M375" s="1477">
        <v>101250</v>
      </c>
      <c r="N375" s="1478">
        <f>(G375 * M375)</f>
        <v>0</v>
      </c>
      <c r="O375">
        <v>0</v>
      </c>
      <c r="P375">
        <v>0</v>
      </c>
      <c r="Q375">
        <f>IF(O375&gt;G375,(O375-G375),0)</f>
        <v>0</v>
      </c>
      <c r="R375">
        <v>1</v>
      </c>
      <c r="S375">
        <f>IF(Q375&gt;0,Int(P375/Q375),0)</f>
        <v>0</v>
      </c>
      <c r="T375">
        <f>67500</f>
        <v>67500</v>
      </c>
      <c r="U375" t="s">
        <v>1379</v>
      </c>
      <c r="V375">
        <v>67500</v>
      </c>
      <c r="W375" t="s">
        <v>165</v>
      </c>
      <c r="X375" t="s">
        <v>428</v>
      </c>
    </row>
    <row r="376" spans="1:27">
      <c r="A376" t="s">
        <v>35</v>
      </c>
      <c r="B376" t="s">
        <v>29</v>
      </c>
      <c r="C376" t="s">
        <v>1380</v>
      </c>
      <c r="D376" t="s">
        <v>1381</v>
      </c>
      <c r="E376" t="s">
        <v>1382</v>
      </c>
      <c r="F376" t="s">
        <v>41</v>
      </c>
      <c r="G376">
        <v>0</v>
      </c>
      <c r="H376">
        <f>((0/1000) * G376)</f>
        <v>0</v>
      </c>
      <c r="I376">
        <v>0</v>
      </c>
      <c r="J376">
        <v>0</v>
      </c>
      <c r="K376" s="1479">
        <v>177249.73</v>
      </c>
      <c r="L376" s="1480">
        <f>(K376 * G376)</f>
        <v>0</v>
      </c>
      <c r="M376" s="1481">
        <v>248149.63</v>
      </c>
      <c r="N376" s="1482">
        <f>(G376 * M376)</f>
        <v>0</v>
      </c>
      <c r="O376">
        <v>0</v>
      </c>
      <c r="P376">
        <v>0</v>
      </c>
      <c r="Q376">
        <f>IF(O376&gt;G376,(O376-G376),0)</f>
        <v>0</v>
      </c>
      <c r="R376">
        <v>1</v>
      </c>
      <c r="S376">
        <f>IF(Q376&gt;0,Int(P376/Q376),0)</f>
        <v>0</v>
      </c>
      <c r="T376">
        <f>154763.91</f>
        <v>154763.91</v>
      </c>
      <c r="U376" t="s">
        <v>1383</v>
      </c>
      <c r="V376">
        <v>177249.73</v>
      </c>
      <c r="W376" t="s">
        <v>75</v>
      </c>
      <c r="X376"/>
    </row>
    <row r="377" spans="1:27">
      <c r="A377" t="s">
        <v>35</v>
      </c>
      <c r="B377" t="s">
        <v>29</v>
      </c>
      <c r="C377" t="s">
        <v>1384</v>
      </c>
      <c r="D377" t="s">
        <v>1385</v>
      </c>
      <c r="E377" t="s">
        <v>1382</v>
      </c>
      <c r="F377" t="s">
        <v>33</v>
      </c>
      <c r="G377">
        <v>0</v>
      </c>
      <c r="H377">
        <f>((0/1000) * G377)</f>
        <v>0</v>
      </c>
      <c r="I377">
        <v>0</v>
      </c>
      <c r="J377">
        <v>0</v>
      </c>
      <c r="K377" s="1483">
        <v>207906.63</v>
      </c>
      <c r="L377" s="1484">
        <f>(K377 * G377)</f>
        <v>0</v>
      </c>
      <c r="M377" s="1485">
        <v>291069.28</v>
      </c>
      <c r="N377" s="1486">
        <f>(G377 * M377)</f>
        <v>0</v>
      </c>
      <c r="O377">
        <v>0</v>
      </c>
      <c r="P377">
        <v>0</v>
      </c>
      <c r="Q377">
        <f>IF(O377&gt;G377,(O377-G377),0)</f>
        <v>0</v>
      </c>
      <c r="R377">
        <v>1</v>
      </c>
      <c r="S377">
        <f>IF(Q377&gt;0,Int(P377/Q377),0)</f>
        <v>0</v>
      </c>
      <c r="T377">
        <f>191695.21</f>
        <v>191695.21</v>
      </c>
      <c r="U377" t="s">
        <v>1386</v>
      </c>
      <c r="V377">
        <v>207906.63</v>
      </c>
      <c r="W377" t="s">
        <v>182</v>
      </c>
      <c r="X377"/>
    </row>
    <row r="378" spans="1:27">
      <c r="A378" t="s">
        <v>35</v>
      </c>
      <c r="B378" t="s">
        <v>29</v>
      </c>
      <c r="C378" t="s">
        <v>1387</v>
      </c>
      <c r="D378" t="s">
        <v>1388</v>
      </c>
      <c r="E378" t="s">
        <v>1389</v>
      </c>
      <c r="F378" t="s">
        <v>41</v>
      </c>
      <c r="G378">
        <v>0</v>
      </c>
      <c r="H378">
        <f>((0/1000) * G378)</f>
        <v>0</v>
      </c>
      <c r="I378">
        <v>0</v>
      </c>
      <c r="J378">
        <v>0</v>
      </c>
      <c r="K378" s="1487">
        <v>125950.41</v>
      </c>
      <c r="L378" s="1488">
        <f>(K378 * G378)</f>
        <v>0</v>
      </c>
      <c r="M378" s="1489">
        <v>138545.45</v>
      </c>
      <c r="N378" s="1490">
        <f>(G378 * M378)</f>
        <v>0</v>
      </c>
      <c r="O378">
        <v>0</v>
      </c>
      <c r="P378">
        <v>0</v>
      </c>
      <c r="Q378">
        <f>IF(O378&gt;G378,(O378-G378),0)</f>
        <v>0</v>
      </c>
      <c r="R378">
        <v>1</v>
      </c>
      <c r="S378">
        <f>IF(Q378&gt;0,Int(P378/Q378),0)</f>
        <v>0</v>
      </c>
      <c r="T378">
        <f>121562.73</f>
        <v>121562.73</v>
      </c>
      <c r="U378" t="s">
        <v>1390</v>
      </c>
      <c r="V378">
        <v>125950.41</v>
      </c>
      <c r="W378" t="s">
        <v>43</v>
      </c>
      <c r="X378"/>
    </row>
    <row r="379" spans="1:27">
      <c r="A379" t="s">
        <v>35</v>
      </c>
      <c r="B379" t="s">
        <v>29</v>
      </c>
      <c r="C379" t="s">
        <v>1391</v>
      </c>
      <c r="D379" t="s">
        <v>1392</v>
      </c>
      <c r="E379" t="s">
        <v>1393</v>
      </c>
      <c r="F379" t="s">
        <v>33</v>
      </c>
      <c r="G379">
        <v>0</v>
      </c>
      <c r="H379">
        <f>((0/1000) * G379)</f>
        <v>0</v>
      </c>
      <c r="I379">
        <v>0</v>
      </c>
      <c r="J379">
        <v>0</v>
      </c>
      <c r="K379" s="1491">
        <v>73615.85</v>
      </c>
      <c r="L379" s="1492">
        <f>(K379 * G379)</f>
        <v>0</v>
      </c>
      <c r="M379" s="1493">
        <v>103062.19</v>
      </c>
      <c r="N379" s="1494">
        <f>(G379 * M379)</f>
        <v>0</v>
      </c>
      <c r="O379">
        <v>0</v>
      </c>
      <c r="P379">
        <v>0</v>
      </c>
      <c r="Q379">
        <f>IF(O379&gt;G379,(O379-G379),0)</f>
        <v>0</v>
      </c>
      <c r="R379">
        <v>0</v>
      </c>
      <c r="S379">
        <f>IF(Q379&gt;0,Int(P379/Q379),0)</f>
        <v>0</v>
      </c>
      <c r="T379">
        <f>0</f>
        <v>0</v>
      </c>
      <c r="U379"/>
      <c r="V379">
        <v>73615.85</v>
      </c>
      <c r="W379" t="s">
        <v>75</v>
      </c>
      <c r="X379"/>
    </row>
    <row r="380" spans="1:27">
      <c r="A380" t="s">
        <v>28</v>
      </c>
      <c r="B380" t="s">
        <v>29</v>
      </c>
      <c r="C380" t="s">
        <v>1394</v>
      </c>
      <c r="D380" t="s">
        <v>1395</v>
      </c>
      <c r="E380" t="s">
        <v>1396</v>
      </c>
      <c r="F380" t="s">
        <v>41</v>
      </c>
      <c r="G380">
        <v>0</v>
      </c>
      <c r="H380">
        <f>((0/1000) * G380)</f>
        <v>0</v>
      </c>
      <c r="I380">
        <v>0</v>
      </c>
      <c r="J380">
        <v>0</v>
      </c>
      <c r="K380" s="1495">
        <v>108909.09</v>
      </c>
      <c r="L380" s="1496">
        <f>(K380 * G380)</f>
        <v>0</v>
      </c>
      <c r="M380" s="1497">
        <v>152472.73</v>
      </c>
      <c r="N380" s="1498">
        <f>(G380 * M380)</f>
        <v>0</v>
      </c>
      <c r="O380">
        <v>0</v>
      </c>
      <c r="P380">
        <v>0</v>
      </c>
      <c r="Q380">
        <f>IF(O380&gt;G380,(O380-G380),0)</f>
        <v>0</v>
      </c>
      <c r="R380">
        <v>1</v>
      </c>
      <c r="S380">
        <f>IF(Q380&gt;0,Int(P380/Q380),0)</f>
        <v>0</v>
      </c>
      <c r="T380">
        <f>0</f>
        <v>0</v>
      </c>
      <c r="U380"/>
      <c r="V380">
        <v>108909.09</v>
      </c>
      <c r="W380" t="s">
        <v>75</v>
      </c>
      <c r="X380"/>
    </row>
    <row r="381" spans="1:27">
      <c r="A381" t="s">
        <v>35</v>
      </c>
      <c r="B381" t="s">
        <v>29</v>
      </c>
      <c r="C381" t="s">
        <v>1397</v>
      </c>
      <c r="D381" t="s">
        <v>1398</v>
      </c>
      <c r="E381" t="s">
        <v>1399</v>
      </c>
      <c r="F381" t="s">
        <v>41</v>
      </c>
      <c r="G381">
        <v>0</v>
      </c>
      <c r="H381">
        <f>((0/1000) * G381)</f>
        <v>0</v>
      </c>
      <c r="I381">
        <v>0</v>
      </c>
      <c r="J381">
        <v>0</v>
      </c>
      <c r="K381" s="1499">
        <v>67514</v>
      </c>
      <c r="L381" s="1500">
        <f>(K381 * G381)</f>
        <v>0</v>
      </c>
      <c r="M381" s="1501">
        <v>101271</v>
      </c>
      <c r="N381" s="1502">
        <f>(G381 * M381)</f>
        <v>0</v>
      </c>
      <c r="O381">
        <v>0</v>
      </c>
      <c r="P381">
        <v>0</v>
      </c>
      <c r="Q381">
        <f>IF(O381&gt;G381,(O381-G381),0)</f>
        <v>0</v>
      </c>
      <c r="R381">
        <v>0</v>
      </c>
      <c r="S381">
        <f>IF(Q381&gt;0,Int(P381/Q381),0)</f>
        <v>0</v>
      </c>
      <c r="T381">
        <f>67514</f>
        <v>67514</v>
      </c>
      <c r="U381" t="s">
        <v>1400</v>
      </c>
      <c r="V381">
        <v>67514</v>
      </c>
      <c r="W381" t="s">
        <v>292</v>
      </c>
      <c r="X381" t="s">
        <v>198</v>
      </c>
    </row>
    <row r="382" spans="1:27">
      <c r="A382" t="s">
        <v>28</v>
      </c>
      <c r="B382" t="s">
        <v>29</v>
      </c>
      <c r="C382" t="s">
        <v>1401</v>
      </c>
      <c r="D382" t="s">
        <v>1402</v>
      </c>
      <c r="E382" t="s">
        <v>1403</v>
      </c>
      <c r="F382" t="s">
        <v>33</v>
      </c>
      <c r="G382">
        <v>0</v>
      </c>
      <c r="H382">
        <f>((0/1000) * G382)</f>
        <v>0</v>
      </c>
      <c r="I382">
        <v>0</v>
      </c>
      <c r="J382">
        <v>0</v>
      </c>
      <c r="K382" s="1503">
        <v>109090.91</v>
      </c>
      <c r="L382" s="1504">
        <f>(K382 * G382)</f>
        <v>0</v>
      </c>
      <c r="M382" s="1505">
        <v>152727.27</v>
      </c>
      <c r="N382" s="1506">
        <f>(G382 * M382)</f>
        <v>0</v>
      </c>
      <c r="O382">
        <v>0</v>
      </c>
      <c r="P382">
        <v>0</v>
      </c>
      <c r="Q382">
        <f>IF(O382&gt;G382,(O382-G382),0)</f>
        <v>0</v>
      </c>
      <c r="R382">
        <v>0</v>
      </c>
      <c r="S382">
        <f>IF(Q382&gt;0,Int(P382/Q382),0)</f>
        <v>0</v>
      </c>
      <c r="T382">
        <f>0</f>
        <v>0</v>
      </c>
      <c r="U382"/>
      <c r="V382">
        <v>109090.91</v>
      </c>
      <c r="W382" t="s">
        <v>75</v>
      </c>
      <c r="X382"/>
    </row>
    <row r="383" spans="1:27">
      <c r="A383" t="s">
        <v>35</v>
      </c>
      <c r="B383" t="s">
        <v>29</v>
      </c>
      <c r="C383" t="s">
        <v>1404</v>
      </c>
      <c r="D383" t="s">
        <v>1405</v>
      </c>
      <c r="E383" t="s">
        <v>1406</v>
      </c>
      <c r="F383" t="s">
        <v>41</v>
      </c>
      <c r="G383">
        <v>0</v>
      </c>
      <c r="H383">
        <f>((0/1000) * G383)</f>
        <v>0</v>
      </c>
      <c r="I383">
        <v>0</v>
      </c>
      <c r="J383">
        <v>0</v>
      </c>
      <c r="K383" s="1507">
        <v>66505</v>
      </c>
      <c r="L383" s="1508">
        <f>(K383 * G383)</f>
        <v>0</v>
      </c>
      <c r="M383" s="1509">
        <v>119709</v>
      </c>
      <c r="N383" s="1510">
        <f>(G383 * M383)</f>
        <v>0</v>
      </c>
      <c r="O383">
        <v>0</v>
      </c>
      <c r="P383">
        <v>0</v>
      </c>
      <c r="Q383">
        <f>IF(O383&gt;G383,(O383-G383),0)</f>
        <v>0</v>
      </c>
      <c r="R383">
        <v>1</v>
      </c>
      <c r="S383">
        <f>IF(Q383&gt;0,Int(P383/Q383),0)</f>
        <v>0</v>
      </c>
      <c r="T383">
        <f>66505</f>
        <v>66505</v>
      </c>
      <c r="U383" t="s">
        <v>1407</v>
      </c>
      <c r="V383">
        <v>66505</v>
      </c>
      <c r="W383" t="s">
        <v>651</v>
      </c>
      <c r="X383" t="s">
        <v>49</v>
      </c>
    </row>
    <row r="384" spans="1:27">
      <c r="A384" t="s">
        <v>35</v>
      </c>
      <c r="B384" t="s">
        <v>29</v>
      </c>
      <c r="C384" t="s">
        <v>1408</v>
      </c>
      <c r="D384" t="s">
        <v>1409</v>
      </c>
      <c r="E384" t="s">
        <v>1410</v>
      </c>
      <c r="F384" t="s">
        <v>41</v>
      </c>
      <c r="G384">
        <v>0</v>
      </c>
      <c r="H384">
        <f>((1/1000) * G384)</f>
        <v>0</v>
      </c>
      <c r="I384">
        <v>0</v>
      </c>
      <c r="J384">
        <v>0</v>
      </c>
      <c r="K384" s="1511">
        <v>0</v>
      </c>
      <c r="L384" s="1512">
        <f>(K384 * G384)</f>
        <v>0</v>
      </c>
      <c r="M384" s="1513">
        <v>0</v>
      </c>
      <c r="N384" s="1514">
        <f>(G384 * M384)</f>
        <v>0</v>
      </c>
      <c r="O384">
        <v>0</v>
      </c>
      <c r="P384">
        <v>0</v>
      </c>
      <c r="Q384">
        <f>IF(O384&gt;G384,(O384-G384),0)</f>
        <v>0</v>
      </c>
      <c r="R384">
        <v>0</v>
      </c>
      <c r="S384">
        <f>IF(Q384&gt;0,Int(P384/Q384),0)</f>
        <v>0</v>
      </c>
      <c r="T384">
        <f>0</f>
        <v>0</v>
      </c>
      <c r="U384"/>
      <c r="V384">
        <v>0</v>
      </c>
      <c r="W384">
        <v>0</v>
      </c>
      <c r="X384"/>
    </row>
    <row r="385" spans="1:27">
      <c r="A385" t="s">
        <v>35</v>
      </c>
      <c r="B385" t="s">
        <v>29</v>
      </c>
      <c r="C385" t="s">
        <v>1411</v>
      </c>
      <c r="D385" t="s">
        <v>1412</v>
      </c>
      <c r="E385" t="s">
        <v>1413</v>
      </c>
      <c r="F385" t="s">
        <v>33</v>
      </c>
      <c r="G385">
        <v>0</v>
      </c>
      <c r="H385">
        <f>((0/1000) * G385)</f>
        <v>0</v>
      </c>
      <c r="I385">
        <v>0</v>
      </c>
      <c r="J385">
        <v>0</v>
      </c>
      <c r="K385" s="1515">
        <v>50370.77</v>
      </c>
      <c r="L385" s="1516">
        <f>(K385 * G385)</f>
        <v>0</v>
      </c>
      <c r="M385" s="1517">
        <v>70519.08</v>
      </c>
      <c r="N385" s="1518">
        <f>(G385 * M385)</f>
        <v>0</v>
      </c>
      <c r="O385">
        <v>0</v>
      </c>
      <c r="P385">
        <v>0</v>
      </c>
      <c r="Q385">
        <f>IF(O385&gt;G385,(O385-G385),0)</f>
        <v>0</v>
      </c>
      <c r="R385">
        <v>1</v>
      </c>
      <c r="S385">
        <f>IF(Q385&gt;0,Int(P385/Q385),0)</f>
        <v>0</v>
      </c>
      <c r="T385">
        <f>24100.58</f>
        <v>24100.58</v>
      </c>
      <c r="U385" t="s">
        <v>1414</v>
      </c>
      <c r="V385">
        <v>50370.77</v>
      </c>
      <c r="W385" t="s">
        <v>75</v>
      </c>
      <c r="X385"/>
    </row>
    <row r="386" spans="1:27">
      <c r="A386" t="s">
        <v>35</v>
      </c>
      <c r="B386" t="s">
        <v>29</v>
      </c>
      <c r="C386" t="s">
        <v>1415</v>
      </c>
      <c r="D386" t="s">
        <v>1416</v>
      </c>
      <c r="E386" t="s">
        <v>1417</v>
      </c>
      <c r="F386" t="s">
        <v>41</v>
      </c>
      <c r="G386">
        <v>7</v>
      </c>
      <c r="H386">
        <f>((0/1000) * G386)</f>
        <v>0</v>
      </c>
      <c r="I386">
        <v>0</v>
      </c>
      <c r="J386">
        <v>7</v>
      </c>
      <c r="K386" s="1519">
        <v>53638</v>
      </c>
      <c r="L386" s="1520">
        <f>(K386 * G386)</f>
        <v>375466</v>
      </c>
      <c r="M386" s="1521">
        <v>91184.6</v>
      </c>
      <c r="N386" s="1522">
        <f>(G386 * M386)</f>
        <v>638292.2</v>
      </c>
      <c r="O386">
        <v>0</v>
      </c>
      <c r="P386">
        <v>0</v>
      </c>
      <c r="Q386">
        <f>IF(O386&gt;G386,(O386-G386),0)</f>
        <v>0</v>
      </c>
      <c r="R386">
        <v>1</v>
      </c>
      <c r="S386">
        <f>IF(Q386&gt;0,Int(P386/Q386),0)</f>
        <v>0</v>
      </c>
      <c r="T386">
        <f>64279.6</f>
        <v>64279.6</v>
      </c>
      <c r="U386" t="s">
        <v>1418</v>
      </c>
      <c r="V386">
        <v>53638</v>
      </c>
      <c r="W386" t="s">
        <v>144</v>
      </c>
      <c r="X386" t="s">
        <v>409</v>
      </c>
    </row>
    <row r="387" spans="1:27">
      <c r="A387" t="s">
        <v>35</v>
      </c>
      <c r="B387" t="s">
        <v>29</v>
      </c>
      <c r="C387" t="s">
        <v>1419</v>
      </c>
      <c r="D387" t="s">
        <v>1420</v>
      </c>
      <c r="E387" t="s">
        <v>1421</v>
      </c>
      <c r="F387" t="s">
        <v>41</v>
      </c>
      <c r="G387">
        <v>0</v>
      </c>
      <c r="H387">
        <f>((0/1000) * G387)</f>
        <v>0</v>
      </c>
      <c r="I387">
        <v>0</v>
      </c>
      <c r="J387">
        <v>0</v>
      </c>
      <c r="K387" s="1523">
        <v>106363.06</v>
      </c>
      <c r="L387" s="1524">
        <f>(K387 * G387)</f>
        <v>0</v>
      </c>
      <c r="M387" s="1525">
        <v>148908.28</v>
      </c>
      <c r="N387" s="1526">
        <f>(G387 * M387)</f>
        <v>0</v>
      </c>
      <c r="O387">
        <v>0</v>
      </c>
      <c r="P387">
        <v>0</v>
      </c>
      <c r="Q387">
        <f>IF(O387&gt;G387,(O387-G387),0)</f>
        <v>0</v>
      </c>
      <c r="R387">
        <v>1</v>
      </c>
      <c r="S387">
        <f>IF(Q387&gt;0,Int(P387/Q387),0)</f>
        <v>0</v>
      </c>
      <c r="T387">
        <f>106363.06</f>
        <v>106363.06</v>
      </c>
      <c r="U387" t="s">
        <v>1422</v>
      </c>
      <c r="V387">
        <v>106363.06</v>
      </c>
      <c r="W387" t="s">
        <v>75</v>
      </c>
      <c r="X387" t="s">
        <v>687</v>
      </c>
    </row>
    <row r="388" spans="1:27">
      <c r="A388" t="s">
        <v>35</v>
      </c>
      <c r="B388" t="s">
        <v>29</v>
      </c>
      <c r="C388" t="s">
        <v>1423</v>
      </c>
      <c r="D388" t="s">
        <v>1424</v>
      </c>
      <c r="E388" t="s">
        <v>1425</v>
      </c>
      <c r="F388" t="s">
        <v>33</v>
      </c>
      <c r="G388">
        <v>0</v>
      </c>
      <c r="H388">
        <f>((0/1000) * G388)</f>
        <v>0</v>
      </c>
      <c r="I388">
        <v>0</v>
      </c>
      <c r="J388">
        <v>0</v>
      </c>
      <c r="K388" s="1527">
        <v>80611.77</v>
      </c>
      <c r="L388" s="1528">
        <f>(K388 * G388)</f>
        <v>0</v>
      </c>
      <c r="M388" s="1529">
        <v>112856.48</v>
      </c>
      <c r="N388" s="1530">
        <f>(G388 * M388)</f>
        <v>0</v>
      </c>
      <c r="O388">
        <v>0</v>
      </c>
      <c r="P388">
        <v>0</v>
      </c>
      <c r="Q388">
        <f>IF(O388&gt;G388,(O388-G388),0)</f>
        <v>0</v>
      </c>
      <c r="R388">
        <v>1</v>
      </c>
      <c r="S388">
        <f>IF(Q388&gt;0,Int(P388/Q388),0)</f>
        <v>0</v>
      </c>
      <c r="T388">
        <f>106907.28</f>
        <v>106907.28</v>
      </c>
      <c r="U388" t="s">
        <v>1426</v>
      </c>
      <c r="V388">
        <v>80611.77</v>
      </c>
      <c r="W388" t="s">
        <v>75</v>
      </c>
      <c r="X388"/>
    </row>
    <row r="389" spans="1:27">
      <c r="A389" t="s">
        <v>35</v>
      </c>
      <c r="B389" t="s">
        <v>29</v>
      </c>
      <c r="C389" t="s">
        <v>1427</v>
      </c>
      <c r="D389" t="s">
        <v>1428</v>
      </c>
      <c r="E389" t="s">
        <v>1429</v>
      </c>
      <c r="F389" t="s">
        <v>33</v>
      </c>
      <c r="G389">
        <v>0</v>
      </c>
      <c r="H389">
        <f>((0/1000) * G389)</f>
        <v>0</v>
      </c>
      <c r="I389">
        <v>0</v>
      </c>
      <c r="J389">
        <v>0</v>
      </c>
      <c r="K389" s="1531">
        <v>165993.99</v>
      </c>
      <c r="L389" s="1532">
        <f>(K389 * G389)</f>
        <v>0</v>
      </c>
      <c r="M389" s="1533">
        <v>232391.59</v>
      </c>
      <c r="N389" s="1534">
        <f>(G389 * M389)</f>
        <v>0</v>
      </c>
      <c r="O389">
        <v>0</v>
      </c>
      <c r="P389">
        <v>0</v>
      </c>
      <c r="Q389">
        <f>IF(O389&gt;G389,(O389-G389),0)</f>
        <v>0</v>
      </c>
      <c r="R389">
        <v>1</v>
      </c>
      <c r="S389">
        <f>IF(Q389&gt;0,Int(P389/Q389),0)</f>
        <v>0</v>
      </c>
      <c r="T389">
        <f>208793.92</f>
        <v>208793.92</v>
      </c>
      <c r="U389" t="s">
        <v>1430</v>
      </c>
      <c r="V389">
        <v>165993.99</v>
      </c>
      <c r="W389" t="s">
        <v>182</v>
      </c>
      <c r="X389"/>
    </row>
    <row r="390" spans="1:27">
      <c r="A390" t="s">
        <v>35</v>
      </c>
      <c r="B390" t="s">
        <v>29</v>
      </c>
      <c r="C390" t="s">
        <v>1431</v>
      </c>
      <c r="D390" t="s">
        <v>1432</v>
      </c>
      <c r="E390" t="s">
        <v>1433</v>
      </c>
      <c r="F390" t="s">
        <v>41</v>
      </c>
      <c r="G390">
        <v>4</v>
      </c>
      <c r="H390">
        <f>((0/1000) * G390)</f>
        <v>0</v>
      </c>
      <c r="I390">
        <v>4</v>
      </c>
      <c r="J390">
        <v>0</v>
      </c>
      <c r="K390" s="1535">
        <v>165993.78</v>
      </c>
      <c r="L390" s="1536">
        <f>(K390 * G390)</f>
        <v>663975.12</v>
      </c>
      <c r="M390" s="1537">
        <v>232391.29</v>
      </c>
      <c r="N390" s="1538">
        <f>(G390 * M390)</f>
        <v>929565.16</v>
      </c>
      <c r="O390">
        <v>0</v>
      </c>
      <c r="P390">
        <v>0</v>
      </c>
      <c r="Q390">
        <f>IF(O390&gt;G390,(O390-G390),0)</f>
        <v>0</v>
      </c>
      <c r="R390">
        <v>1</v>
      </c>
      <c r="S390">
        <f>IF(Q390&gt;0,Int(P390/Q390),0)</f>
        <v>0</v>
      </c>
      <c r="T390">
        <f>163351.62</f>
        <v>163351.62</v>
      </c>
      <c r="U390" t="s">
        <v>1434</v>
      </c>
      <c r="V390">
        <v>165993.78</v>
      </c>
      <c r="W390" t="s">
        <v>182</v>
      </c>
      <c r="X390"/>
    </row>
    <row r="391" spans="1:27">
      <c r="A391" t="s">
        <v>35</v>
      </c>
      <c r="B391" t="s">
        <v>29</v>
      </c>
      <c r="C391" t="s">
        <v>1435</v>
      </c>
      <c r="D391" t="s">
        <v>1436</v>
      </c>
      <c r="E391" t="s">
        <v>1437</v>
      </c>
      <c r="F391" t="s">
        <v>41</v>
      </c>
      <c r="G391">
        <v>0</v>
      </c>
      <c r="H391">
        <f>((0/1000) * G391)</f>
        <v>0</v>
      </c>
      <c r="I391">
        <v>0</v>
      </c>
      <c r="J391">
        <v>0</v>
      </c>
      <c r="K391" s="1539">
        <v>104380.17</v>
      </c>
      <c r="L391" s="1540">
        <f>(K391 * G391)</f>
        <v>0</v>
      </c>
      <c r="M391" s="1541">
        <v>114818.18</v>
      </c>
      <c r="N391" s="1542">
        <f>(G391 * M391)</f>
        <v>0</v>
      </c>
      <c r="O391">
        <v>0</v>
      </c>
      <c r="P391">
        <v>0</v>
      </c>
      <c r="Q391">
        <f>IF(O391&gt;G391,(O391-G391),0)</f>
        <v>0</v>
      </c>
      <c r="R391">
        <v>1</v>
      </c>
      <c r="S391">
        <f>IF(Q391&gt;0,Int(P391/Q391),0)</f>
        <v>0</v>
      </c>
      <c r="T391">
        <f>95942.9</f>
        <v>95942.9</v>
      </c>
      <c r="U391" t="s">
        <v>1438</v>
      </c>
      <c r="V391">
        <v>104380.17</v>
      </c>
      <c r="W391" t="s">
        <v>43</v>
      </c>
      <c r="X391"/>
    </row>
    <row r="392" spans="1:27">
      <c r="A392" t="s">
        <v>35</v>
      </c>
      <c r="B392" t="s">
        <v>29</v>
      </c>
      <c r="C392" t="s">
        <v>1439</v>
      </c>
      <c r="D392" t="s">
        <v>1440</v>
      </c>
      <c r="E392" t="s">
        <v>1441</v>
      </c>
      <c r="F392" t="s">
        <v>33</v>
      </c>
      <c r="G392">
        <v>0</v>
      </c>
      <c r="H392">
        <f>((0/1000) * G392)</f>
        <v>0</v>
      </c>
      <c r="I392">
        <v>0</v>
      </c>
      <c r="J392">
        <v>0</v>
      </c>
      <c r="K392" s="1543">
        <v>78260.38</v>
      </c>
      <c r="L392" s="1544">
        <f>(K392 * G392)</f>
        <v>0</v>
      </c>
      <c r="M392" s="1545">
        <v>109564.54</v>
      </c>
      <c r="N392" s="1546">
        <f>(G392 * M392)</f>
        <v>0</v>
      </c>
      <c r="O392">
        <v>0</v>
      </c>
      <c r="P392">
        <v>0</v>
      </c>
      <c r="Q392">
        <f>IF(O392&gt;G392,(O392-G392),0)</f>
        <v>0</v>
      </c>
      <c r="R392">
        <v>1</v>
      </c>
      <c r="S392">
        <f>IF(Q392&gt;0,Int(P392/Q392),0)</f>
        <v>0</v>
      </c>
      <c r="T392">
        <f>71145.8</f>
        <v>71145.8</v>
      </c>
      <c r="U392" t="s">
        <v>1442</v>
      </c>
      <c r="V392">
        <v>78260.38</v>
      </c>
      <c r="W392" t="s">
        <v>75</v>
      </c>
      <c r="X392" t="s">
        <v>374</v>
      </c>
    </row>
    <row r="393" spans="1:27">
      <c r="A393" t="s">
        <v>28</v>
      </c>
      <c r="B393" t="s">
        <v>29</v>
      </c>
      <c r="C393" t="s">
        <v>1443</v>
      </c>
      <c r="D393" t="s">
        <v>1444</v>
      </c>
      <c r="E393" t="s">
        <v>1445</v>
      </c>
      <c r="F393" t="s">
        <v>33</v>
      </c>
      <c r="G393">
        <v>0</v>
      </c>
      <c r="H393">
        <f>((0/1000) * G393)</f>
        <v>0</v>
      </c>
      <c r="I393">
        <v>0</v>
      </c>
      <c r="J393">
        <v>0</v>
      </c>
      <c r="K393" s="1547">
        <v>30716.17</v>
      </c>
      <c r="L393" s="1548">
        <f>(K393 * G393)</f>
        <v>0</v>
      </c>
      <c r="M393" s="1549">
        <v>43002.64</v>
      </c>
      <c r="N393" s="1550">
        <f>(G393 * M393)</f>
        <v>0</v>
      </c>
      <c r="O393">
        <v>0</v>
      </c>
      <c r="P393">
        <v>0</v>
      </c>
      <c r="Q393">
        <f>IF(O393&gt;G393,(O393-G393),0)</f>
        <v>0</v>
      </c>
      <c r="R393">
        <v>1</v>
      </c>
      <c r="S393">
        <f>IF(Q393&gt;0,Int(P393/Q393),0)</f>
        <v>0</v>
      </c>
      <c r="T393">
        <f>0</f>
        <v>0</v>
      </c>
      <c r="U393"/>
      <c r="V393">
        <v>30716.17</v>
      </c>
      <c r="W393" t="s">
        <v>75</v>
      </c>
      <c r="X393"/>
    </row>
    <row r="394" spans="1:27">
      <c r="A394" t="s">
        <v>35</v>
      </c>
      <c r="B394" t="s">
        <v>29</v>
      </c>
      <c r="C394" t="s">
        <v>1446</v>
      </c>
      <c r="D394" t="s">
        <v>1447</v>
      </c>
      <c r="E394" t="s">
        <v>1448</v>
      </c>
      <c r="F394" t="s">
        <v>33</v>
      </c>
      <c r="G394">
        <v>0</v>
      </c>
      <c r="H394">
        <f>((0/1000) * G394)</f>
        <v>0</v>
      </c>
      <c r="I394">
        <v>0</v>
      </c>
      <c r="J394">
        <v>0</v>
      </c>
      <c r="K394" s="1551">
        <v>100257.15</v>
      </c>
      <c r="L394" s="1552">
        <f>(K394 * G394)</f>
        <v>0</v>
      </c>
      <c r="M394" s="1553">
        <v>140360</v>
      </c>
      <c r="N394" s="1554">
        <f>(G394 * M394)</f>
        <v>0</v>
      </c>
      <c r="O394">
        <v>0</v>
      </c>
      <c r="P394">
        <v>0</v>
      </c>
      <c r="Q394">
        <f>IF(O394&gt;G394,(O394-G394),0)</f>
        <v>0</v>
      </c>
      <c r="R394">
        <v>1</v>
      </c>
      <c r="S394">
        <f>IF(Q394&gt;0,Int(P394/Q394),0)</f>
        <v>0</v>
      </c>
      <c r="T394">
        <f>0</f>
        <v>0</v>
      </c>
      <c r="U394"/>
      <c r="V394">
        <v>100257.15</v>
      </c>
      <c r="W394" t="s">
        <v>75</v>
      </c>
      <c r="X394"/>
    </row>
    <row r="395" spans="1:27">
      <c r="A395" t="s">
        <v>35</v>
      </c>
      <c r="B395" t="s">
        <v>29</v>
      </c>
      <c r="C395" t="s">
        <v>1449</v>
      </c>
      <c r="D395" t="s">
        <v>1450</v>
      </c>
      <c r="E395" t="s">
        <v>1451</v>
      </c>
      <c r="F395" t="s">
        <v>33</v>
      </c>
      <c r="G395">
        <v>0</v>
      </c>
      <c r="H395">
        <f>((0/1000) * G395)</f>
        <v>0</v>
      </c>
      <c r="I395">
        <v>0</v>
      </c>
      <c r="J395">
        <v>0</v>
      </c>
      <c r="K395" s="1555">
        <v>119045.45</v>
      </c>
      <c r="L395" s="1556">
        <f>(K395 * G395)</f>
        <v>0</v>
      </c>
      <c r="M395" s="1557">
        <v>166663.63</v>
      </c>
      <c r="N395" s="1558">
        <f>(G395 * M395)</f>
        <v>0</v>
      </c>
      <c r="O395">
        <v>0</v>
      </c>
      <c r="P395">
        <v>0</v>
      </c>
      <c r="Q395">
        <f>IF(O395&gt;G395,(O395-G395),0)</f>
        <v>0</v>
      </c>
      <c r="R395">
        <v>1</v>
      </c>
      <c r="S395">
        <f>IF(Q395&gt;0,Int(P395/Q395),0)</f>
        <v>0</v>
      </c>
      <c r="T395">
        <f>98384.67</f>
        <v>98384.67</v>
      </c>
      <c r="U395" t="s">
        <v>1452</v>
      </c>
      <c r="V395">
        <v>119045.45</v>
      </c>
      <c r="W395" t="s">
        <v>75</v>
      </c>
      <c r="X395"/>
    </row>
    <row r="396" spans="1:27">
      <c r="A396" t="s">
        <v>35</v>
      </c>
      <c r="B396" t="s">
        <v>29</v>
      </c>
      <c r="C396" t="s">
        <v>1453</v>
      </c>
      <c r="D396" t="s">
        <v>1454</v>
      </c>
      <c r="E396" t="s">
        <v>1455</v>
      </c>
      <c r="F396" t="s">
        <v>33</v>
      </c>
      <c r="G396">
        <v>0</v>
      </c>
      <c r="H396">
        <f>((0/1000) * G396)</f>
        <v>0</v>
      </c>
      <c r="I396">
        <v>0</v>
      </c>
      <c r="J396">
        <v>0</v>
      </c>
      <c r="K396" s="1559">
        <v>70400</v>
      </c>
      <c r="L396" s="1560">
        <f>(K396 * G396)</f>
        <v>0</v>
      </c>
      <c r="M396" s="1561">
        <v>105160</v>
      </c>
      <c r="N396" s="1562">
        <f>(G396 * M396)</f>
        <v>0</v>
      </c>
      <c r="O396">
        <v>0</v>
      </c>
      <c r="P396">
        <v>0</v>
      </c>
      <c r="Q396">
        <f>IF(O396&gt;G396,(O396-G396),0)</f>
        <v>0</v>
      </c>
      <c r="R396">
        <v>1</v>
      </c>
      <c r="S396">
        <f>IF(Q396&gt;0,Int(P396/Q396),0)</f>
        <v>0</v>
      </c>
      <c r="T396">
        <f>64000</f>
        <v>64000</v>
      </c>
      <c r="U396" t="s">
        <v>1456</v>
      </c>
      <c r="V396">
        <v>70400</v>
      </c>
      <c r="W396" t="s">
        <v>43</v>
      </c>
      <c r="X396"/>
    </row>
    <row r="397" spans="1:27">
      <c r="A397" t="s">
        <v>35</v>
      </c>
      <c r="B397" t="s">
        <v>29</v>
      </c>
      <c r="C397" t="s">
        <v>1457</v>
      </c>
      <c r="D397" t="s">
        <v>1458</v>
      </c>
      <c r="E397" t="s">
        <v>1459</v>
      </c>
      <c r="F397" t="s">
        <v>33</v>
      </c>
      <c r="G397">
        <v>0</v>
      </c>
      <c r="H397">
        <f>((0/1000) * G397)</f>
        <v>0</v>
      </c>
      <c r="I397">
        <v>0</v>
      </c>
      <c r="J397">
        <v>0</v>
      </c>
      <c r="K397" s="1563">
        <v>70300.37</v>
      </c>
      <c r="L397" s="1564">
        <f>(K397 * G397)</f>
        <v>0</v>
      </c>
      <c r="M397" s="1565">
        <v>98420.52</v>
      </c>
      <c r="N397" s="1566">
        <f>(G397 * M397)</f>
        <v>0</v>
      </c>
      <c r="O397">
        <v>0</v>
      </c>
      <c r="P397">
        <v>0</v>
      </c>
      <c r="Q397">
        <f>IF(O397&gt;G397,(O397-G397),0)</f>
        <v>0</v>
      </c>
      <c r="R397">
        <v>0</v>
      </c>
      <c r="S397">
        <f>IF(Q397&gt;0,Int(P397/Q397),0)</f>
        <v>0</v>
      </c>
      <c r="T397">
        <f>0</f>
        <v>0</v>
      </c>
      <c r="U397"/>
      <c r="V397">
        <v>70300.37</v>
      </c>
      <c r="W397" t="s">
        <v>75</v>
      </c>
      <c r="X397"/>
    </row>
    <row r="398" spans="1:27">
      <c r="A398" t="s">
        <v>35</v>
      </c>
      <c r="B398" t="s">
        <v>29</v>
      </c>
      <c r="C398" t="s">
        <v>1460</v>
      </c>
      <c r="D398" t="s">
        <v>1461</v>
      </c>
      <c r="E398" t="s">
        <v>1462</v>
      </c>
      <c r="F398" t="s">
        <v>41</v>
      </c>
      <c r="G398">
        <v>0</v>
      </c>
      <c r="H398">
        <f>((0/1000) * G398)</f>
        <v>0</v>
      </c>
      <c r="I398">
        <v>0</v>
      </c>
      <c r="J398">
        <v>0</v>
      </c>
      <c r="K398" s="1567">
        <v>98736</v>
      </c>
      <c r="L398" s="1568">
        <f>(K398 * G398)</f>
        <v>0</v>
      </c>
      <c r="M398" s="1569">
        <v>123420</v>
      </c>
      <c r="N398" s="1570">
        <f>(G398 * M398)</f>
        <v>0</v>
      </c>
      <c r="O398">
        <v>0</v>
      </c>
      <c r="P398">
        <v>0</v>
      </c>
      <c r="Q398">
        <f>IF(O398&gt;G398,(O398-G398),0)</f>
        <v>0</v>
      </c>
      <c r="R398">
        <v>1</v>
      </c>
      <c r="S398">
        <f>IF(Q398&gt;0,Int(P398/Q398),0)</f>
        <v>0</v>
      </c>
      <c r="T398">
        <f>62809</f>
        <v>62809</v>
      </c>
      <c r="U398" t="s">
        <v>1463</v>
      </c>
      <c r="V398">
        <v>98736</v>
      </c>
      <c r="W398" t="s">
        <v>48</v>
      </c>
      <c r="X398" t="s">
        <v>49</v>
      </c>
    </row>
    <row r="399" spans="1:27">
      <c r="A399" t="s">
        <v>35</v>
      </c>
      <c r="B399" t="s">
        <v>29</v>
      </c>
      <c r="C399" t="s">
        <v>1464</v>
      </c>
      <c r="D399" t="s">
        <v>1465</v>
      </c>
      <c r="E399" t="s">
        <v>1466</v>
      </c>
      <c r="F399" t="s">
        <v>41</v>
      </c>
      <c r="G399">
        <v>23</v>
      </c>
      <c r="H399">
        <f>((0/1000) * G399)</f>
        <v>0</v>
      </c>
      <c r="I399">
        <v>0</v>
      </c>
      <c r="J399">
        <v>23</v>
      </c>
      <c r="K399" s="1571">
        <v>64103</v>
      </c>
      <c r="L399" s="1572">
        <f>(K399 * G399)</f>
        <v>1474369</v>
      </c>
      <c r="M399" s="1573">
        <v>102564.8</v>
      </c>
      <c r="N399" s="1574">
        <f>(G399 * M399)</f>
        <v>2358990.4</v>
      </c>
      <c r="O399">
        <v>0</v>
      </c>
      <c r="P399">
        <v>0</v>
      </c>
      <c r="Q399">
        <f>IF(O399&gt;G399,(O399-G399),0)</f>
        <v>0</v>
      </c>
      <c r="R399">
        <v>0</v>
      </c>
      <c r="S399">
        <f>IF(Q399&gt;0,Int(P399/Q399),0)</f>
        <v>0</v>
      </c>
      <c r="T399">
        <f>64103</f>
        <v>64103</v>
      </c>
      <c r="U399" t="s">
        <v>427</v>
      </c>
      <c r="V399">
        <v>64103</v>
      </c>
      <c r="W399" t="s">
        <v>1467</v>
      </c>
      <c r="X399"/>
    </row>
    <row r="400" spans="1:27">
      <c r="A400" t="s">
        <v>35</v>
      </c>
      <c r="B400" t="s">
        <v>29</v>
      </c>
      <c r="C400" t="s">
        <v>1468</v>
      </c>
      <c r="D400" t="s">
        <v>1469</v>
      </c>
      <c r="E400" t="s">
        <v>1470</v>
      </c>
      <c r="F400" t="s">
        <v>33</v>
      </c>
      <c r="G400">
        <v>0</v>
      </c>
      <c r="H400">
        <f>((0/1000) * G400)</f>
        <v>0</v>
      </c>
      <c r="I400">
        <v>0</v>
      </c>
      <c r="J400">
        <v>0</v>
      </c>
      <c r="K400" s="1575">
        <v>69300</v>
      </c>
      <c r="L400" s="1576">
        <f>(K400 * G400)</f>
        <v>0</v>
      </c>
      <c r="M400" s="1577">
        <v>97020</v>
      </c>
      <c r="N400" s="1578">
        <f>(G400 * M400)</f>
        <v>0</v>
      </c>
      <c r="O400">
        <v>0</v>
      </c>
      <c r="P400">
        <v>0</v>
      </c>
      <c r="Q400">
        <f>IF(O400&gt;G400,(O400-G400),0)</f>
        <v>0</v>
      </c>
      <c r="R400">
        <v>1</v>
      </c>
      <c r="S400">
        <f>IF(Q400&gt;0,Int(P400/Q400),0)</f>
        <v>0</v>
      </c>
      <c r="T400">
        <f>63000</f>
        <v>63000</v>
      </c>
      <c r="U400" t="s">
        <v>1471</v>
      </c>
      <c r="V400">
        <v>69300</v>
      </c>
      <c r="W400" t="s">
        <v>75</v>
      </c>
      <c r="X400"/>
    </row>
    <row r="401" spans="1:27">
      <c r="A401" t="s">
        <v>35</v>
      </c>
      <c r="B401" t="s">
        <v>29</v>
      </c>
      <c r="C401" t="s">
        <v>1472</v>
      </c>
      <c r="D401" t="s">
        <v>1473</v>
      </c>
      <c r="E401" t="s">
        <v>1474</v>
      </c>
      <c r="F401" t="s">
        <v>33</v>
      </c>
      <c r="G401">
        <v>0</v>
      </c>
      <c r="H401">
        <f>((0/1000) * G401)</f>
        <v>0</v>
      </c>
      <c r="I401">
        <v>0</v>
      </c>
      <c r="J401">
        <v>0</v>
      </c>
      <c r="K401" s="1579">
        <v>125454.55</v>
      </c>
      <c r="L401" s="1580">
        <f>(K401 * G401)</f>
        <v>0</v>
      </c>
      <c r="M401" s="1581">
        <v>138000.01</v>
      </c>
      <c r="N401" s="1582">
        <f>(G401 * M401)</f>
        <v>0</v>
      </c>
      <c r="O401">
        <v>0</v>
      </c>
      <c r="P401">
        <v>0</v>
      </c>
      <c r="Q401">
        <f>IF(O401&gt;G401,(O401-G401),0)</f>
        <v>0</v>
      </c>
      <c r="R401">
        <v>1</v>
      </c>
      <c r="S401">
        <f>IF(Q401&gt;0,Int(P401/Q401),0)</f>
        <v>0</v>
      </c>
      <c r="T401">
        <f>33140.5</f>
        <v>33140.5</v>
      </c>
      <c r="U401" t="s">
        <v>1475</v>
      </c>
      <c r="V401">
        <v>125454.55</v>
      </c>
      <c r="W401" t="s">
        <v>48</v>
      </c>
      <c r="X401" t="s">
        <v>49</v>
      </c>
    </row>
    <row r="402" spans="1:27">
      <c r="A402" t="s">
        <v>35</v>
      </c>
      <c r="B402" t="s">
        <v>29</v>
      </c>
      <c r="C402" t="s">
        <v>1476</v>
      </c>
      <c r="D402" t="s">
        <v>1477</v>
      </c>
      <c r="E402" t="s">
        <v>1478</v>
      </c>
      <c r="F402" t="s">
        <v>41</v>
      </c>
      <c r="G402">
        <v>9</v>
      </c>
      <c r="H402">
        <f>((0/1000) * G402)</f>
        <v>0</v>
      </c>
      <c r="I402">
        <v>0</v>
      </c>
      <c r="J402">
        <v>9</v>
      </c>
      <c r="K402" s="1583">
        <v>56675</v>
      </c>
      <c r="L402" s="1584">
        <f>(K402 * G402)</f>
        <v>510075</v>
      </c>
      <c r="M402" s="1585">
        <v>102015</v>
      </c>
      <c r="N402" s="1586">
        <f>(G402 * M402)</f>
        <v>918135</v>
      </c>
      <c r="O402">
        <v>0</v>
      </c>
      <c r="P402">
        <v>0</v>
      </c>
      <c r="Q402">
        <f>IF(O402&gt;G402,(O402-G402),0)</f>
        <v>0</v>
      </c>
      <c r="R402">
        <v>0</v>
      </c>
      <c r="S402">
        <f>IF(Q402&gt;0,Int(P402/Q402),0)</f>
        <v>0</v>
      </c>
      <c r="T402">
        <f>56675</f>
        <v>56675</v>
      </c>
      <c r="U402" t="s">
        <v>1479</v>
      </c>
      <c r="V402">
        <v>56675</v>
      </c>
      <c r="W402" t="s">
        <v>651</v>
      </c>
      <c r="X402" t="s">
        <v>239</v>
      </c>
    </row>
    <row r="403" spans="1:27">
      <c r="A403" t="s">
        <v>28</v>
      </c>
      <c r="B403" t="s">
        <v>29</v>
      </c>
      <c r="C403" t="s">
        <v>1480</v>
      </c>
      <c r="D403" t="s">
        <v>1481</v>
      </c>
      <c r="E403" t="s">
        <v>1482</v>
      </c>
      <c r="F403" t="s">
        <v>33</v>
      </c>
      <c r="G403">
        <v>0</v>
      </c>
      <c r="H403">
        <f>((0/1000) * G403)</f>
        <v>0</v>
      </c>
      <c r="I403">
        <v>0</v>
      </c>
      <c r="J403">
        <v>0</v>
      </c>
      <c r="K403" s="1587">
        <v>108909.09</v>
      </c>
      <c r="L403" s="1588">
        <f>(K403 * G403)</f>
        <v>0</v>
      </c>
      <c r="M403" s="1589">
        <v>152472.73</v>
      </c>
      <c r="N403" s="1590">
        <f>(G403 * M403)</f>
        <v>0</v>
      </c>
      <c r="O403">
        <v>0</v>
      </c>
      <c r="P403">
        <v>0</v>
      </c>
      <c r="Q403">
        <f>IF(O403&gt;G403,(O403-G403),0)</f>
        <v>0</v>
      </c>
      <c r="R403">
        <v>1</v>
      </c>
      <c r="S403">
        <f>IF(Q403&gt;0,Int(P403/Q403),0)</f>
        <v>0</v>
      </c>
      <c r="T403">
        <f>0</f>
        <v>0</v>
      </c>
      <c r="U403" t="s">
        <v>1483</v>
      </c>
      <c r="V403">
        <v>108909.09</v>
      </c>
      <c r="W403" t="s">
        <v>75</v>
      </c>
      <c r="X403"/>
    </row>
    <row r="404" spans="1:27">
      <c r="A404" t="s">
        <v>35</v>
      </c>
      <c r="B404" t="s">
        <v>29</v>
      </c>
      <c r="C404" t="s">
        <v>1484</v>
      </c>
      <c r="D404" t="s">
        <v>1484</v>
      </c>
      <c r="E404" t="s">
        <v>1485</v>
      </c>
      <c r="F404" t="s">
        <v>33</v>
      </c>
      <c r="G404">
        <v>0</v>
      </c>
      <c r="H404">
        <f>((0/1000) * G404)</f>
        <v>0</v>
      </c>
      <c r="I404">
        <v>0</v>
      </c>
      <c r="J404">
        <v>0</v>
      </c>
      <c r="K404" s="1591">
        <v>15070</v>
      </c>
      <c r="L404" s="1592">
        <f>(K404 * G404)</f>
        <v>0</v>
      </c>
      <c r="M404" s="1593">
        <v>16577</v>
      </c>
      <c r="N404" s="1594">
        <f>(G404 * M404)</f>
        <v>0</v>
      </c>
      <c r="O404">
        <v>0</v>
      </c>
      <c r="P404">
        <v>0</v>
      </c>
      <c r="Q404">
        <f>IF(O404&gt;G404,(O404-G404),0)</f>
        <v>0</v>
      </c>
      <c r="R404">
        <v>1</v>
      </c>
      <c r="S404">
        <f>IF(Q404&gt;0,Int(P404/Q404),0)</f>
        <v>0</v>
      </c>
      <c r="T404">
        <f>13700</f>
        <v>13700</v>
      </c>
      <c r="U404" t="s">
        <v>1486</v>
      </c>
      <c r="V404">
        <v>15070</v>
      </c>
      <c r="W404" t="s">
        <v>43</v>
      </c>
      <c r="X404"/>
    </row>
    <row r="405" spans="1:27">
      <c r="A405" t="s">
        <v>35</v>
      </c>
      <c r="B405" t="s">
        <v>29</v>
      </c>
      <c r="C405" t="s">
        <v>1487</v>
      </c>
      <c r="D405" t="s">
        <v>1487</v>
      </c>
      <c r="E405" t="s">
        <v>1488</v>
      </c>
      <c r="F405" t="s">
        <v>33</v>
      </c>
      <c r="G405">
        <v>0</v>
      </c>
      <c r="H405">
        <f>((1/1000) * G405)</f>
        <v>0</v>
      </c>
      <c r="I405">
        <v>0</v>
      </c>
      <c r="J405">
        <v>0</v>
      </c>
      <c r="K405" s="1595">
        <v>0</v>
      </c>
      <c r="L405" s="1596">
        <f>(K405 * G405)</f>
        <v>0</v>
      </c>
      <c r="M405" s="1597">
        <v>0</v>
      </c>
      <c r="N405" s="1598">
        <f>(G405 * M405)</f>
        <v>0</v>
      </c>
      <c r="O405">
        <v>0</v>
      </c>
      <c r="P405">
        <v>0</v>
      </c>
      <c r="Q405">
        <f>IF(O405&gt;G405,(O405-G405),0)</f>
        <v>0</v>
      </c>
      <c r="R405">
        <v>0</v>
      </c>
      <c r="S405">
        <f>IF(Q405&gt;0,Int(P405/Q405),0)</f>
        <v>0</v>
      </c>
      <c r="T405">
        <f>0</f>
        <v>0</v>
      </c>
      <c r="U405"/>
      <c r="V405">
        <v>0</v>
      </c>
      <c r="W405">
        <v>0</v>
      </c>
      <c r="X405"/>
    </row>
    <row r="406" spans="1:27">
      <c r="A406" t="s">
        <v>35</v>
      </c>
      <c r="B406" t="s">
        <v>29</v>
      </c>
      <c r="C406" t="s">
        <v>1489</v>
      </c>
      <c r="D406" t="s">
        <v>1489</v>
      </c>
      <c r="E406" t="s">
        <v>1490</v>
      </c>
      <c r="F406" t="s">
        <v>33</v>
      </c>
      <c r="G406">
        <v>0</v>
      </c>
      <c r="H406">
        <f>((1/1000) * G406)</f>
        <v>0</v>
      </c>
      <c r="I406">
        <v>0</v>
      </c>
      <c r="J406">
        <v>0</v>
      </c>
      <c r="K406" s="1599">
        <v>0</v>
      </c>
      <c r="L406" s="1600">
        <f>(K406 * G406)</f>
        <v>0</v>
      </c>
      <c r="M406" s="1601">
        <v>0</v>
      </c>
      <c r="N406" s="1602">
        <f>(G406 * M406)</f>
        <v>0</v>
      </c>
      <c r="O406">
        <v>0</v>
      </c>
      <c r="P406">
        <v>0</v>
      </c>
      <c r="Q406">
        <f>IF(O406&gt;G406,(O406-G406),0)</f>
        <v>0</v>
      </c>
      <c r="R406">
        <v>0</v>
      </c>
      <c r="S406">
        <f>IF(Q406&gt;0,Int(P406/Q406),0)</f>
        <v>0</v>
      </c>
      <c r="T406">
        <f>0</f>
        <v>0</v>
      </c>
      <c r="U406"/>
      <c r="V406">
        <v>0</v>
      </c>
      <c r="W406">
        <v>0</v>
      </c>
      <c r="X406"/>
    </row>
    <row r="407" spans="1:27">
      <c r="A407" t="s">
        <v>35</v>
      </c>
      <c r="B407" t="s">
        <v>29</v>
      </c>
      <c r="C407" t="s">
        <v>1491</v>
      </c>
      <c r="D407" t="s">
        <v>1492</v>
      </c>
      <c r="E407" t="s">
        <v>1493</v>
      </c>
      <c r="F407" t="s">
        <v>33</v>
      </c>
      <c r="G407">
        <v>0</v>
      </c>
      <c r="H407">
        <f>((0/1000) * G407)</f>
        <v>0</v>
      </c>
      <c r="I407">
        <v>0</v>
      </c>
      <c r="J407">
        <v>0</v>
      </c>
      <c r="K407" s="1603">
        <v>77628.57</v>
      </c>
      <c r="L407" s="1604">
        <f>(K407 * G407)</f>
        <v>0</v>
      </c>
      <c r="M407" s="1605">
        <v>108680</v>
      </c>
      <c r="N407" s="1606">
        <f>(G407 * M407)</f>
        <v>0</v>
      </c>
      <c r="O407">
        <v>0</v>
      </c>
      <c r="P407">
        <v>0</v>
      </c>
      <c r="Q407">
        <f>IF(O407&gt;G407,(O407-G407),0)</f>
        <v>0</v>
      </c>
      <c r="R407">
        <v>0</v>
      </c>
      <c r="S407">
        <f>IF(Q407&gt;0,Int(P407/Q407),0)</f>
        <v>0</v>
      </c>
      <c r="T407">
        <f>0</f>
        <v>0</v>
      </c>
      <c r="U407"/>
      <c r="V407">
        <v>77628.57</v>
      </c>
      <c r="W407" t="s">
        <v>148</v>
      </c>
      <c r="X407"/>
    </row>
    <row r="408" spans="1:27">
      <c r="A408" t="s">
        <v>35</v>
      </c>
      <c r="B408" t="s">
        <v>29</v>
      </c>
      <c r="C408" t="s">
        <v>1494</v>
      </c>
      <c r="D408" t="s">
        <v>1495</v>
      </c>
      <c r="E408" t="s">
        <v>1496</v>
      </c>
      <c r="F408" t="s">
        <v>41</v>
      </c>
      <c r="G408">
        <v>9</v>
      </c>
      <c r="H408">
        <f>((0/1000) * G408)</f>
        <v>0</v>
      </c>
      <c r="I408">
        <v>0</v>
      </c>
      <c r="J408">
        <v>9</v>
      </c>
      <c r="K408" s="1607">
        <v>55300</v>
      </c>
      <c r="L408" s="1608">
        <f>(K408 * G408)</f>
        <v>497700</v>
      </c>
      <c r="M408" s="1609">
        <v>82950</v>
      </c>
      <c r="N408" s="1610">
        <f>(G408 * M408)</f>
        <v>746550</v>
      </c>
      <c r="O408">
        <v>0</v>
      </c>
      <c r="P408">
        <v>0</v>
      </c>
      <c r="Q408">
        <f>IF(O408&gt;G408,(O408-G408),0)</f>
        <v>0</v>
      </c>
      <c r="R408">
        <v>1</v>
      </c>
      <c r="S408">
        <f>IF(Q408&gt;0,Int(P408/Q408),0)</f>
        <v>0</v>
      </c>
      <c r="T408">
        <f>55300</f>
        <v>55300</v>
      </c>
      <c r="U408" t="s">
        <v>1497</v>
      </c>
      <c r="V408">
        <v>55300</v>
      </c>
      <c r="W408" t="s">
        <v>1498</v>
      </c>
      <c r="X408" t="s">
        <v>409</v>
      </c>
    </row>
    <row r="409" spans="1:27">
      <c r="A409" t="s">
        <v>35</v>
      </c>
      <c r="B409" t="s">
        <v>29</v>
      </c>
      <c r="C409" t="s">
        <v>1499</v>
      </c>
      <c r="D409" t="s">
        <v>1500</v>
      </c>
      <c r="E409" t="s">
        <v>1501</v>
      </c>
      <c r="F409" t="s">
        <v>41</v>
      </c>
      <c r="G409">
        <v>0</v>
      </c>
      <c r="H409">
        <f>((0/1000) * G409)</f>
        <v>0</v>
      </c>
      <c r="I409">
        <v>0</v>
      </c>
      <c r="J409">
        <v>0</v>
      </c>
      <c r="K409" s="1611">
        <v>113305.79</v>
      </c>
      <c r="L409" s="1612">
        <f>(K409 * G409)</f>
        <v>0</v>
      </c>
      <c r="M409" s="1613">
        <v>124636.36</v>
      </c>
      <c r="N409" s="1614">
        <f>(G409 * M409)</f>
        <v>0</v>
      </c>
      <c r="O409">
        <v>0</v>
      </c>
      <c r="P409">
        <v>0</v>
      </c>
      <c r="Q409">
        <f>IF(O409&gt;G409,(O409-G409),0)</f>
        <v>0</v>
      </c>
      <c r="R409">
        <v>1</v>
      </c>
      <c r="S409">
        <f>IF(Q409&gt;0,Int(P409/Q409),0)</f>
        <v>0</v>
      </c>
      <c r="T409">
        <f>106836.96</f>
        <v>106836.96</v>
      </c>
      <c r="U409" t="s">
        <v>1502</v>
      </c>
      <c r="V409">
        <v>113305.79</v>
      </c>
      <c r="W409" t="s">
        <v>43</v>
      </c>
      <c r="X409"/>
    </row>
    <row r="410" spans="1:27">
      <c r="A410" t="s">
        <v>35</v>
      </c>
      <c r="B410" t="s">
        <v>29</v>
      </c>
      <c r="C410" t="s">
        <v>1503</v>
      </c>
      <c r="D410" t="s">
        <v>1504</v>
      </c>
      <c r="E410" t="s">
        <v>1505</v>
      </c>
      <c r="F410" t="s">
        <v>33</v>
      </c>
      <c r="G410">
        <v>0</v>
      </c>
      <c r="H410">
        <f>((0/1000) * G410)</f>
        <v>0</v>
      </c>
      <c r="I410">
        <v>0</v>
      </c>
      <c r="J410">
        <v>0</v>
      </c>
      <c r="K410" s="1615">
        <v>93720</v>
      </c>
      <c r="L410" s="1616">
        <f>(K410 * G410)</f>
        <v>0</v>
      </c>
      <c r="M410" s="1617">
        <v>131208</v>
      </c>
      <c r="N410" s="1618">
        <f>(G410 * M410)</f>
        <v>0</v>
      </c>
      <c r="O410">
        <v>0</v>
      </c>
      <c r="P410">
        <v>0</v>
      </c>
      <c r="Q410">
        <f>IF(O410&gt;G410,(O410-G410),0)</f>
        <v>0</v>
      </c>
      <c r="R410">
        <v>1</v>
      </c>
      <c r="S410">
        <f>IF(Q410&gt;0,Int(P410/Q410),0)</f>
        <v>0</v>
      </c>
      <c r="T410">
        <f>18504.03</f>
        <v>18504.03</v>
      </c>
      <c r="U410" t="s">
        <v>1506</v>
      </c>
      <c r="V410">
        <v>93720</v>
      </c>
      <c r="W410" t="s">
        <v>75</v>
      </c>
      <c r="X410"/>
    </row>
    <row r="411" spans="1:27">
      <c r="A411" t="s">
        <v>35</v>
      </c>
      <c r="B411" t="s">
        <v>29</v>
      </c>
      <c r="C411" t="s">
        <v>1507</v>
      </c>
      <c r="D411" t="s">
        <v>1508</v>
      </c>
      <c r="E411" t="s">
        <v>1509</v>
      </c>
      <c r="F411" t="s">
        <v>33</v>
      </c>
      <c r="G411">
        <v>0</v>
      </c>
      <c r="H411">
        <f>((0/1000) * G411)</f>
        <v>0</v>
      </c>
      <c r="I411">
        <v>0</v>
      </c>
      <c r="J411">
        <v>0</v>
      </c>
      <c r="K411" s="1619">
        <v>65746.75</v>
      </c>
      <c r="L411" s="1620">
        <f>(K411 * G411)</f>
        <v>0</v>
      </c>
      <c r="M411" s="1621">
        <v>92045.45</v>
      </c>
      <c r="N411" s="1622">
        <f>(G411 * M411)</f>
        <v>0</v>
      </c>
      <c r="O411">
        <v>0</v>
      </c>
      <c r="P411">
        <v>0</v>
      </c>
      <c r="Q411">
        <f>IF(O411&gt;G411,(O411-G411),0)</f>
        <v>0</v>
      </c>
      <c r="R411">
        <v>0</v>
      </c>
      <c r="S411">
        <f>IF(Q411&gt;0,Int(P411/Q411),0)</f>
        <v>0</v>
      </c>
      <c r="T411">
        <f>0</f>
        <v>0</v>
      </c>
      <c r="U411"/>
      <c r="V411">
        <v>65746.75</v>
      </c>
      <c r="W411" t="s">
        <v>75</v>
      </c>
      <c r="X411"/>
    </row>
    <row r="412" spans="1:27">
      <c r="A412" t="s">
        <v>35</v>
      </c>
      <c r="B412" t="s">
        <v>29</v>
      </c>
      <c r="C412" t="s">
        <v>1510</v>
      </c>
      <c r="D412" t="s">
        <v>1511</v>
      </c>
      <c r="E412" t="s">
        <v>1512</v>
      </c>
      <c r="F412" t="s">
        <v>41</v>
      </c>
      <c r="G412">
        <v>0</v>
      </c>
      <c r="H412">
        <f>((0/1000) * G412)</f>
        <v>0</v>
      </c>
      <c r="I412">
        <v>0</v>
      </c>
      <c r="J412">
        <v>0</v>
      </c>
      <c r="K412" s="1623">
        <v>97603.31</v>
      </c>
      <c r="L412" s="1624">
        <f>(K412 * G412)</f>
        <v>0</v>
      </c>
      <c r="M412" s="1625">
        <v>107363.64</v>
      </c>
      <c r="N412" s="1626">
        <f>(G412 * M412)</f>
        <v>0</v>
      </c>
      <c r="O412">
        <v>0</v>
      </c>
      <c r="P412">
        <v>0</v>
      </c>
      <c r="Q412">
        <f>IF(O412&gt;G412,(O412-G412),0)</f>
        <v>0</v>
      </c>
      <c r="R412">
        <v>1</v>
      </c>
      <c r="S412">
        <f>IF(Q412&gt;0,Int(P412/Q412),0)</f>
        <v>0</v>
      </c>
      <c r="T412">
        <f>88730.28</f>
        <v>88730.28</v>
      </c>
      <c r="U412" t="s">
        <v>1513</v>
      </c>
      <c r="V412">
        <v>97603.31</v>
      </c>
      <c r="W412" t="s">
        <v>43</v>
      </c>
      <c r="X412"/>
    </row>
    <row r="413" spans="1:27">
      <c r="A413" t="s">
        <v>35</v>
      </c>
      <c r="B413" t="s">
        <v>29</v>
      </c>
      <c r="C413" t="s">
        <v>1514</v>
      </c>
      <c r="D413" t="s">
        <v>1515</v>
      </c>
      <c r="E413" t="s">
        <v>1516</v>
      </c>
      <c r="F413" t="s">
        <v>33</v>
      </c>
      <c r="G413">
        <v>0</v>
      </c>
      <c r="H413">
        <f>((0/1000) * G413)</f>
        <v>0</v>
      </c>
      <c r="I413">
        <v>0</v>
      </c>
      <c r="J413">
        <v>0</v>
      </c>
      <c r="K413" s="1627">
        <v>63685.45</v>
      </c>
      <c r="L413" s="1628">
        <f>(K413 * G413)</f>
        <v>0</v>
      </c>
      <c r="M413" s="1629">
        <v>89159.63</v>
      </c>
      <c r="N413" s="1630">
        <f>(G413 * M413)</f>
        <v>0</v>
      </c>
      <c r="O413">
        <v>0</v>
      </c>
      <c r="P413">
        <v>0</v>
      </c>
      <c r="Q413">
        <f>IF(O413&gt;G413,(O413-G413),0)</f>
        <v>0</v>
      </c>
      <c r="R413">
        <v>1</v>
      </c>
      <c r="S413">
        <f>IF(Q413&gt;0,Int(P413/Q413),0)</f>
        <v>0</v>
      </c>
      <c r="T413">
        <f>0</f>
        <v>0</v>
      </c>
      <c r="U413"/>
      <c r="V413">
        <v>63685.45</v>
      </c>
      <c r="W413" t="s">
        <v>75</v>
      </c>
      <c r="X413"/>
    </row>
    <row r="414" spans="1:27">
      <c r="A414" t="s">
        <v>35</v>
      </c>
      <c r="B414" t="s">
        <v>29</v>
      </c>
      <c r="C414" t="s">
        <v>1517</v>
      </c>
      <c r="D414" t="s">
        <v>1518</v>
      </c>
      <c r="E414" t="s">
        <v>1519</v>
      </c>
      <c r="F414" t="s">
        <v>33</v>
      </c>
      <c r="G414">
        <v>0</v>
      </c>
      <c r="H414">
        <f>((0/1000) * G414)</f>
        <v>0</v>
      </c>
      <c r="I414">
        <v>0</v>
      </c>
      <c r="J414">
        <v>0</v>
      </c>
      <c r="K414" s="1631">
        <v>96741.26</v>
      </c>
      <c r="L414" s="1632">
        <f>(K414 * G414)</f>
        <v>0</v>
      </c>
      <c r="M414" s="1633">
        <v>106415.38</v>
      </c>
      <c r="N414" s="1634">
        <f>(G414 * M414)</f>
        <v>0</v>
      </c>
      <c r="O414">
        <v>0</v>
      </c>
      <c r="P414">
        <v>0</v>
      </c>
      <c r="Q414">
        <f>IF(O414&gt;G414,(O414-G414),0)</f>
        <v>0</v>
      </c>
      <c r="R414">
        <v>1</v>
      </c>
      <c r="S414">
        <f>IF(Q414&gt;0,Int(P414/Q414),0)</f>
        <v>0</v>
      </c>
      <c r="T414">
        <f>87946.6</f>
        <v>87946.6</v>
      </c>
      <c r="U414" t="s">
        <v>1520</v>
      </c>
      <c r="V414">
        <v>96741.26</v>
      </c>
      <c r="W414" t="s">
        <v>43</v>
      </c>
      <c r="X414"/>
    </row>
    <row r="415" spans="1:27">
      <c r="A415" t="s">
        <v>28</v>
      </c>
      <c r="B415" t="s">
        <v>29</v>
      </c>
      <c r="C415" t="s">
        <v>1521</v>
      </c>
      <c r="D415" t="s">
        <v>1522</v>
      </c>
      <c r="E415" t="s">
        <v>1523</v>
      </c>
      <c r="F415" t="s">
        <v>41</v>
      </c>
      <c r="G415">
        <v>0</v>
      </c>
      <c r="H415">
        <f>((0/1000) * G415)</f>
        <v>0</v>
      </c>
      <c r="I415">
        <v>0</v>
      </c>
      <c r="J415">
        <v>0</v>
      </c>
      <c r="K415" s="1635">
        <v>16968.33</v>
      </c>
      <c r="L415" s="1636">
        <f>(K415 * G415)</f>
        <v>0</v>
      </c>
      <c r="M415" s="1637">
        <v>18665.16</v>
      </c>
      <c r="N415" s="1638">
        <f>(G415 * M415)</f>
        <v>0</v>
      </c>
      <c r="O415">
        <v>0</v>
      </c>
      <c r="P415">
        <v>0</v>
      </c>
      <c r="Q415">
        <f>IF(O415&gt;G415,(O415-G415),0)</f>
        <v>0</v>
      </c>
      <c r="R415">
        <v>0</v>
      </c>
      <c r="S415">
        <f>IF(Q415&gt;0,Int(P415/Q415),0)</f>
        <v>0</v>
      </c>
      <c r="T415">
        <f>0</f>
        <v>0</v>
      </c>
      <c r="U415"/>
      <c r="V415">
        <v>16968.33</v>
      </c>
      <c r="W415" t="s">
        <v>43</v>
      </c>
      <c r="X415"/>
    </row>
    <row r="416" spans="1:27">
      <c r="A416" t="s">
        <v>28</v>
      </c>
      <c r="B416" t="s">
        <v>29</v>
      </c>
      <c r="C416" t="s">
        <v>1524</v>
      </c>
      <c r="D416" t="s">
        <v>1525</v>
      </c>
      <c r="E416" t="s">
        <v>1526</v>
      </c>
      <c r="F416" t="s">
        <v>33</v>
      </c>
      <c r="G416">
        <v>0</v>
      </c>
      <c r="H416">
        <f>((0/1000) * G416)</f>
        <v>0</v>
      </c>
      <c r="I416">
        <v>0</v>
      </c>
      <c r="J416">
        <v>0</v>
      </c>
      <c r="K416" s="1639">
        <v>201705.31</v>
      </c>
      <c r="L416" s="1640">
        <f>(K416 * G416)</f>
        <v>0</v>
      </c>
      <c r="M416" s="1641">
        <v>282387.43</v>
      </c>
      <c r="N416" s="1642">
        <f>(G416 * M416)</f>
        <v>0</v>
      </c>
      <c r="O416">
        <v>0</v>
      </c>
      <c r="P416">
        <v>0</v>
      </c>
      <c r="Q416">
        <f>IF(O416&gt;G416,(O416-G416),0)</f>
        <v>0</v>
      </c>
      <c r="R416">
        <v>1</v>
      </c>
      <c r="S416">
        <f>IF(Q416&gt;0,Int(P416/Q416),0)</f>
        <v>0</v>
      </c>
      <c r="T416">
        <f>0</f>
        <v>0</v>
      </c>
      <c r="U416"/>
      <c r="V416">
        <v>201705.31</v>
      </c>
      <c r="W416" t="s">
        <v>274</v>
      </c>
      <c r="X416"/>
    </row>
    <row r="417" spans="1:27">
      <c r="A417" t="s">
        <v>28</v>
      </c>
      <c r="B417" t="s">
        <v>29</v>
      </c>
      <c r="C417" t="s">
        <v>1527</v>
      </c>
      <c r="D417" t="s">
        <v>1528</v>
      </c>
      <c r="E417" t="s">
        <v>1529</v>
      </c>
      <c r="F417" t="s">
        <v>33</v>
      </c>
      <c r="G417">
        <v>0</v>
      </c>
      <c r="H417">
        <f>((0/1000) * G417)</f>
        <v>0</v>
      </c>
      <c r="I417">
        <v>0</v>
      </c>
      <c r="J417">
        <v>0</v>
      </c>
      <c r="K417" s="1643">
        <v>159500</v>
      </c>
      <c r="L417" s="1644">
        <f>(K417 * G417)</f>
        <v>0</v>
      </c>
      <c r="M417" s="1645">
        <v>223300</v>
      </c>
      <c r="N417" s="1646">
        <f>(G417 * M417)</f>
        <v>0</v>
      </c>
      <c r="O417">
        <v>0</v>
      </c>
      <c r="P417">
        <v>0</v>
      </c>
      <c r="Q417">
        <f>IF(O417&gt;G417,(O417-G417),0)</f>
        <v>0</v>
      </c>
      <c r="R417">
        <v>1</v>
      </c>
      <c r="S417">
        <f>IF(Q417&gt;0,Int(P417/Q417),0)</f>
        <v>0</v>
      </c>
      <c r="T417">
        <f>0</f>
        <v>0</v>
      </c>
      <c r="U417"/>
      <c r="V417">
        <v>159500</v>
      </c>
      <c r="W417" t="s">
        <v>43</v>
      </c>
      <c r="X417"/>
    </row>
    <row r="418" spans="1:27">
      <c r="A418" t="s">
        <v>28</v>
      </c>
      <c r="B418" t="s">
        <v>29</v>
      </c>
      <c r="C418" t="s">
        <v>1530</v>
      </c>
      <c r="D418" t="s">
        <v>1531</v>
      </c>
      <c r="E418" t="s">
        <v>1532</v>
      </c>
      <c r="F418" t="s">
        <v>33</v>
      </c>
      <c r="G418">
        <v>0</v>
      </c>
      <c r="H418">
        <f>((0/1000) * G418)</f>
        <v>0</v>
      </c>
      <c r="I418">
        <v>0</v>
      </c>
      <c r="J418">
        <v>0</v>
      </c>
      <c r="K418" s="1647">
        <v>188016.53</v>
      </c>
      <c r="L418" s="1648">
        <f>(K418 * G418)</f>
        <v>0</v>
      </c>
      <c r="M418" s="1649">
        <v>206818.18</v>
      </c>
      <c r="N418" s="1650">
        <f>(G418 * M418)</f>
        <v>0</v>
      </c>
      <c r="O418">
        <v>0</v>
      </c>
      <c r="P418">
        <v>0</v>
      </c>
      <c r="Q418">
        <f>IF(O418&gt;G418,(O418-G418),0)</f>
        <v>0</v>
      </c>
      <c r="R418">
        <v>1</v>
      </c>
      <c r="S418">
        <f>IF(Q418&gt;0,Int(P418/Q418),0)</f>
        <v>0</v>
      </c>
      <c r="T418">
        <f>109308.79</f>
        <v>109308.79</v>
      </c>
      <c r="U418" t="s">
        <v>1533</v>
      </c>
      <c r="V418">
        <v>188016.53</v>
      </c>
      <c r="W418" t="s">
        <v>43</v>
      </c>
      <c r="X418"/>
    </row>
    <row r="419" spans="1:27">
      <c r="A419" t="s">
        <v>35</v>
      </c>
      <c r="B419" t="s">
        <v>29</v>
      </c>
      <c r="C419" t="s">
        <v>1534</v>
      </c>
      <c r="D419" t="s">
        <v>1535</v>
      </c>
      <c r="E419" t="s">
        <v>1536</v>
      </c>
      <c r="F419" t="s">
        <v>41</v>
      </c>
      <c r="G419">
        <v>7</v>
      </c>
      <c r="H419">
        <f>((0/1000) * G419)</f>
        <v>0</v>
      </c>
      <c r="I419">
        <v>0</v>
      </c>
      <c r="J419">
        <v>7</v>
      </c>
      <c r="K419" s="1651">
        <v>86775</v>
      </c>
      <c r="L419" s="1652">
        <f>(K419 * G419)</f>
        <v>607425</v>
      </c>
      <c r="M419" s="1653">
        <v>157024.79</v>
      </c>
      <c r="N419" s="1654">
        <f>(G419 * M419)</f>
        <v>1099173.53</v>
      </c>
      <c r="O419">
        <v>0</v>
      </c>
      <c r="P419">
        <v>0</v>
      </c>
      <c r="Q419">
        <f>IF(O419&gt;G419,(O419-G419),0)</f>
        <v>0</v>
      </c>
      <c r="R419">
        <v>0</v>
      </c>
      <c r="S419">
        <f>IF(Q419&gt;0,Int(P419/Q419),0)</f>
        <v>0</v>
      </c>
      <c r="T419">
        <f>86775</f>
        <v>86775</v>
      </c>
      <c r="U419" t="s">
        <v>993</v>
      </c>
      <c r="V419">
        <v>86775</v>
      </c>
      <c r="W419" t="s">
        <v>123</v>
      </c>
      <c r="X419" t="s">
        <v>49</v>
      </c>
    </row>
    <row r="420" spans="1:27">
      <c r="A420" t="s">
        <v>28</v>
      </c>
      <c r="B420" t="s">
        <v>29</v>
      </c>
      <c r="C420" t="s">
        <v>1537</v>
      </c>
      <c r="D420" t="s">
        <v>1538</v>
      </c>
      <c r="E420" t="s">
        <v>1539</v>
      </c>
      <c r="F420" t="s">
        <v>41</v>
      </c>
      <c r="G420">
        <v>0</v>
      </c>
      <c r="H420">
        <f>((0/1000) * G420)</f>
        <v>0</v>
      </c>
      <c r="I420">
        <v>0</v>
      </c>
      <c r="J420">
        <v>0</v>
      </c>
      <c r="K420" s="1655">
        <v>139669.42</v>
      </c>
      <c r="L420" s="1656">
        <f>(K420 * G420)</f>
        <v>0</v>
      </c>
      <c r="M420" s="1657">
        <v>195537.19</v>
      </c>
      <c r="N420" s="1658">
        <f>(G420 * M420)</f>
        <v>0</v>
      </c>
      <c r="O420">
        <v>0</v>
      </c>
      <c r="P420">
        <v>0</v>
      </c>
      <c r="Q420">
        <f>IF(O420&gt;G420,(O420-G420),0)</f>
        <v>0</v>
      </c>
      <c r="R420">
        <v>1</v>
      </c>
      <c r="S420">
        <f>IF(Q420&gt;0,Int(P420/Q420),0)</f>
        <v>0</v>
      </c>
      <c r="T420">
        <f>126972.2</f>
        <v>126972.2</v>
      </c>
      <c r="U420" t="s">
        <v>1540</v>
      </c>
      <c r="V420">
        <v>139669.42</v>
      </c>
      <c r="W420" t="s">
        <v>75</v>
      </c>
      <c r="X420"/>
    </row>
    <row r="421" spans="1:27">
      <c r="A421" t="s">
        <v>35</v>
      </c>
      <c r="B421" t="s">
        <v>29</v>
      </c>
      <c r="C421" t="s">
        <v>1541</v>
      </c>
      <c r="D421" t="s">
        <v>1542</v>
      </c>
      <c r="E421" t="s">
        <v>1543</v>
      </c>
      <c r="F421" t="s">
        <v>33</v>
      </c>
      <c r="G421">
        <v>0</v>
      </c>
      <c r="H421">
        <f>((1/1000) * G421)</f>
        <v>0</v>
      </c>
      <c r="I421">
        <v>0</v>
      </c>
      <c r="J421">
        <v>0</v>
      </c>
      <c r="K421" s="1659">
        <v>97564.94</v>
      </c>
      <c r="L421" s="1660">
        <f>(K421 * G421)</f>
        <v>0</v>
      </c>
      <c r="M421" s="1661">
        <v>136590.92</v>
      </c>
      <c r="N421" s="1662">
        <f>(G421 * M421)</f>
        <v>0</v>
      </c>
      <c r="O421">
        <v>0</v>
      </c>
      <c r="P421">
        <v>0</v>
      </c>
      <c r="Q421">
        <f>IF(O421&gt;G421,(O421-G421),0)</f>
        <v>0</v>
      </c>
      <c r="R421">
        <v>1</v>
      </c>
      <c r="S421">
        <f>IF(Q421&gt;0,Int(P421/Q421),0)</f>
        <v>0</v>
      </c>
      <c r="T421">
        <f>0</f>
        <v>0</v>
      </c>
      <c r="U421"/>
      <c r="V421">
        <v>97564.94</v>
      </c>
      <c r="W421" t="s">
        <v>75</v>
      </c>
      <c r="X421"/>
    </row>
    <row r="422" spans="1:27">
      <c r="A422" t="s">
        <v>28</v>
      </c>
      <c r="B422" t="s">
        <v>29</v>
      </c>
      <c r="C422" t="s">
        <v>1544</v>
      </c>
      <c r="D422" t="s">
        <v>1545</v>
      </c>
      <c r="E422" t="s">
        <v>1546</v>
      </c>
      <c r="F422" t="s">
        <v>41</v>
      </c>
      <c r="G422">
        <v>0</v>
      </c>
      <c r="H422">
        <f>((0/1000) * G422)</f>
        <v>0</v>
      </c>
      <c r="I422">
        <v>0</v>
      </c>
      <c r="J422">
        <v>0</v>
      </c>
      <c r="K422" s="1663">
        <v>166875.5</v>
      </c>
      <c r="L422" s="1664">
        <f>(K422 * G422)</f>
        <v>0</v>
      </c>
      <c r="M422" s="1665">
        <v>233625.7</v>
      </c>
      <c r="N422" s="1666">
        <f>(G422 * M422)</f>
        <v>0</v>
      </c>
      <c r="O422">
        <v>0</v>
      </c>
      <c r="P422">
        <v>0</v>
      </c>
      <c r="Q422">
        <f>IF(O422&gt;G422,(O422-G422),0)</f>
        <v>0</v>
      </c>
      <c r="R422">
        <v>1</v>
      </c>
      <c r="S422">
        <f>IF(Q422&gt;0,Int(P422/Q422),0)</f>
        <v>0</v>
      </c>
      <c r="T422">
        <f>210210.37</f>
        <v>210210.37</v>
      </c>
      <c r="U422" t="s">
        <v>1547</v>
      </c>
      <c r="V422">
        <v>166875.5</v>
      </c>
      <c r="W422" t="s">
        <v>43</v>
      </c>
      <c r="X422"/>
    </row>
    <row r="423" spans="1:27">
      <c r="A423" t="s">
        <v>28</v>
      </c>
      <c r="B423" t="s">
        <v>29</v>
      </c>
      <c r="C423" t="s">
        <v>1548</v>
      </c>
      <c r="D423" t="s">
        <v>1549</v>
      </c>
      <c r="E423" t="s">
        <v>1550</v>
      </c>
      <c r="F423" t="s">
        <v>41</v>
      </c>
      <c r="G423">
        <v>1</v>
      </c>
      <c r="H423">
        <f>((0/1000) * G423)</f>
        <v>0</v>
      </c>
      <c r="I423">
        <v>1</v>
      </c>
      <c r="J423">
        <v>0</v>
      </c>
      <c r="K423" s="1667">
        <v>221627.96</v>
      </c>
      <c r="L423" s="1668">
        <f>(K423 * G423)</f>
        <v>221627.96</v>
      </c>
      <c r="M423" s="1669">
        <v>310279.14</v>
      </c>
      <c r="N423" s="1670">
        <f>(G423 * M423)</f>
        <v>310279.14</v>
      </c>
      <c r="O423">
        <v>0</v>
      </c>
      <c r="P423">
        <v>0</v>
      </c>
      <c r="Q423">
        <f>IF(O423&gt;G423,(O423-G423),0)</f>
        <v>0</v>
      </c>
      <c r="R423">
        <v>1</v>
      </c>
      <c r="S423">
        <f>IF(Q423&gt;0,Int(P423/Q423),0)</f>
        <v>0</v>
      </c>
      <c r="T423">
        <f>189750.08</f>
        <v>189750.08</v>
      </c>
      <c r="U423" t="s">
        <v>1551</v>
      </c>
      <c r="V423">
        <v>221627.96</v>
      </c>
      <c r="W423" t="s">
        <v>182</v>
      </c>
      <c r="X423"/>
    </row>
    <row r="424" spans="1:27">
      <c r="A424" t="s">
        <v>28</v>
      </c>
      <c r="B424" t="s">
        <v>29</v>
      </c>
      <c r="C424" t="s">
        <v>1552</v>
      </c>
      <c r="D424" t="s">
        <v>1553</v>
      </c>
      <c r="E424" t="s">
        <v>1554</v>
      </c>
      <c r="F424" t="s">
        <v>41</v>
      </c>
      <c r="G424">
        <v>0</v>
      </c>
      <c r="H424">
        <f>((0/1000) * G424)</f>
        <v>0</v>
      </c>
      <c r="I424">
        <v>0</v>
      </c>
      <c r="J424">
        <v>0</v>
      </c>
      <c r="K424" s="1671">
        <v>155920</v>
      </c>
      <c r="L424" s="1672">
        <f>(K424 * G424)</f>
        <v>0</v>
      </c>
      <c r="M424" s="1673">
        <v>265064</v>
      </c>
      <c r="N424" s="1674">
        <f>(G424 * M424)</f>
        <v>0</v>
      </c>
      <c r="O424">
        <v>0</v>
      </c>
      <c r="P424">
        <v>0</v>
      </c>
      <c r="Q424">
        <f>IF(O424&gt;G424,(O424-G424),0)</f>
        <v>0</v>
      </c>
      <c r="R424">
        <v>1</v>
      </c>
      <c r="S424">
        <f>IF(Q424&gt;0,Int(P424/Q424),0)</f>
        <v>0</v>
      </c>
      <c r="T424">
        <f>218264.46</f>
        <v>218264.46</v>
      </c>
      <c r="U424" t="s">
        <v>1555</v>
      </c>
      <c r="V424">
        <v>155920</v>
      </c>
      <c r="W424" t="s">
        <v>651</v>
      </c>
      <c r="X424"/>
    </row>
    <row r="425" spans="1:27">
      <c r="A425" t="s">
        <v>28</v>
      </c>
      <c r="B425" t="s">
        <v>29</v>
      </c>
      <c r="C425" t="s">
        <v>1556</v>
      </c>
      <c r="D425" t="s">
        <v>1557</v>
      </c>
      <c r="E425" t="s">
        <v>1558</v>
      </c>
      <c r="F425" t="s">
        <v>41</v>
      </c>
      <c r="G425">
        <v>5</v>
      </c>
      <c r="H425">
        <f>((0/1000) * G425)</f>
        <v>0</v>
      </c>
      <c r="I425">
        <v>0</v>
      </c>
      <c r="J425">
        <v>5</v>
      </c>
      <c r="K425" s="1675">
        <v>91000</v>
      </c>
      <c r="L425" s="1676">
        <f>(K425 * G425)</f>
        <v>455000</v>
      </c>
      <c r="M425" s="1677">
        <v>145600</v>
      </c>
      <c r="N425" s="1678">
        <f>(G425 * M425)</f>
        <v>728000</v>
      </c>
      <c r="O425">
        <v>0</v>
      </c>
      <c r="P425">
        <v>0</v>
      </c>
      <c r="Q425">
        <f>IF(O425&gt;G425,(O425-G425),0)</f>
        <v>0</v>
      </c>
      <c r="R425">
        <v>1</v>
      </c>
      <c r="S425">
        <f>IF(Q425&gt;0,Int(P425/Q425),0)</f>
        <v>0</v>
      </c>
      <c r="T425">
        <f>91000</f>
        <v>91000</v>
      </c>
      <c r="U425" t="s">
        <v>1559</v>
      </c>
      <c r="V425">
        <v>91000</v>
      </c>
      <c r="W425" t="s">
        <v>54</v>
      </c>
      <c r="X425" t="s">
        <v>1560</v>
      </c>
    </row>
    <row r="426" spans="1:27">
      <c r="A426" t="s">
        <v>28</v>
      </c>
      <c r="B426" t="s">
        <v>29</v>
      </c>
      <c r="C426" t="s">
        <v>1561</v>
      </c>
      <c r="D426" t="s">
        <v>1562</v>
      </c>
      <c r="E426" t="s">
        <v>1563</v>
      </c>
      <c r="F426" t="s">
        <v>33</v>
      </c>
      <c r="G426">
        <v>0</v>
      </c>
      <c r="H426">
        <f>((0/1000) * G426)</f>
        <v>0</v>
      </c>
      <c r="I426">
        <v>0</v>
      </c>
      <c r="J426">
        <v>0</v>
      </c>
      <c r="K426" s="1679">
        <v>132396.69</v>
      </c>
      <c r="L426" s="1680">
        <f>(K426 * G426)</f>
        <v>0</v>
      </c>
      <c r="M426" s="1681">
        <v>185355.37</v>
      </c>
      <c r="N426" s="1682">
        <f>(G426 * M426)</f>
        <v>0</v>
      </c>
      <c r="O426">
        <v>0</v>
      </c>
      <c r="P426">
        <v>0</v>
      </c>
      <c r="Q426">
        <f>IF(O426&gt;G426,(O426-G426),0)</f>
        <v>0</v>
      </c>
      <c r="R426">
        <v>1</v>
      </c>
      <c r="S426">
        <f>IF(Q426&gt;0,Int(P426/Q426),0)</f>
        <v>0</v>
      </c>
      <c r="T426">
        <f>0</f>
        <v>0</v>
      </c>
      <c r="U426" t="s">
        <v>1564</v>
      </c>
      <c r="V426">
        <v>132396.69</v>
      </c>
      <c r="W426" t="s">
        <v>75</v>
      </c>
      <c r="X426"/>
    </row>
    <row r="427" spans="1:27">
      <c r="A427" t="s">
        <v>28</v>
      </c>
      <c r="B427" t="s">
        <v>29</v>
      </c>
      <c r="C427" t="s">
        <v>1565</v>
      </c>
      <c r="D427" t="s">
        <v>1566</v>
      </c>
      <c r="E427" t="s">
        <v>1567</v>
      </c>
      <c r="F427" t="s">
        <v>41</v>
      </c>
      <c r="G427">
        <v>1</v>
      </c>
      <c r="H427">
        <f>((0/1000) * G427)</f>
        <v>0</v>
      </c>
      <c r="I427">
        <v>0</v>
      </c>
      <c r="J427">
        <v>1</v>
      </c>
      <c r="K427" s="1683">
        <v>92000</v>
      </c>
      <c r="L427" s="1684">
        <f>(K427 * G427)</f>
        <v>92000</v>
      </c>
      <c r="M427" s="1685">
        <v>138000</v>
      </c>
      <c r="N427" s="1686">
        <f>(G427 * M427)</f>
        <v>138000</v>
      </c>
      <c r="O427">
        <v>0</v>
      </c>
      <c r="P427">
        <v>0</v>
      </c>
      <c r="Q427">
        <f>IF(O427&gt;G427,(O427-G427),0)</f>
        <v>0</v>
      </c>
      <c r="R427">
        <v>1</v>
      </c>
      <c r="S427">
        <f>IF(Q427&gt;0,Int(P427/Q427),0)</f>
        <v>0</v>
      </c>
      <c r="T427">
        <f>170529.67</f>
        <v>170529.67</v>
      </c>
      <c r="U427" t="s">
        <v>1568</v>
      </c>
      <c r="V427">
        <v>92000</v>
      </c>
      <c r="W427" t="s">
        <v>1498</v>
      </c>
      <c r="X427" t="s">
        <v>166</v>
      </c>
    </row>
    <row r="428" spans="1:27">
      <c r="A428" t="s">
        <v>35</v>
      </c>
      <c r="B428" t="s">
        <v>29</v>
      </c>
      <c r="C428" t="s">
        <v>1569</v>
      </c>
      <c r="D428" t="s">
        <v>1570</v>
      </c>
      <c r="E428" t="s">
        <v>1571</v>
      </c>
      <c r="F428" t="s">
        <v>33</v>
      </c>
      <c r="G428">
        <v>0</v>
      </c>
      <c r="H428">
        <f>((0/1000) * G428)</f>
        <v>0</v>
      </c>
      <c r="I428">
        <v>0</v>
      </c>
      <c r="J428">
        <v>0</v>
      </c>
      <c r="K428" s="1687">
        <v>192207.72</v>
      </c>
      <c r="L428" s="1688">
        <f>(K428 * G428)</f>
        <v>0</v>
      </c>
      <c r="M428" s="1689">
        <v>269090.81</v>
      </c>
      <c r="N428" s="1690">
        <f>(G428 * M428)</f>
        <v>0</v>
      </c>
      <c r="O428">
        <v>0</v>
      </c>
      <c r="P428">
        <v>0</v>
      </c>
      <c r="Q428">
        <f>IF(O428&gt;G428,(O428-G428),0)</f>
        <v>0</v>
      </c>
      <c r="R428">
        <v>1</v>
      </c>
      <c r="S428">
        <f>IF(Q428&gt;0,Int(P428/Q428),0)</f>
        <v>0</v>
      </c>
      <c r="T428">
        <f>37307.2</f>
        <v>37307.2</v>
      </c>
      <c r="U428" t="s">
        <v>1572</v>
      </c>
      <c r="V428">
        <v>192207.72</v>
      </c>
      <c r="W428" t="s">
        <v>75</v>
      </c>
      <c r="X428"/>
    </row>
    <row r="429" spans="1:27">
      <c r="A429" t="s">
        <v>28</v>
      </c>
      <c r="B429" t="s">
        <v>29</v>
      </c>
      <c r="C429" t="s">
        <v>1573</v>
      </c>
      <c r="D429" t="s">
        <v>1574</v>
      </c>
      <c r="E429" t="s">
        <v>1575</v>
      </c>
      <c r="F429" t="s">
        <v>33</v>
      </c>
      <c r="G429">
        <v>0</v>
      </c>
      <c r="H429">
        <f>((0/1000) * G429)</f>
        <v>0</v>
      </c>
      <c r="I429">
        <v>0</v>
      </c>
      <c r="J429">
        <v>0</v>
      </c>
      <c r="K429" s="1691">
        <v>113488.57</v>
      </c>
      <c r="L429" s="1692">
        <f>(K429 * G429)</f>
        <v>0</v>
      </c>
      <c r="M429" s="1693">
        <v>158884</v>
      </c>
      <c r="N429" s="1694">
        <f>(G429 * M429)</f>
        <v>0</v>
      </c>
      <c r="O429">
        <v>0</v>
      </c>
      <c r="P429">
        <v>0</v>
      </c>
      <c r="Q429">
        <f>IF(O429&gt;G429,(O429-G429),0)</f>
        <v>0</v>
      </c>
      <c r="R429">
        <v>1</v>
      </c>
      <c r="S429">
        <f>IF(Q429&gt;0,Int(P429/Q429),0)</f>
        <v>0</v>
      </c>
      <c r="T429">
        <f>0</f>
        <v>0</v>
      </c>
      <c r="U429"/>
      <c r="V429">
        <v>113488.57</v>
      </c>
      <c r="W429" t="s">
        <v>75</v>
      </c>
      <c r="X429"/>
    </row>
    <row r="430" spans="1:27">
      <c r="A430" t="s">
        <v>35</v>
      </c>
      <c r="B430" t="s">
        <v>29</v>
      </c>
      <c r="C430" t="s">
        <v>1576</v>
      </c>
      <c r="D430" t="s">
        <v>1577</v>
      </c>
      <c r="E430" t="s">
        <v>1578</v>
      </c>
      <c r="F430" t="s">
        <v>33</v>
      </c>
      <c r="G430">
        <v>0</v>
      </c>
      <c r="H430">
        <f>((0/1000) * G430)</f>
        <v>0</v>
      </c>
      <c r="I430">
        <v>0</v>
      </c>
      <c r="J430">
        <v>0</v>
      </c>
      <c r="K430" s="1695">
        <v>142214.29</v>
      </c>
      <c r="L430" s="1696">
        <f>(K430 * G430)</f>
        <v>0</v>
      </c>
      <c r="M430" s="1697">
        <v>199100</v>
      </c>
      <c r="N430" s="1698">
        <f>(G430 * M430)</f>
        <v>0</v>
      </c>
      <c r="O430">
        <v>0</v>
      </c>
      <c r="P430">
        <v>0</v>
      </c>
      <c r="Q430">
        <f>IF(O430&gt;G430,(O430-G430),0)</f>
        <v>0</v>
      </c>
      <c r="R430">
        <v>1</v>
      </c>
      <c r="S430">
        <f>IF(Q430&gt;0,Int(P430/Q430),0)</f>
        <v>0</v>
      </c>
      <c r="T430">
        <f>0</f>
        <v>0</v>
      </c>
      <c r="U430"/>
      <c r="V430">
        <v>142214.29</v>
      </c>
      <c r="W430" t="s">
        <v>75</v>
      </c>
      <c r="X430"/>
    </row>
    <row r="431" spans="1:27">
      <c r="A431" t="s">
        <v>35</v>
      </c>
      <c r="B431" t="s">
        <v>29</v>
      </c>
      <c r="C431" t="s">
        <v>1579</v>
      </c>
      <c r="D431" t="s">
        <v>1580</v>
      </c>
      <c r="E431" t="s">
        <v>1581</v>
      </c>
      <c r="F431" t="s">
        <v>33</v>
      </c>
      <c r="G431">
        <v>0</v>
      </c>
      <c r="H431">
        <f>((0/1000) * G431)</f>
        <v>0</v>
      </c>
      <c r="I431">
        <v>0</v>
      </c>
      <c r="J431">
        <v>0</v>
      </c>
      <c r="K431" s="1699">
        <v>97410.97</v>
      </c>
      <c r="L431" s="1700">
        <f>(K431 * G431)</f>
        <v>0</v>
      </c>
      <c r="M431" s="1701">
        <v>136375.36</v>
      </c>
      <c r="N431" s="1702">
        <f>(G431 * M431)</f>
        <v>0</v>
      </c>
      <c r="O431">
        <v>0</v>
      </c>
      <c r="P431">
        <v>0</v>
      </c>
      <c r="Q431">
        <f>IF(O431&gt;G431,(O431-G431),0)</f>
        <v>0</v>
      </c>
      <c r="R431">
        <v>1</v>
      </c>
      <c r="S431">
        <f>IF(Q431&gt;0,Int(P431/Q431),0)</f>
        <v>0</v>
      </c>
      <c r="T431">
        <f>0</f>
        <v>0</v>
      </c>
      <c r="U431"/>
      <c r="V431">
        <v>97410.97</v>
      </c>
      <c r="W431" t="s">
        <v>75</v>
      </c>
      <c r="X431"/>
    </row>
    <row r="432" spans="1:27">
      <c r="A432" t="s">
        <v>28</v>
      </c>
      <c r="B432" t="s">
        <v>29</v>
      </c>
      <c r="C432" t="s">
        <v>1582</v>
      </c>
      <c r="D432" t="s">
        <v>1583</v>
      </c>
      <c r="E432" t="s">
        <v>1584</v>
      </c>
      <c r="F432" t="s">
        <v>41</v>
      </c>
      <c r="G432">
        <v>2</v>
      </c>
      <c r="H432">
        <f>((1/1000) * G432)</f>
        <v>0.002</v>
      </c>
      <c r="I432">
        <v>0</v>
      </c>
      <c r="J432">
        <v>2</v>
      </c>
      <c r="K432" s="1703">
        <v>89660</v>
      </c>
      <c r="L432" s="1704">
        <f>(K432 * G432)</f>
        <v>179320</v>
      </c>
      <c r="M432" s="1705">
        <v>152422</v>
      </c>
      <c r="N432" s="1706">
        <f>(G432 * M432)</f>
        <v>304844</v>
      </c>
      <c r="O432">
        <v>0</v>
      </c>
      <c r="P432">
        <v>0</v>
      </c>
      <c r="Q432">
        <f>IF(O432&gt;G432,(O432-G432),0)</f>
        <v>0</v>
      </c>
      <c r="R432">
        <v>1</v>
      </c>
      <c r="S432">
        <f>IF(Q432&gt;0,Int(P432/Q432),0)</f>
        <v>0</v>
      </c>
      <c r="T432">
        <f>85390</f>
        <v>85390</v>
      </c>
      <c r="U432" t="s">
        <v>1585</v>
      </c>
      <c r="V432">
        <v>89660</v>
      </c>
      <c r="W432" t="s">
        <v>423</v>
      </c>
      <c r="X432" t="s">
        <v>280</v>
      </c>
    </row>
    <row r="433" spans="1:27">
      <c r="A433" t="s">
        <v>28</v>
      </c>
      <c r="B433" t="s">
        <v>29</v>
      </c>
      <c r="C433" t="s">
        <v>1586</v>
      </c>
      <c r="D433" t="s">
        <v>1587</v>
      </c>
      <c r="E433" t="s">
        <v>1588</v>
      </c>
      <c r="F433" t="s">
        <v>41</v>
      </c>
      <c r="G433">
        <v>1</v>
      </c>
      <c r="H433">
        <f>((0/1000) * G433)</f>
        <v>0</v>
      </c>
      <c r="I433">
        <v>0</v>
      </c>
      <c r="J433">
        <v>1</v>
      </c>
      <c r="K433" s="1707">
        <v>117230</v>
      </c>
      <c r="L433" s="1708">
        <f>(K433 * G433)</f>
        <v>117230</v>
      </c>
      <c r="M433" s="1709">
        <v>175845</v>
      </c>
      <c r="N433" s="1710">
        <f>(G433 * M433)</f>
        <v>175845</v>
      </c>
      <c r="O433">
        <v>0</v>
      </c>
      <c r="P433">
        <v>0</v>
      </c>
      <c r="Q433">
        <f>IF(O433&gt;G433,(O433-G433),0)</f>
        <v>0</v>
      </c>
      <c r="R433">
        <v>1</v>
      </c>
      <c r="S433">
        <f>IF(Q433&gt;0,Int(P433/Q433),0)</f>
        <v>0</v>
      </c>
      <c r="T433">
        <f>117230</f>
        <v>117230</v>
      </c>
      <c r="U433" t="s">
        <v>1589</v>
      </c>
      <c r="V433">
        <v>117230</v>
      </c>
      <c r="W433" t="s">
        <v>80</v>
      </c>
      <c r="X433" t="s">
        <v>136</v>
      </c>
    </row>
    <row r="434" spans="1:27">
      <c r="A434" t="s">
        <v>35</v>
      </c>
      <c r="B434" t="s">
        <v>29</v>
      </c>
      <c r="C434" t="s">
        <v>1590</v>
      </c>
      <c r="D434" t="s">
        <v>1591</v>
      </c>
      <c r="E434" t="s">
        <v>1592</v>
      </c>
      <c r="F434" t="s">
        <v>33</v>
      </c>
      <c r="G434">
        <v>0</v>
      </c>
      <c r="H434">
        <f>((0/1000) * G434)</f>
        <v>0</v>
      </c>
      <c r="I434">
        <v>0</v>
      </c>
      <c r="J434">
        <v>0</v>
      </c>
      <c r="K434" s="1711">
        <v>79200</v>
      </c>
      <c r="L434" s="1712">
        <f>(K434 * G434)</f>
        <v>0</v>
      </c>
      <c r="M434" s="1713">
        <v>116930</v>
      </c>
      <c r="N434" s="1714">
        <f>(G434 * M434)</f>
        <v>0</v>
      </c>
      <c r="O434">
        <v>0</v>
      </c>
      <c r="P434">
        <v>0</v>
      </c>
      <c r="Q434">
        <f>IF(O434&gt;G434,(O434-G434),0)</f>
        <v>0</v>
      </c>
      <c r="R434">
        <v>1</v>
      </c>
      <c r="S434">
        <f>IF(Q434&gt;0,Int(P434/Q434),0)</f>
        <v>0</v>
      </c>
      <c r="T434">
        <f>0</f>
        <v>0</v>
      </c>
      <c r="U434"/>
      <c r="V434">
        <v>79200</v>
      </c>
      <c r="W434" t="s">
        <v>43</v>
      </c>
      <c r="X434"/>
    </row>
    <row r="435" spans="1:27">
      <c r="A435" t="s">
        <v>28</v>
      </c>
      <c r="B435" t="s">
        <v>29</v>
      </c>
      <c r="C435" t="s">
        <v>1593</v>
      </c>
      <c r="D435" t="s">
        <v>1594</v>
      </c>
      <c r="E435" t="s">
        <v>1595</v>
      </c>
      <c r="F435" t="s">
        <v>33</v>
      </c>
      <c r="G435">
        <v>0</v>
      </c>
      <c r="H435">
        <f>((0/1000) * G435)</f>
        <v>0</v>
      </c>
      <c r="I435">
        <v>0</v>
      </c>
      <c r="J435">
        <v>0</v>
      </c>
      <c r="K435" s="1715">
        <v>139504.13</v>
      </c>
      <c r="L435" s="1716">
        <f>(K435 * G435)</f>
        <v>0</v>
      </c>
      <c r="M435" s="1717">
        <v>153454.55</v>
      </c>
      <c r="N435" s="1718">
        <f>(G435 * M435)</f>
        <v>0</v>
      </c>
      <c r="O435">
        <v>0</v>
      </c>
      <c r="P435">
        <v>0</v>
      </c>
      <c r="Q435">
        <f>IF(O435&gt;G435,(O435-G435),0)</f>
        <v>0</v>
      </c>
      <c r="R435">
        <v>1</v>
      </c>
      <c r="S435">
        <f>IF(Q435&gt;0,Int(P435/Q435),0)</f>
        <v>0</v>
      </c>
      <c r="T435">
        <f>127948.91</f>
        <v>127948.91</v>
      </c>
      <c r="U435" t="s">
        <v>1596</v>
      </c>
      <c r="V435">
        <v>139504.13</v>
      </c>
      <c r="W435" t="s">
        <v>43</v>
      </c>
      <c r="X435"/>
    </row>
    <row r="436" spans="1:27">
      <c r="A436" t="s">
        <v>28</v>
      </c>
      <c r="B436" t="s">
        <v>29</v>
      </c>
      <c r="C436" t="s">
        <v>1597</v>
      </c>
      <c r="D436" t="s">
        <v>1598</v>
      </c>
      <c r="E436" t="s">
        <v>1599</v>
      </c>
      <c r="F436" t="s">
        <v>33</v>
      </c>
      <c r="G436">
        <v>0</v>
      </c>
      <c r="H436">
        <f>((0/1000) * G436)</f>
        <v>0</v>
      </c>
      <c r="I436">
        <v>0</v>
      </c>
      <c r="J436">
        <v>0</v>
      </c>
      <c r="K436" s="1719">
        <v>38500</v>
      </c>
      <c r="L436" s="1720">
        <f>(K436 * G436)</f>
        <v>0</v>
      </c>
      <c r="M436" s="1721">
        <v>42350</v>
      </c>
      <c r="N436" s="1722">
        <f>(G436 * M436)</f>
        <v>0</v>
      </c>
      <c r="O436">
        <v>0</v>
      </c>
      <c r="P436">
        <v>0</v>
      </c>
      <c r="Q436">
        <f>IF(O436&gt;G436,(O436-G436),0)</f>
        <v>0</v>
      </c>
      <c r="R436">
        <v>1</v>
      </c>
      <c r="S436">
        <f>IF(Q436&gt;0,Int(P436/Q436),0)</f>
        <v>0</v>
      </c>
      <c r="T436">
        <f>35000</f>
        <v>35000</v>
      </c>
      <c r="U436" t="s">
        <v>1600</v>
      </c>
      <c r="V436">
        <v>38500</v>
      </c>
      <c r="W436" t="s">
        <v>43</v>
      </c>
      <c r="X436"/>
    </row>
    <row r="437" spans="1:27">
      <c r="A437" t="s">
        <v>35</v>
      </c>
      <c r="B437" t="s">
        <v>29</v>
      </c>
      <c r="C437" t="s">
        <v>1601</v>
      </c>
      <c r="D437" t="s">
        <v>1602</v>
      </c>
      <c r="E437" t="s">
        <v>1603</v>
      </c>
      <c r="F437" t="s">
        <v>33</v>
      </c>
      <c r="G437">
        <v>0</v>
      </c>
      <c r="H437">
        <f>((0/1000) * G437)</f>
        <v>0</v>
      </c>
      <c r="I437">
        <v>0</v>
      </c>
      <c r="J437">
        <v>0</v>
      </c>
      <c r="K437" s="1723">
        <v>108181.7</v>
      </c>
      <c r="L437" s="1724">
        <f>(K437 * G437)</f>
        <v>0</v>
      </c>
      <c r="M437" s="1725">
        <v>189317.98</v>
      </c>
      <c r="N437" s="1726">
        <f>(G437 * M437)</f>
        <v>0</v>
      </c>
      <c r="O437">
        <v>0</v>
      </c>
      <c r="P437">
        <v>0</v>
      </c>
      <c r="Q437">
        <f>IF(O437&gt;G437,(O437-G437),0)</f>
        <v>0</v>
      </c>
      <c r="R437">
        <v>1</v>
      </c>
      <c r="S437">
        <f>IF(Q437&gt;0,Int(P437/Q437),0)</f>
        <v>0</v>
      </c>
      <c r="T437">
        <f>0</f>
        <v>0</v>
      </c>
      <c r="U437"/>
      <c r="V437">
        <v>108181.7</v>
      </c>
      <c r="W437" t="s">
        <v>43</v>
      </c>
      <c r="X437"/>
    </row>
    <row r="438" spans="1:27">
      <c r="A438" t="s">
        <v>28</v>
      </c>
      <c r="B438" t="s">
        <v>29</v>
      </c>
      <c r="C438" t="s">
        <v>1604</v>
      </c>
      <c r="D438" t="s">
        <v>1605</v>
      </c>
      <c r="E438" t="s">
        <v>1606</v>
      </c>
      <c r="F438" t="s">
        <v>41</v>
      </c>
      <c r="G438">
        <v>12</v>
      </c>
      <c r="H438">
        <f>((0/1000) * G438)</f>
        <v>0</v>
      </c>
      <c r="I438">
        <v>0</v>
      </c>
      <c r="J438">
        <v>12</v>
      </c>
      <c r="K438" s="1727">
        <v>91300</v>
      </c>
      <c r="L438" s="1728">
        <f>(K438 * G438)</f>
        <v>1095600</v>
      </c>
      <c r="M438" s="1729">
        <v>144628.1</v>
      </c>
      <c r="N438" s="1730">
        <f>(G438 * M438)</f>
        <v>1735537.2</v>
      </c>
      <c r="O438">
        <v>0</v>
      </c>
      <c r="P438">
        <v>0</v>
      </c>
      <c r="Q438">
        <f>IF(O438&gt;G438,(O438-G438),0)</f>
        <v>0</v>
      </c>
      <c r="R438">
        <v>1</v>
      </c>
      <c r="S438">
        <f>IF(Q438&gt;0,Int(P438/Q438),0)</f>
        <v>0</v>
      </c>
      <c r="T438">
        <f>124545.45</f>
        <v>124545.45</v>
      </c>
      <c r="U438" t="s">
        <v>993</v>
      </c>
      <c r="V438">
        <v>91300</v>
      </c>
      <c r="W438" t="s">
        <v>97</v>
      </c>
      <c r="X438" t="s">
        <v>198</v>
      </c>
    </row>
    <row r="439" spans="1:27">
      <c r="A439" t="s">
        <v>35</v>
      </c>
      <c r="B439" t="s">
        <v>29</v>
      </c>
      <c r="C439" t="s">
        <v>1607</v>
      </c>
      <c r="D439" t="s">
        <v>1607</v>
      </c>
      <c r="E439" t="s">
        <v>1608</v>
      </c>
      <c r="F439" t="s">
        <v>33</v>
      </c>
      <c r="G439">
        <v>0</v>
      </c>
      <c r="H439">
        <f>((1/1000) * G439)</f>
        <v>0</v>
      </c>
      <c r="I439">
        <v>0</v>
      </c>
      <c r="J439">
        <v>0</v>
      </c>
      <c r="K439" s="1731">
        <v>0</v>
      </c>
      <c r="L439" s="1732">
        <f>(K439 * G439)</f>
        <v>0</v>
      </c>
      <c r="M439" s="1733">
        <v>0</v>
      </c>
      <c r="N439" s="1734">
        <f>(G439 * M439)</f>
        <v>0</v>
      </c>
      <c r="O439">
        <v>0</v>
      </c>
      <c r="P439">
        <v>0</v>
      </c>
      <c r="Q439">
        <f>IF(O439&gt;G439,(O439-G439),0)</f>
        <v>0</v>
      </c>
      <c r="R439">
        <v>0</v>
      </c>
      <c r="S439">
        <f>IF(Q439&gt;0,Int(P439/Q439),0)</f>
        <v>0</v>
      </c>
      <c r="T439">
        <f>0</f>
        <v>0</v>
      </c>
      <c r="U439"/>
      <c r="V439">
        <v>0</v>
      </c>
      <c r="W439">
        <v>0</v>
      </c>
      <c r="X439"/>
    </row>
    <row r="440" spans="1:27">
      <c r="A440" t="s">
        <v>35</v>
      </c>
      <c r="B440" t="s">
        <v>29</v>
      </c>
      <c r="C440" t="s">
        <v>1609</v>
      </c>
      <c r="D440" t="s">
        <v>1609</v>
      </c>
      <c r="E440" t="s">
        <v>1610</v>
      </c>
      <c r="F440" t="s">
        <v>33</v>
      </c>
      <c r="G440">
        <v>0</v>
      </c>
      <c r="H440">
        <f>((1/1000) * G440)</f>
        <v>0</v>
      </c>
      <c r="I440">
        <v>0</v>
      </c>
      <c r="J440">
        <v>0</v>
      </c>
      <c r="K440" s="1735">
        <v>0</v>
      </c>
      <c r="L440" s="1736">
        <f>(K440 * G440)</f>
        <v>0</v>
      </c>
      <c r="M440" s="1737">
        <v>0</v>
      </c>
      <c r="N440" s="1738">
        <f>(G440 * M440)</f>
        <v>0</v>
      </c>
      <c r="O440">
        <v>0</v>
      </c>
      <c r="P440">
        <v>0</v>
      </c>
      <c r="Q440">
        <f>IF(O440&gt;G440,(O440-G440),0)</f>
        <v>0</v>
      </c>
      <c r="R440">
        <v>0</v>
      </c>
      <c r="S440">
        <f>IF(Q440&gt;0,Int(P440/Q440),0)</f>
        <v>0</v>
      </c>
      <c r="T440">
        <f>0</f>
        <v>0</v>
      </c>
      <c r="U440"/>
      <c r="V440">
        <v>0</v>
      </c>
      <c r="W440">
        <v>0</v>
      </c>
      <c r="X440"/>
    </row>
    <row r="441" spans="1:27">
      <c r="A441" t="s">
        <v>35</v>
      </c>
      <c r="B441" t="s">
        <v>29</v>
      </c>
      <c r="C441" t="s">
        <v>1611</v>
      </c>
      <c r="D441" t="s">
        <v>1611</v>
      </c>
      <c r="E441" t="s">
        <v>1612</v>
      </c>
      <c r="F441" t="s">
        <v>33</v>
      </c>
      <c r="G441">
        <v>0</v>
      </c>
      <c r="H441">
        <f>((1/1000) * G441)</f>
        <v>0</v>
      </c>
      <c r="I441">
        <v>0</v>
      </c>
      <c r="J441">
        <v>0</v>
      </c>
      <c r="K441" s="1739">
        <v>82696.27</v>
      </c>
      <c r="L441" s="1740">
        <f>(K441 * G441)</f>
        <v>0</v>
      </c>
      <c r="M441" s="1741">
        <v>115774.78</v>
      </c>
      <c r="N441" s="1742">
        <f>(G441 * M441)</f>
        <v>0</v>
      </c>
      <c r="O441">
        <v>0</v>
      </c>
      <c r="P441">
        <v>0</v>
      </c>
      <c r="Q441">
        <f>IF(O441&gt;G441,(O441-G441),0)</f>
        <v>0</v>
      </c>
      <c r="R441">
        <v>1</v>
      </c>
      <c r="S441">
        <f>IF(Q441&gt;0,Int(P441/Q441),0)</f>
        <v>0</v>
      </c>
      <c r="T441">
        <f>0</f>
        <v>0</v>
      </c>
      <c r="U441"/>
      <c r="V441">
        <v>82696.27</v>
      </c>
      <c r="W441" t="s">
        <v>301</v>
      </c>
      <c r="X441"/>
    </row>
    <row r="442" spans="1:27">
      <c r="A442" t="s">
        <v>35</v>
      </c>
      <c r="B442" t="s">
        <v>29</v>
      </c>
      <c r="C442" t="s">
        <v>1613</v>
      </c>
      <c r="D442" t="s">
        <v>1613</v>
      </c>
      <c r="E442" t="s">
        <v>1614</v>
      </c>
      <c r="F442" t="s">
        <v>41</v>
      </c>
      <c r="G442">
        <v>0</v>
      </c>
      <c r="H442">
        <f>((0/1000) * G442)</f>
        <v>0</v>
      </c>
      <c r="I442">
        <v>0</v>
      </c>
      <c r="J442">
        <v>0</v>
      </c>
      <c r="K442" s="1743">
        <v>47909.09</v>
      </c>
      <c r="L442" s="1744">
        <f>(K442 * G442)</f>
        <v>0</v>
      </c>
      <c r="M442" s="1745">
        <v>52700</v>
      </c>
      <c r="N442" s="1746">
        <f>(G442 * M442)</f>
        <v>0</v>
      </c>
      <c r="O442">
        <v>0</v>
      </c>
      <c r="P442">
        <v>0</v>
      </c>
      <c r="Q442">
        <f>IF(O442&gt;G442,(O442-G442),0)</f>
        <v>0</v>
      </c>
      <c r="R442">
        <v>1</v>
      </c>
      <c r="S442">
        <f>IF(Q442&gt;0,Int(P442/Q442),0)</f>
        <v>0</v>
      </c>
      <c r="T442">
        <f>0</f>
        <v>0</v>
      </c>
      <c r="U442"/>
      <c r="V442">
        <v>47909.09</v>
      </c>
      <c r="W442" t="s">
        <v>43</v>
      </c>
      <c r="X442"/>
    </row>
    <row r="443" spans="1:27">
      <c r="A443" t="s">
        <v>35</v>
      </c>
      <c r="B443" t="s">
        <v>29</v>
      </c>
      <c r="C443" t="s">
        <v>1615</v>
      </c>
      <c r="D443" t="s">
        <v>1616</v>
      </c>
      <c r="E443" t="s">
        <v>1617</v>
      </c>
      <c r="F443" t="s">
        <v>41</v>
      </c>
      <c r="G443">
        <v>0</v>
      </c>
      <c r="H443">
        <f>((0/1000) * G443)</f>
        <v>0</v>
      </c>
      <c r="I443">
        <v>0</v>
      </c>
      <c r="J443">
        <v>0</v>
      </c>
      <c r="K443" s="1747">
        <v>150090.91</v>
      </c>
      <c r="L443" s="1748">
        <f>(K443 * G443)</f>
        <v>0</v>
      </c>
      <c r="M443" s="1749">
        <v>210127.27</v>
      </c>
      <c r="N443" s="1750">
        <f>(G443 * M443)</f>
        <v>0</v>
      </c>
      <c r="O443">
        <v>0</v>
      </c>
      <c r="P443">
        <v>0</v>
      </c>
      <c r="Q443">
        <f>IF(O443&gt;G443,(O443-G443),0)</f>
        <v>0</v>
      </c>
      <c r="R443">
        <v>1</v>
      </c>
      <c r="S443">
        <f>IF(Q443&gt;0,Int(P443/Q443),0)</f>
        <v>0</v>
      </c>
      <c r="T443">
        <f>124042.07</f>
        <v>124042.07</v>
      </c>
      <c r="U443" t="s">
        <v>1618</v>
      </c>
      <c r="V443">
        <v>150090.91</v>
      </c>
      <c r="W443" t="s">
        <v>75</v>
      </c>
      <c r="X443"/>
    </row>
    <row r="444" spans="1:27">
      <c r="A444" t="s">
        <v>35</v>
      </c>
      <c r="B444" t="s">
        <v>29</v>
      </c>
      <c r="C444" t="s">
        <v>1619</v>
      </c>
      <c r="D444" t="s">
        <v>1620</v>
      </c>
      <c r="E444" t="s">
        <v>1621</v>
      </c>
      <c r="F444" t="s">
        <v>41</v>
      </c>
      <c r="G444">
        <v>0</v>
      </c>
      <c r="H444">
        <f>((0/1000) * G444)</f>
        <v>0</v>
      </c>
      <c r="I444">
        <v>0</v>
      </c>
      <c r="J444">
        <v>0</v>
      </c>
      <c r="K444" s="1751">
        <v>123344.24</v>
      </c>
      <c r="L444" s="1752">
        <f>(K444 * G444)</f>
        <v>0</v>
      </c>
      <c r="M444" s="1753">
        <v>135678.66</v>
      </c>
      <c r="N444" s="1754">
        <f>(G444 * M444)</f>
        <v>0</v>
      </c>
      <c r="O444">
        <v>0</v>
      </c>
      <c r="P444">
        <v>0</v>
      </c>
      <c r="Q444">
        <f>IF(O444&gt;G444,(O444-G444),0)</f>
        <v>0</v>
      </c>
      <c r="R444">
        <v>1</v>
      </c>
      <c r="S444">
        <f>IF(Q444&gt;0,Int(P444/Q444),0)</f>
        <v>0</v>
      </c>
      <c r="T444">
        <f>40990.37</f>
        <v>40990.37</v>
      </c>
      <c r="U444" t="s">
        <v>1475</v>
      </c>
      <c r="V444">
        <v>123344.24</v>
      </c>
      <c r="W444" t="s">
        <v>43</v>
      </c>
      <c r="X444"/>
    </row>
    <row r="445" spans="1:27">
      <c r="A445" t="s">
        <v>35</v>
      </c>
      <c r="B445" t="s">
        <v>29</v>
      </c>
      <c r="C445" t="s">
        <v>1622</v>
      </c>
      <c r="D445" t="s">
        <v>1622</v>
      </c>
      <c r="E445" t="s">
        <v>1623</v>
      </c>
      <c r="F445" t="s">
        <v>33</v>
      </c>
      <c r="G445">
        <v>0</v>
      </c>
      <c r="H445">
        <f>((1/1000) * G445)</f>
        <v>0</v>
      </c>
      <c r="I445">
        <v>0</v>
      </c>
      <c r="J445">
        <v>0</v>
      </c>
      <c r="K445" s="1755">
        <v>0</v>
      </c>
      <c r="L445" s="1756">
        <f>(K445 * G445)</f>
        <v>0</v>
      </c>
      <c r="M445" s="1757">
        <v>0</v>
      </c>
      <c r="N445" s="1758">
        <f>(G445 * M445)</f>
        <v>0</v>
      </c>
      <c r="O445">
        <v>0</v>
      </c>
      <c r="P445">
        <v>0</v>
      </c>
      <c r="Q445">
        <f>IF(O445&gt;G445,(O445-G445),0)</f>
        <v>0</v>
      </c>
      <c r="R445">
        <v>0</v>
      </c>
      <c r="S445">
        <f>IF(Q445&gt;0,Int(P445/Q445),0)</f>
        <v>0</v>
      </c>
      <c r="T445">
        <f>0</f>
        <v>0</v>
      </c>
      <c r="U445" t="s">
        <v>1624</v>
      </c>
      <c r="V445">
        <v>0</v>
      </c>
      <c r="W445">
        <v>0</v>
      </c>
      <c r="X445"/>
    </row>
    <row r="446" spans="1:27">
      <c r="A446" t="s">
        <v>35</v>
      </c>
      <c r="B446" t="s">
        <v>29</v>
      </c>
      <c r="C446" t="s">
        <v>1625</v>
      </c>
      <c r="D446" t="s">
        <v>1626</v>
      </c>
      <c r="E446" t="s">
        <v>1627</v>
      </c>
      <c r="F446" t="s">
        <v>41</v>
      </c>
      <c r="G446">
        <v>0</v>
      </c>
      <c r="H446">
        <f>((0/1000) * G446)</f>
        <v>0</v>
      </c>
      <c r="I446">
        <v>0</v>
      </c>
      <c r="J446">
        <v>0</v>
      </c>
      <c r="K446" s="1759">
        <v>163471.07</v>
      </c>
      <c r="L446" s="1760">
        <f>(K446 * G446)</f>
        <v>0</v>
      </c>
      <c r="M446" s="1761">
        <v>179818.18</v>
      </c>
      <c r="N446" s="1762">
        <f>(G446 * M446)</f>
        <v>0</v>
      </c>
      <c r="O446">
        <v>0</v>
      </c>
      <c r="P446">
        <v>0</v>
      </c>
      <c r="Q446">
        <f>IF(O446&gt;G446,(O446-G446),0)</f>
        <v>0</v>
      </c>
      <c r="R446">
        <v>1</v>
      </c>
      <c r="S446">
        <f>IF(Q446&gt;0,Int(P446/Q446),0)</f>
        <v>0</v>
      </c>
      <c r="T446">
        <f>171224.64</f>
        <v>171224.64</v>
      </c>
      <c r="U446" t="s">
        <v>1628</v>
      </c>
      <c r="V446">
        <v>163471.07</v>
      </c>
      <c r="W446" t="s">
        <v>43</v>
      </c>
      <c r="X446"/>
    </row>
    <row r="447" spans="1:27">
      <c r="A447" t="s">
        <v>35</v>
      </c>
      <c r="B447" t="s">
        <v>29</v>
      </c>
      <c r="C447" t="s">
        <v>1629</v>
      </c>
      <c r="D447" t="s">
        <v>1630</v>
      </c>
      <c r="E447" t="s">
        <v>1631</v>
      </c>
      <c r="F447" t="s">
        <v>41</v>
      </c>
      <c r="G447">
        <v>0</v>
      </c>
      <c r="H447">
        <f>((0/1000) * G447)</f>
        <v>0</v>
      </c>
      <c r="I447">
        <v>0</v>
      </c>
      <c r="J447">
        <v>0</v>
      </c>
      <c r="K447" s="1763">
        <v>234862.84</v>
      </c>
      <c r="L447" s="1764">
        <f>(K447 * G447)</f>
        <v>0</v>
      </c>
      <c r="M447" s="1765">
        <v>328807.98</v>
      </c>
      <c r="N447" s="1766">
        <f>(G447 * M447)</f>
        <v>0</v>
      </c>
      <c r="O447">
        <v>0</v>
      </c>
      <c r="P447">
        <v>0</v>
      </c>
      <c r="Q447">
        <f>IF(O447&gt;G447,(O447-G447),0)</f>
        <v>0</v>
      </c>
      <c r="R447">
        <v>1</v>
      </c>
      <c r="S447">
        <f>IF(Q447&gt;0,Int(P447/Q447),0)</f>
        <v>0</v>
      </c>
      <c r="T447">
        <f>274229.6</f>
        <v>274229.6</v>
      </c>
      <c r="U447" t="s">
        <v>1632</v>
      </c>
      <c r="V447">
        <v>234862.84</v>
      </c>
      <c r="W447" t="s">
        <v>182</v>
      </c>
      <c r="X447"/>
    </row>
    <row r="448" spans="1:27">
      <c r="A448" t="s">
        <v>35</v>
      </c>
      <c r="B448" t="s">
        <v>29</v>
      </c>
      <c r="C448" t="s">
        <v>1633</v>
      </c>
      <c r="D448" t="s">
        <v>1634</v>
      </c>
      <c r="E448" t="s">
        <v>1635</v>
      </c>
      <c r="F448" t="s">
        <v>41</v>
      </c>
      <c r="G448">
        <v>0</v>
      </c>
      <c r="H448">
        <f>((0/1000) * G448)</f>
        <v>0</v>
      </c>
      <c r="I448">
        <v>0</v>
      </c>
      <c r="J448">
        <v>0</v>
      </c>
      <c r="K448" s="1767">
        <v>345529.39</v>
      </c>
      <c r="L448" s="1768">
        <f>(K448 * G448)</f>
        <v>0</v>
      </c>
      <c r="M448" s="1769">
        <v>483741.15</v>
      </c>
      <c r="N448" s="1770">
        <f>(G448 * M448)</f>
        <v>0</v>
      </c>
      <c r="O448">
        <v>0</v>
      </c>
      <c r="P448">
        <v>0</v>
      </c>
      <c r="Q448">
        <f>IF(O448&gt;G448,(O448-G448),0)</f>
        <v>0</v>
      </c>
      <c r="R448">
        <v>0</v>
      </c>
      <c r="S448">
        <f>IF(Q448&gt;0,Int(P448/Q448),0)</f>
        <v>0</v>
      </c>
      <c r="T448">
        <f>0</f>
        <v>0</v>
      </c>
      <c r="U448"/>
      <c r="V448">
        <v>345529.39</v>
      </c>
      <c r="W448" t="s">
        <v>75</v>
      </c>
      <c r="X448"/>
    </row>
    <row r="449" spans="1:27">
      <c r="A449" t="s">
        <v>35</v>
      </c>
      <c r="B449" t="s">
        <v>29</v>
      </c>
      <c r="C449" t="s">
        <v>1636</v>
      </c>
      <c r="D449" t="s">
        <v>1637</v>
      </c>
      <c r="E449" t="s">
        <v>1638</v>
      </c>
      <c r="F449" t="s">
        <v>41</v>
      </c>
      <c r="G449">
        <v>1</v>
      </c>
      <c r="H449">
        <f>((0/1000) * G449)</f>
        <v>0</v>
      </c>
      <c r="I449">
        <v>0</v>
      </c>
      <c r="J449">
        <v>1</v>
      </c>
      <c r="K449" s="1771">
        <v>61322</v>
      </c>
      <c r="L449" s="1772">
        <f>(K449 * G449)</f>
        <v>61322</v>
      </c>
      <c r="M449" s="1773">
        <v>91983</v>
      </c>
      <c r="N449" s="1774">
        <f>(G449 * M449)</f>
        <v>91983</v>
      </c>
      <c r="O449">
        <v>0</v>
      </c>
      <c r="P449">
        <v>0</v>
      </c>
      <c r="Q449">
        <f>IF(O449&gt;G449,(O449-G449),0)</f>
        <v>0</v>
      </c>
      <c r="R449">
        <v>0</v>
      </c>
      <c r="S449">
        <f>IF(Q449&gt;0,Int(P449/Q449),0)</f>
        <v>0</v>
      </c>
      <c r="T449">
        <f>61322</f>
        <v>61322</v>
      </c>
      <c r="U449" t="s">
        <v>1375</v>
      </c>
      <c r="V449">
        <v>61322</v>
      </c>
      <c r="W449" t="s">
        <v>1639</v>
      </c>
      <c r="X449"/>
    </row>
    <row r="450" spans="1:27">
      <c r="A450" t="s">
        <v>35</v>
      </c>
      <c r="B450" t="s">
        <v>29</v>
      </c>
      <c r="C450" t="s">
        <v>1640</v>
      </c>
      <c r="D450" t="s">
        <v>1641</v>
      </c>
      <c r="E450" t="s">
        <v>1642</v>
      </c>
      <c r="F450" t="s">
        <v>41</v>
      </c>
      <c r="G450">
        <v>23</v>
      </c>
      <c r="H450">
        <f>((0/1000) * G450)</f>
        <v>0</v>
      </c>
      <c r="I450">
        <v>0</v>
      </c>
      <c r="J450">
        <v>23</v>
      </c>
      <c r="K450" s="1775">
        <v>65542</v>
      </c>
      <c r="L450" s="1776">
        <f>(K450 * G450)</f>
        <v>1507466</v>
      </c>
      <c r="M450" s="1777">
        <v>107438.02</v>
      </c>
      <c r="N450" s="1778">
        <f>(G450 * M450)</f>
        <v>2471074.46</v>
      </c>
      <c r="O450">
        <v>0</v>
      </c>
      <c r="P450">
        <v>0</v>
      </c>
      <c r="Q450">
        <f>IF(O450&gt;G450,(O450-G450),0)</f>
        <v>0</v>
      </c>
      <c r="R450">
        <v>1</v>
      </c>
      <c r="S450">
        <f>IF(Q450&gt;0,Int(P450/Q450),0)</f>
        <v>0</v>
      </c>
      <c r="T450">
        <f>65542</f>
        <v>65542</v>
      </c>
      <c r="U450" t="s">
        <v>427</v>
      </c>
      <c r="V450">
        <v>65542</v>
      </c>
      <c r="W450" t="s">
        <v>54</v>
      </c>
      <c r="X450" t="s">
        <v>1643</v>
      </c>
    </row>
    <row r="451" spans="1:27">
      <c r="A451" t="s">
        <v>28</v>
      </c>
      <c r="B451" t="s">
        <v>29</v>
      </c>
      <c r="C451" t="s">
        <v>1644</v>
      </c>
      <c r="D451" t="s">
        <v>1645</v>
      </c>
      <c r="E451" t="s">
        <v>1646</v>
      </c>
      <c r="F451" t="s">
        <v>33</v>
      </c>
      <c r="G451">
        <v>0</v>
      </c>
      <c r="H451">
        <f>((0/1000) * G451)</f>
        <v>0</v>
      </c>
      <c r="I451">
        <v>0</v>
      </c>
      <c r="J451">
        <v>0</v>
      </c>
      <c r="K451" s="1779">
        <v>99251.43</v>
      </c>
      <c r="L451" s="1780">
        <f>(K451 * G451)</f>
        <v>0</v>
      </c>
      <c r="M451" s="1781">
        <v>138952</v>
      </c>
      <c r="N451" s="1782">
        <f>(G451 * M451)</f>
        <v>0</v>
      </c>
      <c r="O451">
        <v>0</v>
      </c>
      <c r="P451">
        <v>0</v>
      </c>
      <c r="Q451">
        <f>IF(O451&gt;G451,(O451-G451),0)</f>
        <v>0</v>
      </c>
      <c r="R451">
        <v>1</v>
      </c>
      <c r="S451">
        <f>IF(Q451&gt;0,Int(P451/Q451),0)</f>
        <v>0</v>
      </c>
      <c r="T451">
        <f>115880.99</f>
        <v>115880.99</v>
      </c>
      <c r="U451" t="s">
        <v>1647</v>
      </c>
      <c r="V451">
        <v>99251.43</v>
      </c>
      <c r="W451" t="s">
        <v>301</v>
      </c>
      <c r="X451"/>
    </row>
    <row r="452" spans="1:27">
      <c r="A452" t="s">
        <v>35</v>
      </c>
      <c r="B452" t="s">
        <v>29</v>
      </c>
      <c r="C452" t="s">
        <v>1648</v>
      </c>
      <c r="D452" t="s">
        <v>1649</v>
      </c>
      <c r="E452" t="s">
        <v>1650</v>
      </c>
      <c r="F452" t="s">
        <v>33</v>
      </c>
      <c r="G452">
        <v>0</v>
      </c>
      <c r="H452">
        <f>((0/1000) * G452)</f>
        <v>0</v>
      </c>
      <c r="I452">
        <v>0</v>
      </c>
      <c r="J452">
        <v>0</v>
      </c>
      <c r="K452" s="1783">
        <v>172148.76</v>
      </c>
      <c r="L452" s="1784">
        <f>(K452 * G452)</f>
        <v>0</v>
      </c>
      <c r="M452" s="1785">
        <v>189363.63</v>
      </c>
      <c r="N452" s="1786">
        <f>(G452 * M452)</f>
        <v>0</v>
      </c>
      <c r="O452">
        <v>0</v>
      </c>
      <c r="P452">
        <v>0</v>
      </c>
      <c r="Q452">
        <f>IF(O452&gt;G452,(O452-G452),0)</f>
        <v>0</v>
      </c>
      <c r="R452">
        <v>1</v>
      </c>
      <c r="S452">
        <f>IF(Q452&gt;0,Int(P452/Q452),0)</f>
        <v>0</v>
      </c>
      <c r="T452">
        <f>172148.76</f>
        <v>172148.76</v>
      </c>
      <c r="U452" t="s">
        <v>1651</v>
      </c>
      <c r="V452">
        <v>172148.76</v>
      </c>
      <c r="W452" t="s">
        <v>80</v>
      </c>
      <c r="X452" t="s">
        <v>81</v>
      </c>
    </row>
    <row r="453" spans="1:27">
      <c r="A453" t="s">
        <v>35</v>
      </c>
      <c r="B453" t="s">
        <v>29</v>
      </c>
      <c r="C453" t="s">
        <v>1652</v>
      </c>
      <c r="D453" t="s">
        <v>1653</v>
      </c>
      <c r="E453" t="s">
        <v>1654</v>
      </c>
      <c r="F453" t="s">
        <v>41</v>
      </c>
      <c r="G453">
        <v>1</v>
      </c>
      <c r="H453">
        <f>((0/1000) * G453)</f>
        <v>0</v>
      </c>
      <c r="I453">
        <v>0</v>
      </c>
      <c r="J453">
        <v>1</v>
      </c>
      <c r="K453" s="1787">
        <v>70000</v>
      </c>
      <c r="L453" s="1788">
        <f>(K453 * G453)</f>
        <v>70000</v>
      </c>
      <c r="M453" s="1789">
        <v>105000</v>
      </c>
      <c r="N453" s="1790">
        <f>(G453 * M453)</f>
        <v>105000</v>
      </c>
      <c r="O453">
        <v>0</v>
      </c>
      <c r="P453">
        <v>0</v>
      </c>
      <c r="Q453">
        <f>IF(O453&gt;G453,(O453-G453),0)</f>
        <v>0</v>
      </c>
      <c r="R453">
        <v>1</v>
      </c>
      <c r="S453">
        <f>IF(Q453&gt;0,Int(P453/Q453),0)</f>
        <v>0</v>
      </c>
      <c r="T453">
        <f>154019.53</f>
        <v>154019.53</v>
      </c>
      <c r="U453" t="s">
        <v>1655</v>
      </c>
      <c r="V453">
        <v>70000</v>
      </c>
      <c r="W453" t="s">
        <v>1498</v>
      </c>
      <c r="X453" t="s">
        <v>198</v>
      </c>
    </row>
    <row r="454" spans="1:27">
      <c r="A454" t="s">
        <v>35</v>
      </c>
      <c r="B454" t="s">
        <v>29</v>
      </c>
      <c r="C454" t="s">
        <v>1656</v>
      </c>
      <c r="D454" t="s">
        <v>1657</v>
      </c>
      <c r="E454" t="s">
        <v>1658</v>
      </c>
      <c r="F454" t="s">
        <v>33</v>
      </c>
      <c r="G454">
        <v>2</v>
      </c>
      <c r="H454">
        <f>((0/1000) * G454)</f>
        <v>0</v>
      </c>
      <c r="I454">
        <v>0</v>
      </c>
      <c r="J454">
        <v>2</v>
      </c>
      <c r="K454" s="1791">
        <v>70990</v>
      </c>
      <c r="L454" s="1792">
        <f>(K454 * G454)</f>
        <v>141980</v>
      </c>
      <c r="M454" s="1793">
        <v>127782</v>
      </c>
      <c r="N454" s="1794">
        <f>(G454 * M454)</f>
        <v>255564</v>
      </c>
      <c r="O454">
        <v>0</v>
      </c>
      <c r="P454">
        <v>0</v>
      </c>
      <c r="Q454">
        <f>IF(O454&gt;G454,(O454-G454),0)</f>
        <v>0</v>
      </c>
      <c r="R454">
        <v>1</v>
      </c>
      <c r="S454">
        <f>IF(Q454&gt;0,Int(P454/Q454),0)</f>
        <v>0</v>
      </c>
      <c r="T454">
        <f>70990</f>
        <v>70990</v>
      </c>
      <c r="U454" t="s">
        <v>1062</v>
      </c>
      <c r="V454">
        <v>70990</v>
      </c>
      <c r="W454" t="s">
        <v>651</v>
      </c>
      <c r="X454" t="s">
        <v>409</v>
      </c>
    </row>
    <row r="455" spans="1:27">
      <c r="A455" t="s">
        <v>35</v>
      </c>
      <c r="B455" t="s">
        <v>29</v>
      </c>
      <c r="C455" t="s">
        <v>1659</v>
      </c>
      <c r="D455" t="s">
        <v>1660</v>
      </c>
      <c r="E455" t="s">
        <v>1661</v>
      </c>
      <c r="F455" t="s">
        <v>41</v>
      </c>
      <c r="G455">
        <v>0</v>
      </c>
      <c r="H455">
        <f>((0/1000) * G455)</f>
        <v>0</v>
      </c>
      <c r="I455">
        <v>0</v>
      </c>
      <c r="J455">
        <v>0</v>
      </c>
      <c r="K455" s="1795">
        <v>414710.75</v>
      </c>
      <c r="L455" s="1796">
        <f>(K455 * G455)</f>
        <v>0</v>
      </c>
      <c r="M455" s="1797">
        <v>456181.83</v>
      </c>
      <c r="N455" s="1798">
        <f>(G455 * M455)</f>
        <v>0</v>
      </c>
      <c r="O455">
        <v>0</v>
      </c>
      <c r="P455">
        <v>0</v>
      </c>
      <c r="Q455">
        <f>IF(O455&gt;G455,(O455-G455),0)</f>
        <v>0</v>
      </c>
      <c r="R455">
        <v>1</v>
      </c>
      <c r="S455">
        <f>IF(Q455&gt;0,Int(P455/Q455),0)</f>
        <v>0</v>
      </c>
      <c r="T455">
        <f>0</f>
        <v>0</v>
      </c>
      <c r="U455"/>
      <c r="V455">
        <v>414710.75</v>
      </c>
      <c r="W455" t="s">
        <v>43</v>
      </c>
      <c r="X455"/>
    </row>
    <row r="456" spans="1:27">
      <c r="A456" t="s">
        <v>35</v>
      </c>
      <c r="B456" t="s">
        <v>29</v>
      </c>
      <c r="C456" t="s">
        <v>1662</v>
      </c>
      <c r="D456" t="s">
        <v>1663</v>
      </c>
      <c r="E456" t="s">
        <v>1664</v>
      </c>
      <c r="F456" t="s">
        <v>41</v>
      </c>
      <c r="G456">
        <v>0</v>
      </c>
      <c r="H456">
        <f>((0/1000) * G456)</f>
        <v>0</v>
      </c>
      <c r="I456">
        <v>0</v>
      </c>
      <c r="J456">
        <v>0</v>
      </c>
      <c r="K456" s="1799">
        <v>295577.61</v>
      </c>
      <c r="L456" s="1800">
        <f>(K456 * G456)</f>
        <v>0</v>
      </c>
      <c r="M456" s="1801">
        <v>325135.37</v>
      </c>
      <c r="N456" s="1802">
        <f>(G456 * M456)</f>
        <v>0</v>
      </c>
      <c r="O456">
        <v>0</v>
      </c>
      <c r="P456">
        <v>0</v>
      </c>
      <c r="Q456">
        <f>IF(O456&gt;G456,(O456-G456),0)</f>
        <v>0</v>
      </c>
      <c r="R456">
        <v>1</v>
      </c>
      <c r="S456">
        <f>IF(Q456&gt;0,Int(P456/Q456),0)</f>
        <v>0</v>
      </c>
      <c r="T456">
        <f>0</f>
        <v>0</v>
      </c>
      <c r="U456"/>
      <c r="V456">
        <v>295577.61</v>
      </c>
      <c r="W456" t="s">
        <v>43</v>
      </c>
      <c r="X456"/>
    </row>
    <row r="457" spans="1:27">
      <c r="A457" t="s">
        <v>35</v>
      </c>
      <c r="B457" t="s">
        <v>29</v>
      </c>
      <c r="C457" t="s">
        <v>1665</v>
      </c>
      <c r="D457" t="s">
        <v>1666</v>
      </c>
      <c r="E457" t="s">
        <v>1667</v>
      </c>
      <c r="F457" t="s">
        <v>33</v>
      </c>
      <c r="G457">
        <v>0</v>
      </c>
      <c r="H457">
        <f>((0/1000) * G457)</f>
        <v>0</v>
      </c>
      <c r="I457">
        <v>0</v>
      </c>
      <c r="J457">
        <v>0</v>
      </c>
      <c r="K457" s="1803">
        <v>154380.17</v>
      </c>
      <c r="L457" s="1804">
        <f>(K457 * G457)</f>
        <v>0</v>
      </c>
      <c r="M457" s="1805">
        <v>169818.18</v>
      </c>
      <c r="N457" s="1806">
        <f>(G457 * M457)</f>
        <v>0</v>
      </c>
      <c r="O457">
        <v>0</v>
      </c>
      <c r="P457">
        <v>0</v>
      </c>
      <c r="Q457">
        <f>IF(O457&gt;G457,(O457-G457),0)</f>
        <v>0</v>
      </c>
      <c r="R457">
        <v>1</v>
      </c>
      <c r="S457">
        <f>IF(Q457&gt;0,Int(P457/Q457),0)</f>
        <v>0</v>
      </c>
      <c r="T457">
        <f>146882.04</f>
        <v>146882.04</v>
      </c>
      <c r="U457" t="s">
        <v>1115</v>
      </c>
      <c r="V457">
        <v>154380.17</v>
      </c>
      <c r="W457" t="s">
        <v>43</v>
      </c>
      <c r="X457"/>
    </row>
    <row r="458" spans="1:27">
      <c r="A458" t="s">
        <v>35</v>
      </c>
      <c r="B458" t="s">
        <v>29</v>
      </c>
      <c r="C458" t="s">
        <v>1668</v>
      </c>
      <c r="D458" t="s">
        <v>1669</v>
      </c>
      <c r="E458" t="s">
        <v>1670</v>
      </c>
      <c r="F458" t="s">
        <v>33</v>
      </c>
      <c r="G458">
        <v>0</v>
      </c>
      <c r="H458">
        <f>((0/1000) * G458)</f>
        <v>0</v>
      </c>
      <c r="I458">
        <v>0</v>
      </c>
      <c r="J458">
        <v>0</v>
      </c>
      <c r="K458" s="1807">
        <v>228187</v>
      </c>
      <c r="L458" s="1808">
        <f>(K458 * G458)</f>
        <v>0</v>
      </c>
      <c r="M458" s="1809">
        <v>319461.8</v>
      </c>
      <c r="N458" s="1810">
        <f>(G458 * M458)</f>
        <v>0</v>
      </c>
      <c r="O458">
        <v>0</v>
      </c>
      <c r="P458">
        <v>0</v>
      </c>
      <c r="Q458">
        <f>IF(O458&gt;G458,(O458-G458),0)</f>
        <v>0</v>
      </c>
      <c r="R458">
        <v>1</v>
      </c>
      <c r="S458">
        <f>IF(Q458&gt;0,Int(P458/Q458),0)</f>
        <v>0</v>
      </c>
      <c r="T458">
        <f>238948.68</f>
        <v>238948.68</v>
      </c>
      <c r="U458" t="s">
        <v>1671</v>
      </c>
      <c r="V458">
        <v>228187</v>
      </c>
      <c r="W458" t="s">
        <v>182</v>
      </c>
      <c r="X458"/>
    </row>
    <row r="459" spans="1:27">
      <c r="A459" t="s">
        <v>35</v>
      </c>
      <c r="B459" t="s">
        <v>29</v>
      </c>
      <c r="C459" t="s">
        <v>1672</v>
      </c>
      <c r="D459" t="s">
        <v>1673</v>
      </c>
      <c r="E459" t="s">
        <v>1674</v>
      </c>
      <c r="F459" t="s">
        <v>41</v>
      </c>
      <c r="G459">
        <v>0</v>
      </c>
      <c r="H459">
        <f>((0/1000) * G459)</f>
        <v>0</v>
      </c>
      <c r="I459">
        <v>0</v>
      </c>
      <c r="J459">
        <v>0</v>
      </c>
      <c r="K459" s="1811">
        <v>18077.11</v>
      </c>
      <c r="L459" s="1812">
        <f>(K459 * G459)</f>
        <v>0</v>
      </c>
      <c r="M459" s="1813">
        <v>19884.82</v>
      </c>
      <c r="N459" s="1814">
        <f>(G459 * M459)</f>
        <v>0</v>
      </c>
      <c r="O459">
        <v>0</v>
      </c>
      <c r="P459">
        <v>0</v>
      </c>
      <c r="Q459">
        <f>IF(O459&gt;G459,(O459-G459),0)</f>
        <v>0</v>
      </c>
      <c r="R459">
        <v>1</v>
      </c>
      <c r="S459">
        <f>IF(Q459&gt;0,Int(P459/Q459),0)</f>
        <v>0</v>
      </c>
      <c r="T459">
        <f>0</f>
        <v>0</v>
      </c>
      <c r="U459"/>
      <c r="V459">
        <v>18077.11</v>
      </c>
      <c r="W459" t="s">
        <v>43</v>
      </c>
      <c r="X459"/>
    </row>
    <row r="460" spans="1:27">
      <c r="A460" t="s">
        <v>35</v>
      </c>
      <c r="B460" t="s">
        <v>29</v>
      </c>
      <c r="C460" t="s">
        <v>1675</v>
      </c>
      <c r="D460" t="s">
        <v>1676</v>
      </c>
      <c r="E460" t="s">
        <v>1677</v>
      </c>
      <c r="F460" t="s">
        <v>41</v>
      </c>
      <c r="G460">
        <v>1</v>
      </c>
      <c r="H460">
        <f>((0/1000) * G460)</f>
        <v>0</v>
      </c>
      <c r="I460">
        <v>1</v>
      </c>
      <c r="J460">
        <v>0</v>
      </c>
      <c r="K460" s="1815">
        <v>228187</v>
      </c>
      <c r="L460" s="1816">
        <f>(K460 * G460)</f>
        <v>228187</v>
      </c>
      <c r="M460" s="1817">
        <v>319461.8</v>
      </c>
      <c r="N460" s="1818">
        <f>(G460 * M460)</f>
        <v>319461.8</v>
      </c>
      <c r="O460">
        <v>0</v>
      </c>
      <c r="P460">
        <v>0</v>
      </c>
      <c r="Q460">
        <f>IF(O460&gt;G460,(O460-G460),0)</f>
        <v>0</v>
      </c>
      <c r="R460">
        <v>1</v>
      </c>
      <c r="S460">
        <f>IF(Q460&gt;0,Int(P460/Q460),0)</f>
        <v>0</v>
      </c>
      <c r="T460">
        <f>215300.84</f>
        <v>215300.84</v>
      </c>
      <c r="U460" t="s">
        <v>1678</v>
      </c>
      <c r="V460">
        <v>228187</v>
      </c>
      <c r="W460" t="s">
        <v>182</v>
      </c>
      <c r="X460"/>
    </row>
    <row r="461" spans="1:27">
      <c r="A461" t="s">
        <v>35</v>
      </c>
      <c r="B461" t="s">
        <v>29</v>
      </c>
      <c r="C461" t="s">
        <v>1679</v>
      </c>
      <c r="D461" t="s">
        <v>1680</v>
      </c>
      <c r="E461" t="s">
        <v>1681</v>
      </c>
      <c r="F461" t="s">
        <v>41</v>
      </c>
      <c r="G461">
        <v>1</v>
      </c>
      <c r="H461">
        <f>((0/1000) * G461)</f>
        <v>0</v>
      </c>
      <c r="I461">
        <v>0</v>
      </c>
      <c r="J461">
        <v>1</v>
      </c>
      <c r="K461" s="1819">
        <v>282292.8</v>
      </c>
      <c r="L461" s="1820">
        <f>(K461 * G461)</f>
        <v>282292.8</v>
      </c>
      <c r="M461" s="1821">
        <v>395209.93</v>
      </c>
      <c r="N461" s="1822">
        <f>(G461 * M461)</f>
        <v>395209.93</v>
      </c>
      <c r="O461">
        <v>0</v>
      </c>
      <c r="P461">
        <v>0</v>
      </c>
      <c r="Q461">
        <f>IF(O461&gt;G461,(O461-G461),0)</f>
        <v>0</v>
      </c>
      <c r="R461">
        <v>1</v>
      </c>
      <c r="S461">
        <f>IF(Q461&gt;0,Int(P461/Q461),0)</f>
        <v>0</v>
      </c>
      <c r="T461">
        <f>120510.89</f>
        <v>120510.89</v>
      </c>
      <c r="U461" t="s">
        <v>1682</v>
      </c>
      <c r="V461">
        <v>282292.8</v>
      </c>
      <c r="W461" t="s">
        <v>182</v>
      </c>
      <c r="X461" t="s">
        <v>262</v>
      </c>
    </row>
    <row r="462" spans="1:27">
      <c r="A462" t="s">
        <v>35</v>
      </c>
      <c r="B462" t="s">
        <v>29</v>
      </c>
      <c r="C462" t="s">
        <v>1683</v>
      </c>
      <c r="D462" t="s">
        <v>1684</v>
      </c>
      <c r="E462" t="s">
        <v>1685</v>
      </c>
      <c r="F462" t="s">
        <v>41</v>
      </c>
      <c r="G462">
        <v>3</v>
      </c>
      <c r="H462">
        <f>((0/1000) * G462)</f>
        <v>0</v>
      </c>
      <c r="I462">
        <v>0</v>
      </c>
      <c r="J462">
        <v>3</v>
      </c>
      <c r="K462" s="1823">
        <v>77647</v>
      </c>
      <c r="L462" s="1824">
        <f>(K462 * G462)</f>
        <v>232941</v>
      </c>
      <c r="M462" s="1825">
        <v>139764.6</v>
      </c>
      <c r="N462" s="1826">
        <f>(G462 * M462)</f>
        <v>419293.8</v>
      </c>
      <c r="O462">
        <v>0</v>
      </c>
      <c r="P462">
        <v>0</v>
      </c>
      <c r="Q462">
        <f>IF(O462&gt;G462,(O462-G462),0)</f>
        <v>0</v>
      </c>
      <c r="R462">
        <v>1</v>
      </c>
      <c r="S462">
        <f>IF(Q462&gt;0,Int(P462/Q462),0)</f>
        <v>0</v>
      </c>
      <c r="T462">
        <f>77647</f>
        <v>77647</v>
      </c>
      <c r="U462" t="s">
        <v>858</v>
      </c>
      <c r="V462">
        <v>77647</v>
      </c>
      <c r="W462" t="s">
        <v>197</v>
      </c>
      <c r="X462" t="s">
        <v>136</v>
      </c>
    </row>
    <row r="463" spans="1:27">
      <c r="A463" t="s">
        <v>35</v>
      </c>
      <c r="B463" t="s">
        <v>29</v>
      </c>
      <c r="C463" t="s">
        <v>1686</v>
      </c>
      <c r="D463" t="s">
        <v>1687</v>
      </c>
      <c r="E463" t="s">
        <v>1688</v>
      </c>
      <c r="F463" t="s">
        <v>41</v>
      </c>
      <c r="G463">
        <v>10</v>
      </c>
      <c r="H463">
        <f>((0/1000) * G463)</f>
        <v>0</v>
      </c>
      <c r="I463">
        <v>0</v>
      </c>
      <c r="J463">
        <v>10</v>
      </c>
      <c r="K463" s="1827">
        <v>62260</v>
      </c>
      <c r="L463" s="1828">
        <f>(K463 * G463)</f>
        <v>622600</v>
      </c>
      <c r="M463" s="1829">
        <v>112068</v>
      </c>
      <c r="N463" s="1830">
        <f>(G463 * M463)</f>
        <v>1120680</v>
      </c>
      <c r="O463">
        <v>0</v>
      </c>
      <c r="P463">
        <v>0</v>
      </c>
      <c r="Q463">
        <f>IF(O463&gt;G463,(O463-G463),0)</f>
        <v>0</v>
      </c>
      <c r="R463">
        <v>1</v>
      </c>
      <c r="S463">
        <f>IF(Q463&gt;0,Int(P463/Q463),0)</f>
        <v>0</v>
      </c>
      <c r="T463">
        <f>62260</f>
        <v>62260</v>
      </c>
      <c r="U463" t="s">
        <v>1312</v>
      </c>
      <c r="V463">
        <v>62260</v>
      </c>
      <c r="W463" t="s">
        <v>651</v>
      </c>
      <c r="X463" t="s">
        <v>1689</v>
      </c>
    </row>
    <row r="464" spans="1:27">
      <c r="A464" t="s">
        <v>35</v>
      </c>
      <c r="B464" t="s">
        <v>29</v>
      </c>
      <c r="C464" t="s">
        <v>1690</v>
      </c>
      <c r="D464" t="s">
        <v>1691</v>
      </c>
      <c r="E464" t="s">
        <v>1692</v>
      </c>
      <c r="F464" t="s">
        <v>33</v>
      </c>
      <c r="G464">
        <v>0</v>
      </c>
      <c r="H464">
        <f>((0/1000) * G464)</f>
        <v>0</v>
      </c>
      <c r="I464">
        <v>0</v>
      </c>
      <c r="J464">
        <v>0</v>
      </c>
      <c r="K464" s="1831">
        <v>0</v>
      </c>
      <c r="L464" s="1832">
        <f>(K464 * G464)</f>
        <v>0</v>
      </c>
      <c r="M464" s="1833">
        <v>0</v>
      </c>
      <c r="N464" s="1834">
        <f>(G464 * M464)</f>
        <v>0</v>
      </c>
      <c r="O464">
        <v>0</v>
      </c>
      <c r="P464">
        <v>0</v>
      </c>
      <c r="Q464">
        <f>IF(O464&gt;G464,(O464-G464),0)</f>
        <v>0</v>
      </c>
      <c r="R464">
        <v>1</v>
      </c>
      <c r="S464">
        <f>IF(Q464&gt;0,Int(P464/Q464),0)</f>
        <v>0</v>
      </c>
      <c r="T464">
        <f>0</f>
        <v>0</v>
      </c>
      <c r="U464" t="s">
        <v>1693</v>
      </c>
      <c r="V464">
        <v>0</v>
      </c>
      <c r="W464">
        <v>0</v>
      </c>
      <c r="X464"/>
    </row>
    <row r="465" spans="1:27">
      <c r="A465" t="s">
        <v>35</v>
      </c>
      <c r="B465" t="s">
        <v>29</v>
      </c>
      <c r="C465" t="s">
        <v>1694</v>
      </c>
      <c r="D465" t="s">
        <v>1695</v>
      </c>
      <c r="E465" t="s">
        <v>1696</v>
      </c>
      <c r="F465" t="s">
        <v>33</v>
      </c>
      <c r="G465">
        <v>0</v>
      </c>
      <c r="H465">
        <f>((0/1000) * G465)</f>
        <v>0</v>
      </c>
      <c r="I465">
        <v>0</v>
      </c>
      <c r="J465">
        <v>0</v>
      </c>
      <c r="K465" s="1835">
        <v>119090.91</v>
      </c>
      <c r="L465" s="1836">
        <f>(K465 * G465)</f>
        <v>0</v>
      </c>
      <c r="M465" s="1837">
        <v>166727.27</v>
      </c>
      <c r="N465" s="1838">
        <f>(G465 * M465)</f>
        <v>0</v>
      </c>
      <c r="O465">
        <v>0</v>
      </c>
      <c r="P465">
        <v>0</v>
      </c>
      <c r="Q465">
        <f>IF(O465&gt;G465,(O465-G465),0)</f>
        <v>0</v>
      </c>
      <c r="R465">
        <v>1</v>
      </c>
      <c r="S465">
        <f>IF(Q465&gt;0,Int(P465/Q465),0)</f>
        <v>0</v>
      </c>
      <c r="T465">
        <f>108264.46</f>
        <v>108264.46</v>
      </c>
      <c r="U465" t="s">
        <v>1697</v>
      </c>
      <c r="V465">
        <v>119090.91</v>
      </c>
      <c r="W465" t="s">
        <v>75</v>
      </c>
      <c r="X465"/>
    </row>
    <row r="466" spans="1:27">
      <c r="A466" t="s">
        <v>35</v>
      </c>
      <c r="B466" t="s">
        <v>29</v>
      </c>
      <c r="C466" t="s">
        <v>1698</v>
      </c>
      <c r="D466" t="s">
        <v>1699</v>
      </c>
      <c r="E466" t="s">
        <v>1700</v>
      </c>
      <c r="F466" t="s">
        <v>41</v>
      </c>
      <c r="G466">
        <v>0</v>
      </c>
      <c r="H466">
        <f>((0/1000) * G466)</f>
        <v>0</v>
      </c>
      <c r="I466">
        <v>0</v>
      </c>
      <c r="J466">
        <v>0</v>
      </c>
      <c r="K466" s="1839">
        <v>294181.82</v>
      </c>
      <c r="L466" s="1840">
        <f>(K466 * G466)</f>
        <v>0</v>
      </c>
      <c r="M466" s="1841">
        <v>411854.55</v>
      </c>
      <c r="N466" s="1842">
        <f>(G466 * M466)</f>
        <v>0</v>
      </c>
      <c r="O466">
        <v>0</v>
      </c>
      <c r="P466">
        <v>0</v>
      </c>
      <c r="Q466">
        <f>IF(O466&gt;G466,(O466-G466),0)</f>
        <v>0</v>
      </c>
      <c r="R466">
        <v>1</v>
      </c>
      <c r="S466">
        <f>IF(Q466&gt;0,Int(P466/Q466),0)</f>
        <v>0</v>
      </c>
      <c r="T466">
        <f>97445.53</f>
        <v>97445.53</v>
      </c>
      <c r="U466" t="s">
        <v>1701</v>
      </c>
      <c r="V466">
        <v>294181.82</v>
      </c>
      <c r="W466" t="s">
        <v>75</v>
      </c>
      <c r="X466"/>
    </row>
    <row r="467" spans="1:27">
      <c r="A467" t="s">
        <v>35</v>
      </c>
      <c r="B467" t="s">
        <v>29</v>
      </c>
      <c r="C467" t="s">
        <v>1702</v>
      </c>
      <c r="D467" t="s">
        <v>1703</v>
      </c>
      <c r="E467" t="s">
        <v>1704</v>
      </c>
      <c r="F467" t="s">
        <v>33</v>
      </c>
      <c r="G467">
        <v>0</v>
      </c>
      <c r="H467">
        <f>((0/1000) * G467)</f>
        <v>0</v>
      </c>
      <c r="I467">
        <v>0</v>
      </c>
      <c r="J467">
        <v>0</v>
      </c>
      <c r="K467" s="1843">
        <v>172396.69</v>
      </c>
      <c r="L467" s="1844">
        <f>(K467 * G467)</f>
        <v>0</v>
      </c>
      <c r="M467" s="1845">
        <v>241355.36</v>
      </c>
      <c r="N467" s="1846">
        <f>(G467 * M467)</f>
        <v>0</v>
      </c>
      <c r="O467">
        <v>0</v>
      </c>
      <c r="P467">
        <v>0</v>
      </c>
      <c r="Q467">
        <f>IF(O467&gt;G467,(O467-G467),0)</f>
        <v>0</v>
      </c>
      <c r="R467">
        <v>1</v>
      </c>
      <c r="S467">
        <f>IF(Q467&gt;0,Int(P467/Q467),0)</f>
        <v>0</v>
      </c>
      <c r="T467">
        <f>0</f>
        <v>0</v>
      </c>
      <c r="U467"/>
      <c r="V467">
        <v>172396.69</v>
      </c>
      <c r="W467" t="s">
        <v>75</v>
      </c>
      <c r="X467"/>
    </row>
    <row r="468" spans="1:27">
      <c r="A468" t="s">
        <v>35</v>
      </c>
      <c r="B468" t="s">
        <v>29</v>
      </c>
      <c r="C468" t="s">
        <v>1705</v>
      </c>
      <c r="D468" t="s">
        <v>1706</v>
      </c>
      <c r="E468" t="s">
        <v>1707</v>
      </c>
      <c r="F468" t="s">
        <v>33</v>
      </c>
      <c r="G468">
        <v>0</v>
      </c>
      <c r="H468">
        <f>((0/1000) * G468)</f>
        <v>0</v>
      </c>
      <c r="I468">
        <v>0</v>
      </c>
      <c r="J468">
        <v>0</v>
      </c>
      <c r="K468" s="1847">
        <v>0</v>
      </c>
      <c r="L468" s="1848">
        <f>(K468 * G468)</f>
        <v>0</v>
      </c>
      <c r="M468" s="1849">
        <v>0</v>
      </c>
      <c r="N468" s="1850">
        <f>(G468 * M468)</f>
        <v>0</v>
      </c>
      <c r="O468">
        <v>0</v>
      </c>
      <c r="P468">
        <v>0</v>
      </c>
      <c r="Q468">
        <f>IF(O468&gt;G468,(O468-G468),0)</f>
        <v>0</v>
      </c>
      <c r="R468">
        <v>1</v>
      </c>
      <c r="S468">
        <f>IF(Q468&gt;0,Int(P468/Q468),0)</f>
        <v>0</v>
      </c>
      <c r="T468">
        <f>0</f>
        <v>0</v>
      </c>
      <c r="U468"/>
      <c r="V468">
        <v>0</v>
      </c>
      <c r="W468">
        <v>0</v>
      </c>
      <c r="X468"/>
    </row>
    <row r="469" spans="1:27">
      <c r="A469" t="s">
        <v>35</v>
      </c>
      <c r="B469" t="s">
        <v>29</v>
      </c>
      <c r="C469" t="s">
        <v>1708</v>
      </c>
      <c r="D469" t="s">
        <v>1708</v>
      </c>
      <c r="E469" t="s">
        <v>1709</v>
      </c>
      <c r="F469" t="s">
        <v>33</v>
      </c>
      <c r="G469">
        <v>0</v>
      </c>
      <c r="H469">
        <f>((1/1000) * G469)</f>
        <v>0</v>
      </c>
      <c r="I469">
        <v>0</v>
      </c>
      <c r="J469">
        <v>0</v>
      </c>
      <c r="K469" s="1851">
        <v>0</v>
      </c>
      <c r="L469" s="1852">
        <f>(K469 * G469)</f>
        <v>0</v>
      </c>
      <c r="M469" s="1853">
        <v>0</v>
      </c>
      <c r="N469" s="1854">
        <f>(G469 * M469)</f>
        <v>0</v>
      </c>
      <c r="O469">
        <v>0</v>
      </c>
      <c r="P469">
        <v>0</v>
      </c>
      <c r="Q469">
        <f>IF(O469&gt;G469,(O469-G469),0)</f>
        <v>0</v>
      </c>
      <c r="R469">
        <v>0</v>
      </c>
      <c r="S469">
        <f>IF(Q469&gt;0,Int(P469/Q469),0)</f>
        <v>0</v>
      </c>
      <c r="T469">
        <f>0</f>
        <v>0</v>
      </c>
      <c r="U469"/>
      <c r="V469">
        <v>0</v>
      </c>
      <c r="W469">
        <v>0</v>
      </c>
      <c r="X469"/>
    </row>
    <row r="470" spans="1:27">
      <c r="A470" t="s">
        <v>35</v>
      </c>
      <c r="B470" t="s">
        <v>29</v>
      </c>
      <c r="C470" t="s">
        <v>1710</v>
      </c>
      <c r="D470" t="s">
        <v>1710</v>
      </c>
      <c r="E470" t="s">
        <v>1711</v>
      </c>
      <c r="F470" t="s">
        <v>33</v>
      </c>
      <c r="G470">
        <v>0</v>
      </c>
      <c r="H470">
        <f>((1/1000) * G470)</f>
        <v>0</v>
      </c>
      <c r="I470">
        <v>0</v>
      </c>
      <c r="J470">
        <v>0</v>
      </c>
      <c r="K470" s="1855">
        <v>0</v>
      </c>
      <c r="L470" s="1856">
        <f>(K470 * G470)</f>
        <v>0</v>
      </c>
      <c r="M470" s="1857">
        <v>0</v>
      </c>
      <c r="N470" s="1858">
        <f>(G470 * M470)</f>
        <v>0</v>
      </c>
      <c r="O470">
        <v>0</v>
      </c>
      <c r="P470">
        <v>0</v>
      </c>
      <c r="Q470">
        <f>IF(O470&gt;G470,(O470-G470),0)</f>
        <v>0</v>
      </c>
      <c r="R470">
        <v>0</v>
      </c>
      <c r="S470">
        <f>IF(Q470&gt;0,Int(P470/Q470),0)</f>
        <v>0</v>
      </c>
      <c r="T470">
        <f>0</f>
        <v>0</v>
      </c>
      <c r="U470"/>
      <c r="V470">
        <v>0</v>
      </c>
      <c r="W470">
        <v>0</v>
      </c>
      <c r="X470"/>
    </row>
    <row r="471" spans="1:27">
      <c r="A471" t="s">
        <v>35</v>
      </c>
      <c r="B471" t="s">
        <v>29</v>
      </c>
      <c r="C471" t="s">
        <v>1712</v>
      </c>
      <c r="D471" t="s">
        <v>1713</v>
      </c>
      <c r="E471" t="s">
        <v>1714</v>
      </c>
      <c r="F471" t="s">
        <v>33</v>
      </c>
      <c r="G471">
        <v>7</v>
      </c>
      <c r="H471">
        <f>((0/1000) * G471)</f>
        <v>0</v>
      </c>
      <c r="I471">
        <v>0</v>
      </c>
      <c r="J471">
        <v>7</v>
      </c>
      <c r="K471" s="1859">
        <v>56522</v>
      </c>
      <c r="L471" s="1860">
        <f>(K471 * G471)</f>
        <v>395654</v>
      </c>
      <c r="M471" s="1861">
        <v>99173.55</v>
      </c>
      <c r="N471" s="1862">
        <f>(G471 * M471)</f>
        <v>694214.85</v>
      </c>
      <c r="O471">
        <v>0</v>
      </c>
      <c r="P471">
        <v>0</v>
      </c>
      <c r="Q471">
        <f>IF(O471&gt;G471,(O471-G471),0)</f>
        <v>0</v>
      </c>
      <c r="R471">
        <v>1</v>
      </c>
      <c r="S471">
        <f>IF(Q471&gt;0,Int(P471/Q471),0)</f>
        <v>0</v>
      </c>
      <c r="T471">
        <f>56522</f>
        <v>56522</v>
      </c>
      <c r="U471" t="s">
        <v>1379</v>
      </c>
      <c r="V471">
        <v>56522</v>
      </c>
      <c r="W471" t="s">
        <v>97</v>
      </c>
      <c r="X471" t="s">
        <v>1643</v>
      </c>
    </row>
    <row r="472" spans="1:27">
      <c r="A472" t="s">
        <v>35</v>
      </c>
      <c r="B472" t="s">
        <v>29</v>
      </c>
      <c r="C472" t="s">
        <v>1715</v>
      </c>
      <c r="D472" t="s">
        <v>1716</v>
      </c>
      <c r="E472" t="s">
        <v>1717</v>
      </c>
      <c r="F472" t="s">
        <v>41</v>
      </c>
      <c r="G472">
        <v>0</v>
      </c>
      <c r="H472">
        <f>((0/1000) * G472)</f>
        <v>0</v>
      </c>
      <c r="I472">
        <v>0</v>
      </c>
      <c r="J472">
        <v>0</v>
      </c>
      <c r="K472" s="1863">
        <v>114958.68</v>
      </c>
      <c r="L472" s="1864">
        <f>(K472 * G472)</f>
        <v>0</v>
      </c>
      <c r="M472" s="1865">
        <v>126454.55</v>
      </c>
      <c r="N472" s="1866">
        <f>(G472 * M472)</f>
        <v>0</v>
      </c>
      <c r="O472">
        <v>0</v>
      </c>
      <c r="P472">
        <v>0</v>
      </c>
      <c r="Q472">
        <f>IF(O472&gt;G472,(O472-G472),0)</f>
        <v>0</v>
      </c>
      <c r="R472">
        <v>1</v>
      </c>
      <c r="S472">
        <f>IF(Q472&gt;0,Int(P472/Q472),0)</f>
        <v>0</v>
      </c>
      <c r="T472">
        <f>45740.05</f>
        <v>45740.05</v>
      </c>
      <c r="U472" t="s">
        <v>1718</v>
      </c>
      <c r="V472">
        <v>114958.68</v>
      </c>
      <c r="W472" t="s">
        <v>43</v>
      </c>
      <c r="X472"/>
    </row>
    <row r="473" spans="1:27">
      <c r="A473" t="s">
        <v>35</v>
      </c>
      <c r="B473" t="s">
        <v>29</v>
      </c>
      <c r="C473" t="s">
        <v>1719</v>
      </c>
      <c r="D473" t="s">
        <v>1720</v>
      </c>
      <c r="E473" t="s">
        <v>1721</v>
      </c>
      <c r="F473" t="s">
        <v>41</v>
      </c>
      <c r="G473">
        <v>0</v>
      </c>
      <c r="H473">
        <f>((0/1000) * G473)</f>
        <v>0</v>
      </c>
      <c r="I473">
        <v>0</v>
      </c>
      <c r="J473">
        <v>0</v>
      </c>
      <c r="K473" s="1867">
        <v>75184</v>
      </c>
      <c r="L473" s="1868">
        <f>(K473 * G473)</f>
        <v>0</v>
      </c>
      <c r="M473" s="1869">
        <v>112776</v>
      </c>
      <c r="N473" s="1870">
        <f>(G473 * M473)</f>
        <v>0</v>
      </c>
      <c r="O473">
        <v>0</v>
      </c>
      <c r="P473">
        <v>0</v>
      </c>
      <c r="Q473">
        <f>IF(O473&gt;G473,(O473-G473),0)</f>
        <v>0</v>
      </c>
      <c r="R473">
        <v>1</v>
      </c>
      <c r="S473">
        <f>IF(Q473&gt;0,Int(P473/Q473),0)</f>
        <v>0</v>
      </c>
      <c r="T473">
        <f>75184</f>
        <v>75184</v>
      </c>
      <c r="U473" t="s">
        <v>1722</v>
      </c>
      <c r="V473">
        <v>75184</v>
      </c>
      <c r="W473" t="s">
        <v>1467</v>
      </c>
      <c r="X473"/>
    </row>
    <row r="474" spans="1:27">
      <c r="A474" t="s">
        <v>35</v>
      </c>
      <c r="B474" t="s">
        <v>29</v>
      </c>
      <c r="C474" t="s">
        <v>1723</v>
      </c>
      <c r="D474" t="s">
        <v>1724</v>
      </c>
      <c r="E474" t="s">
        <v>1725</v>
      </c>
      <c r="F474" t="s">
        <v>33</v>
      </c>
      <c r="G474">
        <v>0</v>
      </c>
      <c r="H474">
        <f>((0/1000) * G474)</f>
        <v>0</v>
      </c>
      <c r="I474">
        <v>0</v>
      </c>
      <c r="J474">
        <v>0</v>
      </c>
      <c r="K474" s="1871">
        <v>71272.73</v>
      </c>
      <c r="L474" s="1872">
        <f>(K474 * G474)</f>
        <v>0</v>
      </c>
      <c r="M474" s="1873">
        <v>106909.1</v>
      </c>
      <c r="N474" s="1874">
        <f>(G474 * M474)</f>
        <v>0</v>
      </c>
      <c r="O474">
        <v>0</v>
      </c>
      <c r="P474">
        <v>0</v>
      </c>
      <c r="Q474">
        <f>IF(O474&gt;G474,(O474-G474),0)</f>
        <v>0</v>
      </c>
      <c r="R474">
        <v>1</v>
      </c>
      <c r="S474">
        <f>IF(Q474&gt;0,Int(P474/Q474),0)</f>
        <v>0</v>
      </c>
      <c r="T474">
        <f>64793.39</f>
        <v>64793.39</v>
      </c>
      <c r="U474" t="s">
        <v>1726</v>
      </c>
      <c r="V474">
        <v>71272.73</v>
      </c>
      <c r="W474" t="s">
        <v>43</v>
      </c>
      <c r="X474"/>
    </row>
    <row r="475" spans="1:27">
      <c r="A475" t="s">
        <v>35</v>
      </c>
      <c r="B475" t="s">
        <v>29</v>
      </c>
      <c r="C475" t="s">
        <v>1727</v>
      </c>
      <c r="D475" t="s">
        <v>1728</v>
      </c>
      <c r="E475" t="s">
        <v>1729</v>
      </c>
      <c r="F475" t="s">
        <v>33</v>
      </c>
      <c r="G475">
        <v>0</v>
      </c>
      <c r="H475">
        <f>((0/1000) * G475)</f>
        <v>0</v>
      </c>
      <c r="I475">
        <v>0</v>
      </c>
      <c r="J475">
        <v>0</v>
      </c>
      <c r="K475" s="1875">
        <v>61158.57</v>
      </c>
      <c r="L475" s="1876">
        <f>(K475 * G475)</f>
        <v>0</v>
      </c>
      <c r="M475" s="1877">
        <v>85622</v>
      </c>
      <c r="N475" s="1878">
        <f>(G475 * M475)</f>
        <v>0</v>
      </c>
      <c r="O475">
        <v>0</v>
      </c>
      <c r="P475">
        <v>0</v>
      </c>
      <c r="Q475">
        <f>IF(O475&gt;G475,(O475-G475),0)</f>
        <v>0</v>
      </c>
      <c r="R475">
        <v>1</v>
      </c>
      <c r="S475">
        <f>IF(Q475&gt;0,Int(P475/Q475),0)</f>
        <v>0</v>
      </c>
      <c r="T475">
        <f>60689.81</f>
        <v>60689.81</v>
      </c>
      <c r="U475" t="s">
        <v>1730</v>
      </c>
      <c r="V475">
        <v>61158.57</v>
      </c>
      <c r="W475" t="s">
        <v>75</v>
      </c>
      <c r="X475"/>
    </row>
    <row r="476" spans="1:27">
      <c r="A476" t="s">
        <v>35</v>
      </c>
      <c r="B476" t="s">
        <v>29</v>
      </c>
      <c r="C476" t="s">
        <v>1731</v>
      </c>
      <c r="D476" t="s">
        <v>1731</v>
      </c>
      <c r="E476" t="s">
        <v>1732</v>
      </c>
      <c r="F476" t="s">
        <v>41</v>
      </c>
      <c r="G476">
        <v>0</v>
      </c>
      <c r="H476">
        <f>((0/1000) * G476)</f>
        <v>0</v>
      </c>
      <c r="I476">
        <v>0</v>
      </c>
      <c r="J476">
        <v>0</v>
      </c>
      <c r="K476" s="1879">
        <v>56000</v>
      </c>
      <c r="L476" s="1880">
        <f>(K476 * G476)</f>
        <v>0</v>
      </c>
      <c r="M476" s="1881">
        <v>84000</v>
      </c>
      <c r="N476" s="1882">
        <f>(G476 * M476)</f>
        <v>0</v>
      </c>
      <c r="O476">
        <v>0</v>
      </c>
      <c r="P476">
        <v>0</v>
      </c>
      <c r="Q476">
        <f>IF(O476&gt;G476,(O476-G476),0)</f>
        <v>0</v>
      </c>
      <c r="R476">
        <v>0</v>
      </c>
      <c r="S476">
        <f>IF(Q476&gt;0,Int(P476/Q476),0)</f>
        <v>0</v>
      </c>
      <c r="T476">
        <f>67224</f>
        <v>67224</v>
      </c>
      <c r="U476" t="s">
        <v>1733</v>
      </c>
      <c r="V476">
        <v>56000</v>
      </c>
      <c r="W476" t="s">
        <v>80</v>
      </c>
      <c r="X476" t="s">
        <v>1734</v>
      </c>
    </row>
    <row r="477" spans="1:27">
      <c r="A477" t="s">
        <v>35</v>
      </c>
      <c r="B477" t="s">
        <v>29</v>
      </c>
      <c r="C477" t="s">
        <v>1735</v>
      </c>
      <c r="D477" t="s">
        <v>1736</v>
      </c>
      <c r="E477" t="s">
        <v>1737</v>
      </c>
      <c r="F477" t="s">
        <v>41</v>
      </c>
      <c r="G477">
        <v>0</v>
      </c>
      <c r="H477">
        <f>((0/1000) * G477)</f>
        <v>0</v>
      </c>
      <c r="I477">
        <v>0</v>
      </c>
      <c r="J477">
        <v>0</v>
      </c>
      <c r="K477" s="1883">
        <v>116835.71</v>
      </c>
      <c r="L477" s="1884">
        <f>(K477 * G477)</f>
        <v>0</v>
      </c>
      <c r="M477" s="1885">
        <v>163569.99</v>
      </c>
      <c r="N477" s="1886">
        <f>(G477 * M477)</f>
        <v>0</v>
      </c>
      <c r="O477">
        <v>0</v>
      </c>
      <c r="P477">
        <v>0</v>
      </c>
      <c r="Q477">
        <f>IF(O477&gt;G477,(O477-G477),0)</f>
        <v>0</v>
      </c>
      <c r="R477">
        <v>1</v>
      </c>
      <c r="S477">
        <f>IF(Q477&gt;0,Int(P477/Q477),0)</f>
        <v>0</v>
      </c>
      <c r="T477">
        <f>94000</f>
        <v>94000</v>
      </c>
      <c r="U477" t="s">
        <v>1738</v>
      </c>
      <c r="V477">
        <v>116835.71</v>
      </c>
      <c r="W477" t="s">
        <v>301</v>
      </c>
      <c r="X477"/>
    </row>
    <row r="478" spans="1:27">
      <c r="A478" t="s">
        <v>35</v>
      </c>
      <c r="B478" t="s">
        <v>29</v>
      </c>
      <c r="C478" t="s">
        <v>1739</v>
      </c>
      <c r="D478" t="s">
        <v>1740</v>
      </c>
      <c r="E478" t="s">
        <v>1741</v>
      </c>
      <c r="F478" t="s">
        <v>41</v>
      </c>
      <c r="G478">
        <v>0</v>
      </c>
      <c r="H478">
        <f>((1/1000) * G478)</f>
        <v>0</v>
      </c>
      <c r="I478">
        <v>0</v>
      </c>
      <c r="J478">
        <v>0</v>
      </c>
      <c r="K478" s="1887">
        <v>183688.18</v>
      </c>
      <c r="L478" s="1888">
        <f>(K478 * G478)</f>
        <v>0</v>
      </c>
      <c r="M478" s="1889">
        <v>183688.18</v>
      </c>
      <c r="N478" s="1890">
        <f>(G478 * M478)</f>
        <v>0</v>
      </c>
      <c r="O478">
        <v>0</v>
      </c>
      <c r="P478">
        <v>0</v>
      </c>
      <c r="Q478">
        <f>IF(O478&gt;G478,(O478-G478),0)</f>
        <v>0</v>
      </c>
      <c r="R478">
        <v>1</v>
      </c>
      <c r="S478">
        <f>IF(Q478&gt;0,Int(P478/Q478),0)</f>
        <v>0</v>
      </c>
      <c r="T478">
        <f>123000</f>
        <v>123000</v>
      </c>
      <c r="U478" t="s">
        <v>1742</v>
      </c>
      <c r="V478">
        <v>183688.18</v>
      </c>
      <c r="W478" t="s">
        <v>43</v>
      </c>
      <c r="X478"/>
    </row>
    <row r="479" spans="1:27">
      <c r="A479" t="s">
        <v>35</v>
      </c>
      <c r="B479" t="s">
        <v>29</v>
      </c>
      <c r="C479" t="s">
        <v>1743</v>
      </c>
      <c r="D479" t="s">
        <v>1744</v>
      </c>
      <c r="E479" t="s">
        <v>1745</v>
      </c>
      <c r="F479" t="s">
        <v>41</v>
      </c>
      <c r="G479">
        <v>0</v>
      </c>
      <c r="H479">
        <f>((1/1000) * G479)</f>
        <v>0</v>
      </c>
      <c r="I479">
        <v>0</v>
      </c>
      <c r="J479">
        <v>0</v>
      </c>
      <c r="K479" s="1891">
        <v>0</v>
      </c>
      <c r="L479" s="1892">
        <f>(K479 * G479)</f>
        <v>0</v>
      </c>
      <c r="M479" s="1893">
        <v>0</v>
      </c>
      <c r="N479" s="1894">
        <f>(G479 * M479)</f>
        <v>0</v>
      </c>
      <c r="O479">
        <v>0</v>
      </c>
      <c r="P479">
        <v>0</v>
      </c>
      <c r="Q479">
        <f>IF(O479&gt;G479,(O479-G479),0)</f>
        <v>0</v>
      </c>
      <c r="R479">
        <v>0</v>
      </c>
      <c r="S479">
        <f>IF(Q479&gt;0,Int(P479/Q479),0)</f>
        <v>0</v>
      </c>
      <c r="T479">
        <f>0</f>
        <v>0</v>
      </c>
      <c r="U479"/>
      <c r="V479">
        <v>0</v>
      </c>
      <c r="W479">
        <v>0</v>
      </c>
      <c r="X479"/>
    </row>
    <row r="480" spans="1:27">
      <c r="A480" t="s">
        <v>35</v>
      </c>
      <c r="B480" t="s">
        <v>29</v>
      </c>
      <c r="C480" t="s">
        <v>1746</v>
      </c>
      <c r="D480" t="s">
        <v>1747</v>
      </c>
      <c r="E480" t="s">
        <v>1748</v>
      </c>
      <c r="F480" t="s">
        <v>41</v>
      </c>
      <c r="G480">
        <v>1</v>
      </c>
      <c r="H480">
        <f>((0/1000) * G480)</f>
        <v>0</v>
      </c>
      <c r="I480">
        <v>1</v>
      </c>
      <c r="J480">
        <v>0</v>
      </c>
      <c r="K480" s="1895">
        <v>124888.06</v>
      </c>
      <c r="L480" s="1896">
        <f>(K480 * G480)</f>
        <v>124888.06</v>
      </c>
      <c r="M480" s="1897">
        <v>174843.28</v>
      </c>
      <c r="N480" s="1898">
        <f>(G480 * M480)</f>
        <v>174843.28</v>
      </c>
      <c r="O480">
        <v>0</v>
      </c>
      <c r="P480">
        <v>0</v>
      </c>
      <c r="Q480">
        <f>IF(O480&gt;G480,(O480-G480),0)</f>
        <v>0</v>
      </c>
      <c r="R480">
        <v>1</v>
      </c>
      <c r="S480">
        <f>IF(Q480&gt;0,Int(P480/Q480),0)</f>
        <v>0</v>
      </c>
      <c r="T480">
        <f>124888.06</f>
        <v>124888.06</v>
      </c>
      <c r="U480" t="s">
        <v>1749</v>
      </c>
      <c r="V480">
        <v>124888.06</v>
      </c>
      <c r="W480" t="s">
        <v>274</v>
      </c>
      <c r="X480"/>
    </row>
    <row r="481" spans="1:27">
      <c r="A481" t="s">
        <v>35</v>
      </c>
      <c r="B481" t="s">
        <v>29</v>
      </c>
      <c r="C481" t="s">
        <v>1750</v>
      </c>
      <c r="D481" t="s">
        <v>1751</v>
      </c>
      <c r="E481" t="s">
        <v>1752</v>
      </c>
      <c r="F481" t="s">
        <v>41</v>
      </c>
      <c r="G481">
        <v>1</v>
      </c>
      <c r="H481">
        <f>((0/1000) * G481)</f>
        <v>0</v>
      </c>
      <c r="I481">
        <v>1</v>
      </c>
      <c r="J481">
        <v>0</v>
      </c>
      <c r="K481" s="1899">
        <v>187481.64</v>
      </c>
      <c r="L481" s="1900">
        <f>(K481 * G481)</f>
        <v>187481.64</v>
      </c>
      <c r="M481" s="1901">
        <v>262474.3</v>
      </c>
      <c r="N481" s="1902">
        <f>(G481 * M481)</f>
        <v>262474.3</v>
      </c>
      <c r="O481">
        <v>0</v>
      </c>
      <c r="P481">
        <v>0</v>
      </c>
      <c r="Q481">
        <f>IF(O481&gt;G481,(O481-G481),0)</f>
        <v>0</v>
      </c>
      <c r="R481">
        <v>1</v>
      </c>
      <c r="S481">
        <f>IF(Q481&gt;0,Int(P481/Q481),0)</f>
        <v>0</v>
      </c>
      <c r="T481">
        <f>154943.5</f>
        <v>154943.5</v>
      </c>
      <c r="U481" t="s">
        <v>1753</v>
      </c>
      <c r="V481">
        <v>187481.64</v>
      </c>
      <c r="W481" t="s">
        <v>75</v>
      </c>
      <c r="X481" t="s">
        <v>49</v>
      </c>
    </row>
    <row r="482" spans="1:27">
      <c r="A482" t="s">
        <v>35</v>
      </c>
      <c r="B482" t="s">
        <v>29</v>
      </c>
      <c r="C482" t="s">
        <v>1754</v>
      </c>
      <c r="D482" t="s">
        <v>1755</v>
      </c>
      <c r="E482" t="s">
        <v>1756</v>
      </c>
      <c r="F482" t="s">
        <v>33</v>
      </c>
      <c r="G482">
        <v>0</v>
      </c>
      <c r="H482">
        <f>((0/1000) * G482)</f>
        <v>0</v>
      </c>
      <c r="I482">
        <v>0</v>
      </c>
      <c r="J482">
        <v>0</v>
      </c>
      <c r="K482" s="1903">
        <v>35000</v>
      </c>
      <c r="L482" s="1904">
        <f>(K482 * G482)</f>
        <v>0</v>
      </c>
      <c r="M482" s="1905">
        <v>49000</v>
      </c>
      <c r="N482" s="1906">
        <f>(G482 * M482)</f>
        <v>0</v>
      </c>
      <c r="O482">
        <v>0</v>
      </c>
      <c r="P482">
        <v>0</v>
      </c>
      <c r="Q482">
        <f>IF(O482&gt;G482,(O482-G482),0)</f>
        <v>0</v>
      </c>
      <c r="R482">
        <v>1</v>
      </c>
      <c r="S482">
        <f>IF(Q482&gt;0,Int(P482/Q482),0)</f>
        <v>0</v>
      </c>
      <c r="T482">
        <f>0</f>
        <v>0</v>
      </c>
      <c r="U482"/>
      <c r="V482">
        <v>35000</v>
      </c>
      <c r="W482" t="s">
        <v>75</v>
      </c>
      <c r="X482"/>
    </row>
    <row r="483" spans="1:27">
      <c r="A483" t="s">
        <v>35</v>
      </c>
      <c r="B483" t="s">
        <v>29</v>
      </c>
      <c r="C483" t="s">
        <v>1757</v>
      </c>
      <c r="D483" t="s">
        <v>1758</v>
      </c>
      <c r="E483" t="s">
        <v>1759</v>
      </c>
      <c r="F483" t="s">
        <v>33</v>
      </c>
      <c r="G483">
        <v>0</v>
      </c>
      <c r="H483">
        <f>((0/1000) * G483)</f>
        <v>0</v>
      </c>
      <c r="I483">
        <v>0</v>
      </c>
      <c r="J483">
        <v>0</v>
      </c>
      <c r="K483" s="1907">
        <v>126500</v>
      </c>
      <c r="L483" s="1908">
        <f>(K483 * G483)</f>
        <v>0</v>
      </c>
      <c r="M483" s="1909">
        <v>177100</v>
      </c>
      <c r="N483" s="1910">
        <f>(G483 * M483)</f>
        <v>0</v>
      </c>
      <c r="O483">
        <v>0</v>
      </c>
      <c r="P483">
        <v>0</v>
      </c>
      <c r="Q483">
        <f>IF(O483&gt;G483,(O483-G483),0)</f>
        <v>0</v>
      </c>
      <c r="R483">
        <v>0</v>
      </c>
      <c r="S483">
        <f>IF(Q483&gt;0,Int(P483/Q483),0)</f>
        <v>0</v>
      </c>
      <c r="T483">
        <f>0</f>
        <v>0</v>
      </c>
      <c r="U483"/>
      <c r="V483">
        <v>126500</v>
      </c>
      <c r="W483" t="s">
        <v>148</v>
      </c>
      <c r="X483"/>
    </row>
    <row r="484" spans="1:27">
      <c r="A484" t="s">
        <v>35</v>
      </c>
      <c r="B484" t="s">
        <v>29</v>
      </c>
      <c r="C484" t="s">
        <v>1760</v>
      </c>
      <c r="D484" t="s">
        <v>1761</v>
      </c>
      <c r="E484" t="s">
        <v>1762</v>
      </c>
      <c r="F484" t="s">
        <v>33</v>
      </c>
      <c r="G484">
        <v>0</v>
      </c>
      <c r="H484">
        <f>((0/1000) * G484)</f>
        <v>0</v>
      </c>
      <c r="I484">
        <v>0</v>
      </c>
      <c r="J484">
        <v>0</v>
      </c>
      <c r="K484" s="1911">
        <v>137324.71</v>
      </c>
      <c r="L484" s="1912">
        <f>(K484 * G484)</f>
        <v>0</v>
      </c>
      <c r="M484" s="1913">
        <v>192254.59</v>
      </c>
      <c r="N484" s="1914">
        <f>(G484 * M484)</f>
        <v>0</v>
      </c>
      <c r="O484">
        <v>0</v>
      </c>
      <c r="P484">
        <v>0</v>
      </c>
      <c r="Q484">
        <f>IF(O484&gt;G484,(O484-G484),0)</f>
        <v>0</v>
      </c>
      <c r="R484">
        <v>1</v>
      </c>
      <c r="S484">
        <f>IF(Q484&gt;0,Int(P484/Q484),0)</f>
        <v>0</v>
      </c>
      <c r="T484">
        <f>137324.71</f>
        <v>137324.71</v>
      </c>
      <c r="U484" t="s">
        <v>1763</v>
      </c>
      <c r="V484">
        <v>137324.71</v>
      </c>
      <c r="W484" t="s">
        <v>182</v>
      </c>
      <c r="X484"/>
    </row>
    <row r="485" spans="1:27">
      <c r="A485" t="s">
        <v>35</v>
      </c>
      <c r="B485" t="s">
        <v>29</v>
      </c>
      <c r="C485" t="s">
        <v>1764</v>
      </c>
      <c r="D485" t="s">
        <v>1765</v>
      </c>
      <c r="E485" t="s">
        <v>1766</v>
      </c>
      <c r="F485" t="s">
        <v>33</v>
      </c>
      <c r="G485">
        <v>4</v>
      </c>
      <c r="H485">
        <f>((0/1000) * G485)</f>
        <v>0</v>
      </c>
      <c r="I485">
        <v>0</v>
      </c>
      <c r="J485">
        <v>4</v>
      </c>
      <c r="K485" s="1915">
        <v>106363.64</v>
      </c>
      <c r="L485" s="1916">
        <f>(K485 * G485)</f>
        <v>425454.56</v>
      </c>
      <c r="M485" s="1917">
        <v>148909.1</v>
      </c>
      <c r="N485" s="1918">
        <f>(G485 * M485)</f>
        <v>595636.4</v>
      </c>
      <c r="O485">
        <v>0</v>
      </c>
      <c r="P485">
        <v>0</v>
      </c>
      <c r="Q485">
        <f>IF(O485&gt;G485,(O485-G485),0)</f>
        <v>0</v>
      </c>
      <c r="R485">
        <v>1</v>
      </c>
      <c r="S485">
        <f>IF(Q485&gt;0,Int(P485/Q485),0)</f>
        <v>0</v>
      </c>
      <c r="T485">
        <f>97670.93</f>
        <v>97670.93</v>
      </c>
      <c r="U485" t="s">
        <v>1767</v>
      </c>
      <c r="V485">
        <v>106363.64</v>
      </c>
      <c r="W485" t="s">
        <v>75</v>
      </c>
      <c r="X485"/>
    </row>
    <row r="486" spans="1:27">
      <c r="A486" t="s">
        <v>35</v>
      </c>
      <c r="B486" t="s">
        <v>29</v>
      </c>
      <c r="C486" t="s">
        <v>1768</v>
      </c>
      <c r="D486" t="s">
        <v>1769</v>
      </c>
      <c r="E486" t="s">
        <v>1770</v>
      </c>
      <c r="F486" t="s">
        <v>33</v>
      </c>
      <c r="G486">
        <v>0</v>
      </c>
      <c r="H486">
        <f>((0/1000) * G486)</f>
        <v>0</v>
      </c>
      <c r="I486">
        <v>0</v>
      </c>
      <c r="J486">
        <v>0</v>
      </c>
      <c r="K486" s="1919">
        <v>201838.95</v>
      </c>
      <c r="L486" s="1920">
        <f>(K486 * G486)</f>
        <v>0</v>
      </c>
      <c r="M486" s="1921">
        <v>282574.53</v>
      </c>
      <c r="N486" s="1922">
        <f>(G486 * M486)</f>
        <v>0</v>
      </c>
      <c r="O486">
        <v>0</v>
      </c>
      <c r="P486">
        <v>0</v>
      </c>
      <c r="Q486">
        <f>IF(O486&gt;G486,(O486-G486),0)</f>
        <v>0</v>
      </c>
      <c r="R486">
        <v>1</v>
      </c>
      <c r="S486">
        <f>IF(Q486&gt;0,Int(P486/Q486),0)</f>
        <v>0</v>
      </c>
      <c r="T486">
        <f>193345.17</f>
        <v>193345.17</v>
      </c>
      <c r="U486" t="s">
        <v>1771</v>
      </c>
      <c r="V486">
        <v>201838.95</v>
      </c>
      <c r="W486" t="s">
        <v>182</v>
      </c>
      <c r="X486"/>
    </row>
    <row r="487" spans="1:27">
      <c r="A487" t="s">
        <v>35</v>
      </c>
      <c r="B487" t="s">
        <v>29</v>
      </c>
      <c r="C487" t="s">
        <v>1772</v>
      </c>
      <c r="D487" t="s">
        <v>1773</v>
      </c>
      <c r="E487" t="s">
        <v>1774</v>
      </c>
      <c r="F487" t="s">
        <v>41</v>
      </c>
      <c r="G487">
        <v>0</v>
      </c>
      <c r="H487">
        <f>((0/1000) * G487)</f>
        <v>0</v>
      </c>
      <c r="I487">
        <v>0</v>
      </c>
      <c r="J487">
        <v>0</v>
      </c>
      <c r="K487" s="1923">
        <v>114958.68</v>
      </c>
      <c r="L487" s="1924">
        <f>(K487 * G487)</f>
        <v>0</v>
      </c>
      <c r="M487" s="1925">
        <v>126454.55</v>
      </c>
      <c r="N487" s="1926">
        <f>(G487 * M487)</f>
        <v>0</v>
      </c>
      <c r="O487">
        <v>0</v>
      </c>
      <c r="P487">
        <v>0</v>
      </c>
      <c r="Q487">
        <f>IF(O487&gt;G487,(O487-G487),0)</f>
        <v>0</v>
      </c>
      <c r="R487">
        <v>1</v>
      </c>
      <c r="S487">
        <f>IF(Q487&gt;0,Int(P487/Q487),0)</f>
        <v>0</v>
      </c>
      <c r="T487">
        <f>129977.46</f>
        <v>129977.46</v>
      </c>
      <c r="U487" t="s">
        <v>1775</v>
      </c>
      <c r="V487">
        <v>114958.68</v>
      </c>
      <c r="W487" t="s">
        <v>43</v>
      </c>
      <c r="X487"/>
    </row>
    <row r="488" spans="1:27">
      <c r="A488" t="s">
        <v>35</v>
      </c>
      <c r="B488" t="s">
        <v>29</v>
      </c>
      <c r="C488" t="s">
        <v>1776</v>
      </c>
      <c r="D488" t="s">
        <v>1777</v>
      </c>
      <c r="E488" t="s">
        <v>1778</v>
      </c>
      <c r="F488" t="s">
        <v>33</v>
      </c>
      <c r="G488">
        <v>0</v>
      </c>
      <c r="H488">
        <f>((0/1000) * G488)</f>
        <v>0</v>
      </c>
      <c r="I488">
        <v>0</v>
      </c>
      <c r="J488">
        <v>0</v>
      </c>
      <c r="K488" s="1927">
        <v>70746.97</v>
      </c>
      <c r="L488" s="1928">
        <f>(K488 * G488)</f>
        <v>0</v>
      </c>
      <c r="M488" s="1929">
        <v>99045.76</v>
      </c>
      <c r="N488" s="1930">
        <f>(G488 * M488)</f>
        <v>0</v>
      </c>
      <c r="O488">
        <v>0</v>
      </c>
      <c r="P488">
        <v>0</v>
      </c>
      <c r="Q488">
        <f>IF(O488&gt;G488,(O488-G488),0)</f>
        <v>0</v>
      </c>
      <c r="R488">
        <v>0</v>
      </c>
      <c r="S488">
        <f>IF(Q488&gt;0,Int(P488/Q488),0)</f>
        <v>0</v>
      </c>
      <c r="T488">
        <f>0</f>
        <v>0</v>
      </c>
      <c r="U488"/>
      <c r="V488">
        <v>70746.97</v>
      </c>
      <c r="W488" t="s">
        <v>75</v>
      </c>
      <c r="X488"/>
    </row>
    <row r="489" spans="1:27">
      <c r="A489" t="s">
        <v>35</v>
      </c>
      <c r="B489" t="s">
        <v>29</v>
      </c>
      <c r="C489" t="s">
        <v>1779</v>
      </c>
      <c r="D489" t="s">
        <v>1780</v>
      </c>
      <c r="E489" t="s">
        <v>1781</v>
      </c>
      <c r="F489" t="s">
        <v>33</v>
      </c>
      <c r="G489">
        <v>0</v>
      </c>
      <c r="H489">
        <f>((0/1000) * G489)</f>
        <v>0</v>
      </c>
      <c r="I489">
        <v>0</v>
      </c>
      <c r="J489">
        <v>0</v>
      </c>
      <c r="K489" s="1931">
        <v>73338.57</v>
      </c>
      <c r="L489" s="1932">
        <f>(K489 * G489)</f>
        <v>0</v>
      </c>
      <c r="M489" s="1933">
        <v>102674</v>
      </c>
      <c r="N489" s="1934">
        <f>(G489 * M489)</f>
        <v>0</v>
      </c>
      <c r="O489">
        <v>0</v>
      </c>
      <c r="P489">
        <v>0</v>
      </c>
      <c r="Q489">
        <f>IF(O489&gt;G489,(O489-G489),0)</f>
        <v>0</v>
      </c>
      <c r="R489">
        <v>1</v>
      </c>
      <c r="S489">
        <f>IF(Q489&gt;0,Int(P489/Q489),0)</f>
        <v>0</v>
      </c>
      <c r="T489">
        <f>79512.87</f>
        <v>79512.87</v>
      </c>
      <c r="U489" t="s">
        <v>1782</v>
      </c>
      <c r="V489">
        <v>73338.57</v>
      </c>
      <c r="W489" t="s">
        <v>301</v>
      </c>
      <c r="X489"/>
    </row>
    <row r="490" spans="1:27">
      <c r="A490" t="s">
        <v>35</v>
      </c>
      <c r="B490" t="s">
        <v>29</v>
      </c>
      <c r="C490" t="s">
        <v>1783</v>
      </c>
      <c r="D490" t="s">
        <v>1784</v>
      </c>
      <c r="E490" t="s">
        <v>1785</v>
      </c>
      <c r="F490" t="s">
        <v>41</v>
      </c>
      <c r="G490">
        <v>0</v>
      </c>
      <c r="H490">
        <f>((0/1000) * G490)</f>
        <v>0</v>
      </c>
      <c r="I490">
        <v>0</v>
      </c>
      <c r="J490">
        <v>0</v>
      </c>
      <c r="K490" s="1935">
        <v>230672.62</v>
      </c>
      <c r="L490" s="1936">
        <f>(K490 * G490)</f>
        <v>0</v>
      </c>
      <c r="M490" s="1937">
        <v>322941.67</v>
      </c>
      <c r="N490" s="1938">
        <f>(G490 * M490)</f>
        <v>0</v>
      </c>
      <c r="O490">
        <v>0</v>
      </c>
      <c r="P490">
        <v>0</v>
      </c>
      <c r="Q490">
        <f>IF(O490&gt;G490,(O490-G490),0)</f>
        <v>0</v>
      </c>
      <c r="R490">
        <v>1</v>
      </c>
      <c r="S490">
        <f>IF(Q490&gt;0,Int(P490/Q490),0)</f>
        <v>0</v>
      </c>
      <c r="T490">
        <f>229128.47</f>
        <v>229128.47</v>
      </c>
      <c r="U490" t="s">
        <v>1390</v>
      </c>
      <c r="V490">
        <v>230672.62</v>
      </c>
      <c r="W490" t="s">
        <v>182</v>
      </c>
      <c r="X490" t="s">
        <v>262</v>
      </c>
    </row>
    <row r="491" spans="1:27">
      <c r="A491" t="s">
        <v>35</v>
      </c>
      <c r="B491" t="s">
        <v>29</v>
      </c>
      <c r="C491" t="s">
        <v>1786</v>
      </c>
      <c r="D491" t="s">
        <v>1787</v>
      </c>
      <c r="E491" t="s">
        <v>1788</v>
      </c>
      <c r="F491" t="s">
        <v>41</v>
      </c>
      <c r="G491">
        <v>2</v>
      </c>
      <c r="H491">
        <f>((0/1000) * G491)</f>
        <v>0</v>
      </c>
      <c r="I491">
        <v>0</v>
      </c>
      <c r="J491">
        <v>2</v>
      </c>
      <c r="K491" s="1939">
        <v>164132.23</v>
      </c>
      <c r="L491" s="1940">
        <f>(K491 * G491)</f>
        <v>328264.46</v>
      </c>
      <c r="M491" s="1941">
        <v>180545.46</v>
      </c>
      <c r="N491" s="1942">
        <f>(G491 * M491)</f>
        <v>361090.92</v>
      </c>
      <c r="O491">
        <v>0</v>
      </c>
      <c r="P491">
        <v>0</v>
      </c>
      <c r="Q491">
        <f>IF(O491&gt;G491,(O491-G491),0)</f>
        <v>0</v>
      </c>
      <c r="R491">
        <v>1</v>
      </c>
      <c r="S491">
        <f>IF(Q491&gt;0,Int(P491/Q491),0)</f>
        <v>0</v>
      </c>
      <c r="T491">
        <f>164132.23</f>
        <v>164132.23</v>
      </c>
      <c r="U491" t="s">
        <v>1789</v>
      </c>
      <c r="V491">
        <v>164132.23</v>
      </c>
      <c r="W491" t="s">
        <v>80</v>
      </c>
      <c r="X491" t="s">
        <v>49</v>
      </c>
    </row>
    <row r="492" spans="1:27">
      <c r="A492" t="s">
        <v>35</v>
      </c>
      <c r="B492" t="s">
        <v>29</v>
      </c>
      <c r="C492" t="s">
        <v>1790</v>
      </c>
      <c r="D492" t="s">
        <v>1791</v>
      </c>
      <c r="E492" t="s">
        <v>1792</v>
      </c>
      <c r="F492" t="s">
        <v>41</v>
      </c>
      <c r="G492">
        <v>4</v>
      </c>
      <c r="H492">
        <f>((0/1000) * G492)</f>
        <v>0</v>
      </c>
      <c r="I492">
        <v>4</v>
      </c>
      <c r="J492">
        <v>0</v>
      </c>
      <c r="K492" s="1943">
        <v>192227.56</v>
      </c>
      <c r="L492" s="1944">
        <f>(K492 * G492)</f>
        <v>768910.24</v>
      </c>
      <c r="M492" s="1945">
        <v>269118.59</v>
      </c>
      <c r="N492" s="1946">
        <f>(G492 * M492)</f>
        <v>1076474.36</v>
      </c>
      <c r="O492">
        <v>0</v>
      </c>
      <c r="P492">
        <v>0</v>
      </c>
      <c r="Q492">
        <f>IF(O492&gt;G492,(O492-G492),0)</f>
        <v>0</v>
      </c>
      <c r="R492">
        <v>1</v>
      </c>
      <c r="S492">
        <f>IF(Q492&gt;0,Int(P492/Q492),0)</f>
        <v>0</v>
      </c>
      <c r="T492">
        <f>174687.5</f>
        <v>174687.5</v>
      </c>
      <c r="U492" t="s">
        <v>1793</v>
      </c>
      <c r="V492">
        <v>192227.56</v>
      </c>
      <c r="W492" t="s">
        <v>182</v>
      </c>
      <c r="X492" t="s">
        <v>262</v>
      </c>
    </row>
    <row r="493" spans="1:27">
      <c r="A493" t="s">
        <v>35</v>
      </c>
      <c r="B493" t="s">
        <v>29</v>
      </c>
      <c r="C493" t="s">
        <v>1794</v>
      </c>
      <c r="D493" t="s">
        <v>1795</v>
      </c>
      <c r="E493" t="s">
        <v>1796</v>
      </c>
      <c r="F493" t="s">
        <v>33</v>
      </c>
      <c r="G493">
        <v>4</v>
      </c>
      <c r="H493">
        <f>((0/1000) * G493)</f>
        <v>0</v>
      </c>
      <c r="I493">
        <v>0</v>
      </c>
      <c r="J493">
        <v>4</v>
      </c>
      <c r="K493" s="1947">
        <v>62800</v>
      </c>
      <c r="L493" s="1948">
        <f>(K493 * G493)</f>
        <v>251200</v>
      </c>
      <c r="M493" s="1949">
        <v>94200</v>
      </c>
      <c r="N493" s="1950">
        <f>(G493 * M493)</f>
        <v>376800</v>
      </c>
      <c r="O493">
        <v>0</v>
      </c>
      <c r="P493">
        <v>0</v>
      </c>
      <c r="Q493">
        <f>IF(O493&gt;G493,(O493-G493),0)</f>
        <v>0</v>
      </c>
      <c r="R493">
        <v>0</v>
      </c>
      <c r="S493">
        <f>IF(Q493&gt;0,Int(P493/Q493),0)</f>
        <v>0</v>
      </c>
      <c r="T493">
        <f>62800</f>
        <v>62800</v>
      </c>
      <c r="U493" t="s">
        <v>1797</v>
      </c>
      <c r="V493">
        <v>62800</v>
      </c>
      <c r="W493" t="s">
        <v>1498</v>
      </c>
      <c r="X493" t="s">
        <v>490</v>
      </c>
    </row>
    <row r="494" spans="1:27">
      <c r="A494" t="s">
        <v>35</v>
      </c>
      <c r="B494" t="s">
        <v>29</v>
      </c>
      <c r="C494" t="s">
        <v>1798</v>
      </c>
      <c r="D494" t="s">
        <v>1799</v>
      </c>
      <c r="E494" t="s">
        <v>1800</v>
      </c>
      <c r="F494" t="s">
        <v>33</v>
      </c>
      <c r="G494">
        <v>0</v>
      </c>
      <c r="H494">
        <f>((0/1000) * G494)</f>
        <v>0</v>
      </c>
      <c r="I494">
        <v>0</v>
      </c>
      <c r="J494">
        <v>0</v>
      </c>
      <c r="K494" s="1951">
        <v>129673.55</v>
      </c>
      <c r="L494" s="1952">
        <f>(K494 * G494)</f>
        <v>0</v>
      </c>
      <c r="M494" s="1953">
        <v>181542.96</v>
      </c>
      <c r="N494" s="1954">
        <f>(G494 * M494)</f>
        <v>0</v>
      </c>
      <c r="O494">
        <v>0</v>
      </c>
      <c r="P494">
        <v>0</v>
      </c>
      <c r="Q494">
        <f>IF(O494&gt;G494,(O494-G494),0)</f>
        <v>0</v>
      </c>
      <c r="R494">
        <v>1</v>
      </c>
      <c r="S494">
        <f>IF(Q494&gt;0,Int(P494/Q494),0)</f>
        <v>0</v>
      </c>
      <c r="T494">
        <f>117885.04</f>
        <v>117885.04</v>
      </c>
      <c r="U494" t="s">
        <v>1801</v>
      </c>
      <c r="V494">
        <v>129673.55</v>
      </c>
      <c r="W494" t="s">
        <v>75</v>
      </c>
      <c r="X494"/>
    </row>
    <row r="495" spans="1:27">
      <c r="A495" t="s">
        <v>35</v>
      </c>
      <c r="B495" t="s">
        <v>29</v>
      </c>
      <c r="C495" t="s">
        <v>1802</v>
      </c>
      <c r="D495" t="s">
        <v>1803</v>
      </c>
      <c r="E495" t="s">
        <v>1804</v>
      </c>
      <c r="F495" t="s">
        <v>33</v>
      </c>
      <c r="G495">
        <v>0</v>
      </c>
      <c r="H495">
        <f>((0/1000) * G495)</f>
        <v>0</v>
      </c>
      <c r="I495">
        <v>0</v>
      </c>
      <c r="J495">
        <v>0</v>
      </c>
      <c r="K495" s="1955">
        <v>100000.89</v>
      </c>
      <c r="L495" s="1956">
        <f>(K495 * G495)</f>
        <v>0</v>
      </c>
      <c r="M495" s="1957">
        <v>100000.89</v>
      </c>
      <c r="N495" s="1958">
        <f>(G495 * M495)</f>
        <v>0</v>
      </c>
      <c r="O495">
        <v>0</v>
      </c>
      <c r="P495">
        <v>0</v>
      </c>
      <c r="Q495">
        <f>IF(O495&gt;G495,(O495-G495),0)</f>
        <v>0</v>
      </c>
      <c r="R495">
        <v>1</v>
      </c>
      <c r="S495">
        <f>IF(Q495&gt;0,Int(P495/Q495),0)</f>
        <v>0</v>
      </c>
      <c r="T495">
        <f>100000.89</f>
        <v>100000.89</v>
      </c>
      <c r="U495" t="s">
        <v>1805</v>
      </c>
      <c r="V495">
        <v>100000.89</v>
      </c>
      <c r="W495" t="s">
        <v>43</v>
      </c>
      <c r="X495"/>
    </row>
    <row r="496" spans="1:27">
      <c r="A496" t="s">
        <v>35</v>
      </c>
      <c r="B496" t="s">
        <v>29</v>
      </c>
      <c r="C496" t="s">
        <v>1806</v>
      </c>
      <c r="D496" t="s">
        <v>1807</v>
      </c>
      <c r="E496" t="s">
        <v>1808</v>
      </c>
      <c r="F496" t="s">
        <v>33</v>
      </c>
      <c r="G496">
        <v>0</v>
      </c>
      <c r="H496">
        <f>((0/1000) * G496)</f>
        <v>0</v>
      </c>
      <c r="I496">
        <v>0</v>
      </c>
      <c r="J496">
        <v>0</v>
      </c>
      <c r="K496" s="1959">
        <v>136612.22</v>
      </c>
      <c r="L496" s="1960">
        <f>(K496 * G496)</f>
        <v>0</v>
      </c>
      <c r="M496" s="1961">
        <v>191257.11</v>
      </c>
      <c r="N496" s="1962">
        <f>(G496 * M496)</f>
        <v>0</v>
      </c>
      <c r="O496">
        <v>0</v>
      </c>
      <c r="P496">
        <v>0</v>
      </c>
      <c r="Q496">
        <f>IF(O496&gt;G496,(O496-G496),0)</f>
        <v>0</v>
      </c>
      <c r="R496">
        <v>1</v>
      </c>
      <c r="S496">
        <f>IF(Q496&gt;0,Int(P496/Q496),0)</f>
        <v>0</v>
      </c>
      <c r="T496">
        <f>0</f>
        <v>0</v>
      </c>
      <c r="U496"/>
      <c r="V496">
        <v>136612.22</v>
      </c>
      <c r="W496" t="s">
        <v>75</v>
      </c>
      <c r="X496"/>
    </row>
    <row r="497" spans="1:27">
      <c r="A497" t="s">
        <v>35</v>
      </c>
      <c r="B497" t="s">
        <v>29</v>
      </c>
      <c r="C497" t="s">
        <v>1809</v>
      </c>
      <c r="D497" t="s">
        <v>1810</v>
      </c>
      <c r="E497" t="s">
        <v>1811</v>
      </c>
      <c r="F497" t="s">
        <v>33</v>
      </c>
      <c r="G497">
        <v>0</v>
      </c>
      <c r="H497">
        <f>((0/1000) * G497)</f>
        <v>0</v>
      </c>
      <c r="I497">
        <v>0</v>
      </c>
      <c r="J497">
        <v>0</v>
      </c>
      <c r="K497" s="1963">
        <v>146377.59</v>
      </c>
      <c r="L497" s="1964">
        <f>(K497 * G497)</f>
        <v>0</v>
      </c>
      <c r="M497" s="1965">
        <v>161015.35</v>
      </c>
      <c r="N497" s="1966">
        <f>(G497 * M497)</f>
        <v>0</v>
      </c>
      <c r="O497">
        <v>0</v>
      </c>
      <c r="P497">
        <v>0</v>
      </c>
      <c r="Q497">
        <f>IF(O497&gt;G497,(O497-G497),0)</f>
        <v>0</v>
      </c>
      <c r="R497">
        <v>1</v>
      </c>
      <c r="S497">
        <f>IF(Q497&gt;0,Int(P497/Q497),0)</f>
        <v>0</v>
      </c>
      <c r="T497">
        <f>69947.41</f>
        <v>69947.41</v>
      </c>
      <c r="U497" t="s">
        <v>1812</v>
      </c>
      <c r="V497">
        <v>146377.59</v>
      </c>
      <c r="W497" t="s">
        <v>43</v>
      </c>
      <c r="X497"/>
    </row>
    <row r="498" spans="1:27">
      <c r="A498" t="s">
        <v>35</v>
      </c>
      <c r="B498" t="s">
        <v>29</v>
      </c>
      <c r="C498" t="s">
        <v>1813</v>
      </c>
      <c r="D498" t="s">
        <v>1814</v>
      </c>
      <c r="E498" t="s">
        <v>1811</v>
      </c>
      <c r="F498" t="s">
        <v>33</v>
      </c>
      <c r="G498">
        <v>0</v>
      </c>
      <c r="H498">
        <f>((0/1000) * G498)</f>
        <v>0</v>
      </c>
      <c r="I498">
        <v>0</v>
      </c>
      <c r="J498">
        <v>0</v>
      </c>
      <c r="K498" s="1967">
        <v>144380.17</v>
      </c>
      <c r="L498" s="1968">
        <f>(K498 * G498)</f>
        <v>0</v>
      </c>
      <c r="M498" s="1969">
        <v>158818.19</v>
      </c>
      <c r="N498" s="1970">
        <f>(G498 * M498)</f>
        <v>0</v>
      </c>
      <c r="O498">
        <v>0</v>
      </c>
      <c r="P498">
        <v>0</v>
      </c>
      <c r="Q498">
        <f>IF(O498&gt;G498,(O498-G498),0)</f>
        <v>0</v>
      </c>
      <c r="R498">
        <v>1</v>
      </c>
      <c r="S498">
        <f>IF(Q498&gt;0,Int(P498/Q498),0)</f>
        <v>0</v>
      </c>
      <c r="T498">
        <f>0</f>
        <v>0</v>
      </c>
      <c r="U498"/>
      <c r="V498">
        <v>144380.17</v>
      </c>
      <c r="W498" t="s">
        <v>43</v>
      </c>
      <c r="X498"/>
    </row>
    <row r="499" spans="1:27">
      <c r="A499" t="s">
        <v>35</v>
      </c>
      <c r="B499" t="s">
        <v>29</v>
      </c>
      <c r="C499" t="s">
        <v>1815</v>
      </c>
      <c r="D499" t="s">
        <v>1816</v>
      </c>
      <c r="E499" t="s">
        <v>1817</v>
      </c>
      <c r="F499" t="s">
        <v>33</v>
      </c>
      <c r="G499">
        <v>0</v>
      </c>
      <c r="H499">
        <f>((0/1000) * G499)</f>
        <v>0</v>
      </c>
      <c r="I499">
        <v>0</v>
      </c>
      <c r="J499">
        <v>0</v>
      </c>
      <c r="K499" s="1971">
        <v>38500</v>
      </c>
      <c r="L499" s="1972">
        <f>(K499 * G499)</f>
        <v>0</v>
      </c>
      <c r="M499" s="1973">
        <v>53900</v>
      </c>
      <c r="N499" s="1974">
        <f>(G499 * M499)</f>
        <v>0</v>
      </c>
      <c r="O499">
        <v>0</v>
      </c>
      <c r="P499">
        <v>0</v>
      </c>
      <c r="Q499">
        <f>IF(O499&gt;G499,(O499-G499),0)</f>
        <v>0</v>
      </c>
      <c r="R499">
        <v>1</v>
      </c>
      <c r="S499">
        <f>IF(Q499&gt;0,Int(P499/Q499),0)</f>
        <v>0</v>
      </c>
      <c r="T499">
        <f>0</f>
        <v>0</v>
      </c>
      <c r="U499"/>
      <c r="V499">
        <v>38500</v>
      </c>
      <c r="W499" t="s">
        <v>75</v>
      </c>
      <c r="X499"/>
    </row>
    <row r="500" spans="1:27">
      <c r="A500" t="s">
        <v>35</v>
      </c>
      <c r="B500" t="s">
        <v>29</v>
      </c>
      <c r="C500" t="s">
        <v>1818</v>
      </c>
      <c r="D500" t="s">
        <v>1819</v>
      </c>
      <c r="E500" t="s">
        <v>1820</v>
      </c>
      <c r="F500" t="s">
        <v>41</v>
      </c>
      <c r="G500">
        <v>0</v>
      </c>
      <c r="H500">
        <f>((1/1000) * G500)</f>
        <v>0</v>
      </c>
      <c r="I500">
        <v>0</v>
      </c>
      <c r="J500">
        <v>0</v>
      </c>
      <c r="K500" s="1975">
        <v>175794.54</v>
      </c>
      <c r="L500" s="1976">
        <f>(K500 * G500)</f>
        <v>0</v>
      </c>
      <c r="M500" s="1977">
        <v>175794.54</v>
      </c>
      <c r="N500" s="1978">
        <f>(G500 * M500)</f>
        <v>0</v>
      </c>
      <c r="O500">
        <v>0</v>
      </c>
      <c r="P500">
        <v>0</v>
      </c>
      <c r="Q500">
        <f>IF(O500&gt;G500,(O500-G500),0)</f>
        <v>0</v>
      </c>
      <c r="R500">
        <v>1</v>
      </c>
      <c r="S500">
        <f>IF(Q500&gt;0,Int(P500/Q500),0)</f>
        <v>0</v>
      </c>
      <c r="T500">
        <f>0</f>
        <v>0</v>
      </c>
      <c r="U500"/>
      <c r="V500">
        <v>175794.54</v>
      </c>
      <c r="W500" t="s">
        <v>43</v>
      </c>
      <c r="X500"/>
    </row>
    <row r="501" spans="1:27">
      <c r="A501" t="s">
        <v>35</v>
      </c>
      <c r="B501" t="s">
        <v>29</v>
      </c>
      <c r="C501" t="s">
        <v>1821</v>
      </c>
      <c r="D501" t="s">
        <v>1822</v>
      </c>
      <c r="E501" t="s">
        <v>1823</v>
      </c>
      <c r="F501" t="s">
        <v>41</v>
      </c>
      <c r="G501">
        <v>0</v>
      </c>
      <c r="H501">
        <f>((0/1000) * G501)</f>
        <v>0</v>
      </c>
      <c r="I501">
        <v>0</v>
      </c>
      <c r="J501">
        <v>0</v>
      </c>
      <c r="K501" s="1979">
        <v>114958.68</v>
      </c>
      <c r="L501" s="1980">
        <f>(K501 * G501)</f>
        <v>0</v>
      </c>
      <c r="M501" s="1981">
        <v>126454.55</v>
      </c>
      <c r="N501" s="1982">
        <f>(G501 * M501)</f>
        <v>0</v>
      </c>
      <c r="O501">
        <v>0</v>
      </c>
      <c r="P501">
        <v>0</v>
      </c>
      <c r="Q501">
        <f>IF(O501&gt;G501,(O501-G501),0)</f>
        <v>0</v>
      </c>
      <c r="R501">
        <v>1</v>
      </c>
      <c r="S501">
        <f>IF(Q501&gt;0,Int(P501/Q501),0)</f>
        <v>0</v>
      </c>
      <c r="T501">
        <f>0</f>
        <v>0</v>
      </c>
      <c r="U501" t="s">
        <v>1824</v>
      </c>
      <c r="V501">
        <v>114958.68</v>
      </c>
      <c r="W501" t="s">
        <v>43</v>
      </c>
      <c r="X501"/>
    </row>
    <row r="502" spans="1:27">
      <c r="A502" t="s">
        <v>35</v>
      </c>
      <c r="B502" t="s">
        <v>29</v>
      </c>
      <c r="C502" t="s">
        <v>1825</v>
      </c>
      <c r="D502" t="s">
        <v>1826</v>
      </c>
      <c r="E502" t="s">
        <v>1827</v>
      </c>
      <c r="F502" t="s">
        <v>41</v>
      </c>
      <c r="G502">
        <v>5</v>
      </c>
      <c r="H502">
        <f>((0/1000) * G502)</f>
        <v>0</v>
      </c>
      <c r="I502">
        <v>0</v>
      </c>
      <c r="J502">
        <v>5</v>
      </c>
      <c r="K502" s="1983">
        <v>62664</v>
      </c>
      <c r="L502" s="1984">
        <f>(K502 * G502)</f>
        <v>313320</v>
      </c>
      <c r="M502" s="1985">
        <v>112795.2</v>
      </c>
      <c r="N502" s="1986">
        <f>(G502 * M502)</f>
        <v>563976</v>
      </c>
      <c r="O502">
        <v>0</v>
      </c>
      <c r="P502">
        <v>0</v>
      </c>
      <c r="Q502">
        <f>IF(O502&gt;G502,(O502-G502),0)</f>
        <v>0</v>
      </c>
      <c r="R502">
        <v>1</v>
      </c>
      <c r="S502">
        <f>IF(Q502&gt;0,Int(P502/Q502),0)</f>
        <v>0</v>
      </c>
      <c r="T502">
        <f>62664</f>
        <v>62664</v>
      </c>
      <c r="U502" t="s">
        <v>1828</v>
      </c>
      <c r="V502">
        <v>62664</v>
      </c>
      <c r="W502" t="s">
        <v>197</v>
      </c>
      <c r="X502" t="s">
        <v>401</v>
      </c>
    </row>
    <row r="503" spans="1:27">
      <c r="A503" t="s">
        <v>35</v>
      </c>
      <c r="B503" t="s">
        <v>29</v>
      </c>
      <c r="C503" t="s">
        <v>1829</v>
      </c>
      <c r="D503" t="s">
        <v>1830</v>
      </c>
      <c r="E503" t="s">
        <v>1831</v>
      </c>
      <c r="F503" t="s">
        <v>41</v>
      </c>
      <c r="G503">
        <v>0</v>
      </c>
      <c r="H503">
        <f>((0/1000) * G503)</f>
        <v>0</v>
      </c>
      <c r="I503">
        <v>0</v>
      </c>
      <c r="J503">
        <v>0</v>
      </c>
      <c r="K503" s="1987">
        <v>100000</v>
      </c>
      <c r="L503" s="1988">
        <f>(K503 * G503)</f>
        <v>0</v>
      </c>
      <c r="M503" s="1989">
        <v>140000</v>
      </c>
      <c r="N503" s="1990">
        <f>(G503 * M503)</f>
        <v>0</v>
      </c>
      <c r="O503">
        <v>0</v>
      </c>
      <c r="P503">
        <v>0</v>
      </c>
      <c r="Q503">
        <f>IF(O503&gt;G503,(O503-G503),0)</f>
        <v>0</v>
      </c>
      <c r="R503">
        <v>1</v>
      </c>
      <c r="S503">
        <f>IF(Q503&gt;0,Int(P503/Q503),0)</f>
        <v>0</v>
      </c>
      <c r="T503">
        <f>181066.87</f>
        <v>181066.87</v>
      </c>
      <c r="U503" t="s">
        <v>1832</v>
      </c>
      <c r="V503">
        <v>100000</v>
      </c>
      <c r="W503" t="s">
        <v>1498</v>
      </c>
      <c r="X503" t="s">
        <v>374</v>
      </c>
    </row>
    <row r="504" spans="1:27">
      <c r="A504" t="s">
        <v>35</v>
      </c>
      <c r="B504" t="s">
        <v>29</v>
      </c>
      <c r="C504" t="s">
        <v>1833</v>
      </c>
      <c r="D504" t="s">
        <v>1834</v>
      </c>
      <c r="E504" t="s">
        <v>1835</v>
      </c>
      <c r="F504" t="s">
        <v>41</v>
      </c>
      <c r="G504">
        <v>0</v>
      </c>
      <c r="H504">
        <f>((0/1000) * G504)</f>
        <v>0</v>
      </c>
      <c r="I504">
        <v>0</v>
      </c>
      <c r="J504">
        <v>0</v>
      </c>
      <c r="K504" s="1991">
        <v>312508.84</v>
      </c>
      <c r="L504" s="1992">
        <f>(K504 * G504)</f>
        <v>0</v>
      </c>
      <c r="M504" s="1993">
        <v>437512.37</v>
      </c>
      <c r="N504" s="1994">
        <f>(G504 * M504)</f>
        <v>0</v>
      </c>
      <c r="O504">
        <v>0</v>
      </c>
      <c r="P504">
        <v>0</v>
      </c>
      <c r="Q504">
        <f>IF(O504&gt;G504,(O504-G504),0)</f>
        <v>0</v>
      </c>
      <c r="R504">
        <v>1</v>
      </c>
      <c r="S504">
        <f>IF(Q504&gt;0,Int(P504/Q504),0)</f>
        <v>0</v>
      </c>
      <c r="T504">
        <f>81667.92</f>
        <v>81667.92</v>
      </c>
      <c r="U504" t="s">
        <v>1836</v>
      </c>
      <c r="V504">
        <v>312508.84</v>
      </c>
      <c r="W504" t="s">
        <v>182</v>
      </c>
      <c r="X504"/>
    </row>
    <row r="505" spans="1:27">
      <c r="A505" t="s">
        <v>35</v>
      </c>
      <c r="B505" t="s">
        <v>29</v>
      </c>
      <c r="C505" t="s">
        <v>1837</v>
      </c>
      <c r="D505" t="s">
        <v>1838</v>
      </c>
      <c r="E505" t="s">
        <v>1839</v>
      </c>
      <c r="F505" t="s">
        <v>41</v>
      </c>
      <c r="G505">
        <v>0</v>
      </c>
      <c r="H505">
        <f>((0/1000) * G505)</f>
        <v>0</v>
      </c>
      <c r="I505">
        <v>0</v>
      </c>
      <c r="J505">
        <v>0</v>
      </c>
      <c r="K505" s="1995">
        <v>339454.54</v>
      </c>
      <c r="L505" s="1996">
        <f>(K505 * G505)</f>
        <v>0</v>
      </c>
      <c r="M505" s="1997">
        <v>475236.36</v>
      </c>
      <c r="N505" s="1998">
        <f>(G505 * M505)</f>
        <v>0</v>
      </c>
      <c r="O505">
        <v>0</v>
      </c>
      <c r="P505">
        <v>0</v>
      </c>
      <c r="Q505">
        <f>IF(O505&gt;G505,(O505-G505),0)</f>
        <v>0</v>
      </c>
      <c r="R505">
        <v>1</v>
      </c>
      <c r="S505">
        <f>IF(Q505&gt;0,Int(P505/Q505),0)</f>
        <v>0</v>
      </c>
      <c r="T505">
        <f>99173.55</f>
        <v>99173.55</v>
      </c>
      <c r="U505" t="s">
        <v>1840</v>
      </c>
      <c r="V505">
        <v>339454.54</v>
      </c>
      <c r="W505" t="s">
        <v>75</v>
      </c>
      <c r="X505"/>
    </row>
    <row r="506" spans="1:27">
      <c r="A506" t="s">
        <v>35</v>
      </c>
      <c r="B506" t="s">
        <v>29</v>
      </c>
      <c r="C506" t="s">
        <v>1841</v>
      </c>
      <c r="D506" t="s">
        <v>1842</v>
      </c>
      <c r="E506" t="s">
        <v>1843</v>
      </c>
      <c r="F506" t="s">
        <v>41</v>
      </c>
      <c r="G506">
        <v>0</v>
      </c>
      <c r="H506">
        <f>((0/1000) * G506)</f>
        <v>0</v>
      </c>
      <c r="I506">
        <v>0</v>
      </c>
      <c r="J506">
        <v>0</v>
      </c>
      <c r="K506" s="1999">
        <v>150090.91</v>
      </c>
      <c r="L506" s="2000">
        <f>(K506 * G506)</f>
        <v>0</v>
      </c>
      <c r="M506" s="2001">
        <v>210127.27</v>
      </c>
      <c r="N506" s="2002">
        <f>(G506 * M506)</f>
        <v>0</v>
      </c>
      <c r="O506">
        <v>0</v>
      </c>
      <c r="P506">
        <v>0</v>
      </c>
      <c r="Q506">
        <f>IF(O506&gt;G506,(O506-G506),0)</f>
        <v>0</v>
      </c>
      <c r="R506">
        <v>1</v>
      </c>
      <c r="S506">
        <f>IF(Q506&gt;0,Int(P506/Q506),0)</f>
        <v>0</v>
      </c>
      <c r="T506">
        <f>81367.39</f>
        <v>81367.39</v>
      </c>
      <c r="U506" t="s">
        <v>1844</v>
      </c>
      <c r="V506">
        <v>150090.91</v>
      </c>
      <c r="W506" t="s">
        <v>75</v>
      </c>
      <c r="X506"/>
    </row>
    <row r="507" spans="1:27">
      <c r="A507" t="s">
        <v>35</v>
      </c>
      <c r="B507" t="s">
        <v>29</v>
      </c>
      <c r="C507" t="s">
        <v>1845</v>
      </c>
      <c r="D507" t="s">
        <v>1846</v>
      </c>
      <c r="E507" t="s">
        <v>1847</v>
      </c>
      <c r="F507" t="s">
        <v>41</v>
      </c>
      <c r="G507">
        <v>0</v>
      </c>
      <c r="H507">
        <f>((0/1000) * G507)</f>
        <v>0</v>
      </c>
      <c r="I507">
        <v>0</v>
      </c>
      <c r="J507">
        <v>0</v>
      </c>
      <c r="K507" s="2003">
        <v>179928.57</v>
      </c>
      <c r="L507" s="2004">
        <f>(K507 * G507)</f>
        <v>0</v>
      </c>
      <c r="M507" s="2005">
        <v>251900</v>
      </c>
      <c r="N507" s="2006">
        <f>(G507 * M507)</f>
        <v>0</v>
      </c>
      <c r="O507">
        <v>0</v>
      </c>
      <c r="P507">
        <v>0</v>
      </c>
      <c r="Q507">
        <f>IF(O507&gt;G507,(O507-G507),0)</f>
        <v>0</v>
      </c>
      <c r="R507">
        <v>1</v>
      </c>
      <c r="S507">
        <f>IF(Q507&gt;0,Int(P507/Q507),0)</f>
        <v>0</v>
      </c>
      <c r="T507">
        <f>0</f>
        <v>0</v>
      </c>
      <c r="U507"/>
      <c r="V507">
        <v>179928.57</v>
      </c>
      <c r="W507" t="s">
        <v>301</v>
      </c>
      <c r="X507"/>
    </row>
    <row r="508" spans="1:27">
      <c r="A508" t="s">
        <v>35</v>
      </c>
      <c r="B508" t="s">
        <v>29</v>
      </c>
      <c r="C508" t="s">
        <v>1848</v>
      </c>
      <c r="D508" t="s">
        <v>1849</v>
      </c>
      <c r="E508" t="s">
        <v>1850</v>
      </c>
      <c r="F508" t="s">
        <v>33</v>
      </c>
      <c r="G508">
        <v>0</v>
      </c>
      <c r="H508">
        <f>((0/1000) * G508)</f>
        <v>0</v>
      </c>
      <c r="I508">
        <v>0</v>
      </c>
      <c r="J508">
        <v>0</v>
      </c>
      <c r="K508" s="2007">
        <v>248857.55</v>
      </c>
      <c r="L508" s="2008">
        <f>(K508 * G508)</f>
        <v>0</v>
      </c>
      <c r="M508" s="2009">
        <v>348400.57</v>
      </c>
      <c r="N508" s="2010">
        <f>(G508 * M508)</f>
        <v>0</v>
      </c>
      <c r="O508">
        <v>0</v>
      </c>
      <c r="P508">
        <v>0</v>
      </c>
      <c r="Q508">
        <f>IF(O508&gt;G508,(O508-G508),0)</f>
        <v>0</v>
      </c>
      <c r="R508">
        <v>1</v>
      </c>
      <c r="S508">
        <f>IF(Q508&gt;0,Int(P508/Q508),0)</f>
        <v>0</v>
      </c>
      <c r="T508">
        <f>221233.9</f>
        <v>221233.9</v>
      </c>
      <c r="U508" t="s">
        <v>1851</v>
      </c>
      <c r="V508">
        <v>248857.55</v>
      </c>
      <c r="W508" t="s">
        <v>182</v>
      </c>
      <c r="X508"/>
    </row>
    <row r="509" spans="1:27">
      <c r="A509" t="s">
        <v>28</v>
      </c>
      <c r="B509" t="s">
        <v>29</v>
      </c>
      <c r="C509" t="s">
        <v>1852</v>
      </c>
      <c r="D509" t="s">
        <v>1853</v>
      </c>
      <c r="E509" t="s">
        <v>1854</v>
      </c>
      <c r="F509" t="s">
        <v>33</v>
      </c>
      <c r="G509">
        <v>0</v>
      </c>
      <c r="H509">
        <f>((0/1000) * G509)</f>
        <v>0</v>
      </c>
      <c r="I509">
        <v>0</v>
      </c>
      <c r="J509">
        <v>0</v>
      </c>
      <c r="K509" s="2011">
        <v>248857.55</v>
      </c>
      <c r="L509" s="2012">
        <f>(K509 * G509)</f>
        <v>0</v>
      </c>
      <c r="M509" s="2013">
        <v>348400.57</v>
      </c>
      <c r="N509" s="2014">
        <f>(G509 * M509)</f>
        <v>0</v>
      </c>
      <c r="O509">
        <v>0</v>
      </c>
      <c r="P509">
        <v>0</v>
      </c>
      <c r="Q509">
        <f>IF(O509&gt;G509,(O509-G509),0)</f>
        <v>0</v>
      </c>
      <c r="R509">
        <v>1</v>
      </c>
      <c r="S509">
        <f>IF(Q509&gt;0,Int(P509/Q509),0)</f>
        <v>0</v>
      </c>
      <c r="T509">
        <f>144703.23</f>
        <v>144703.23</v>
      </c>
      <c r="U509" t="s">
        <v>1855</v>
      </c>
      <c r="V509">
        <v>248857.55</v>
      </c>
      <c r="W509" t="s">
        <v>182</v>
      </c>
      <c r="X509"/>
    </row>
    <row r="510" spans="1:27">
      <c r="A510" t="s">
        <v>35</v>
      </c>
      <c r="B510" t="s">
        <v>29</v>
      </c>
      <c r="C510" t="s">
        <v>1856</v>
      </c>
      <c r="D510" t="s">
        <v>1857</v>
      </c>
      <c r="E510" t="s">
        <v>1858</v>
      </c>
      <c r="F510" t="s">
        <v>41</v>
      </c>
      <c r="G510">
        <v>0</v>
      </c>
      <c r="H510">
        <f>((0/1000) * G510)</f>
        <v>0</v>
      </c>
      <c r="I510">
        <v>0</v>
      </c>
      <c r="J510">
        <v>0</v>
      </c>
      <c r="K510" s="2015">
        <v>260056.04</v>
      </c>
      <c r="L510" s="2016">
        <f>(K510 * G510)</f>
        <v>0</v>
      </c>
      <c r="M510" s="2017">
        <v>364078.45</v>
      </c>
      <c r="N510" s="2018">
        <f>(G510 * M510)</f>
        <v>0</v>
      </c>
      <c r="O510">
        <v>0</v>
      </c>
      <c r="P510">
        <v>0</v>
      </c>
      <c r="Q510">
        <f>IF(O510&gt;G510,(O510-G510),0)</f>
        <v>0</v>
      </c>
      <c r="R510">
        <v>1</v>
      </c>
      <c r="S510">
        <f>IF(Q510&gt;0,Int(P510/Q510),0)</f>
        <v>0</v>
      </c>
      <c r="T510">
        <f>254749.75</f>
        <v>254749.75</v>
      </c>
      <c r="U510" t="s">
        <v>1859</v>
      </c>
      <c r="V510">
        <v>260056.04</v>
      </c>
      <c r="W510" t="s">
        <v>182</v>
      </c>
      <c r="X510"/>
    </row>
    <row r="511" spans="1:27">
      <c r="A511" t="s">
        <v>35</v>
      </c>
      <c r="B511" t="s">
        <v>29</v>
      </c>
      <c r="C511" t="s">
        <v>1860</v>
      </c>
      <c r="D511" t="s">
        <v>29</v>
      </c>
      <c r="E511" t="s">
        <v>1861</v>
      </c>
      <c r="F511" t="s">
        <v>41</v>
      </c>
      <c r="G511">
        <v>0</v>
      </c>
      <c r="H511">
        <f>((0/1000) * G511)</f>
        <v>0</v>
      </c>
      <c r="I511">
        <v>0</v>
      </c>
      <c r="J511">
        <v>0</v>
      </c>
      <c r="K511" s="2019">
        <v>275165</v>
      </c>
      <c r="L511" s="2020">
        <f>(K511 * G511)</f>
        <v>0</v>
      </c>
      <c r="M511" s="2021">
        <v>412747.5</v>
      </c>
      <c r="N511" s="2022">
        <f>(G511 * M511)</f>
        <v>0</v>
      </c>
      <c r="O511">
        <v>0</v>
      </c>
      <c r="P511">
        <v>0</v>
      </c>
      <c r="Q511">
        <f>IF(O511&gt;G511,(O511-G511),0)</f>
        <v>0</v>
      </c>
      <c r="R511">
        <v>0</v>
      </c>
      <c r="S511">
        <f>IF(Q511&gt;0,Int(P511/Q511),0)</f>
        <v>0</v>
      </c>
      <c r="T511">
        <f>0</f>
        <v>0</v>
      </c>
      <c r="U511"/>
      <c r="V511">
        <v>275165</v>
      </c>
      <c r="W511" t="s">
        <v>1862</v>
      </c>
      <c r="X511"/>
    </row>
    <row r="512" spans="1:27">
      <c r="A512" t="s">
        <v>35</v>
      </c>
      <c r="B512" t="s">
        <v>29</v>
      </c>
      <c r="C512" t="s">
        <v>1863</v>
      </c>
      <c r="D512" t="s">
        <v>1864</v>
      </c>
      <c r="E512" t="s">
        <v>1865</v>
      </c>
      <c r="F512" t="s">
        <v>33</v>
      </c>
      <c r="G512">
        <v>0</v>
      </c>
      <c r="H512">
        <f>((0/1000) * G512)</f>
        <v>0</v>
      </c>
      <c r="I512">
        <v>0</v>
      </c>
      <c r="J512">
        <v>0</v>
      </c>
      <c r="K512" s="2023">
        <v>91723</v>
      </c>
      <c r="L512" s="2024">
        <f>(K512 * G512)</f>
        <v>0</v>
      </c>
      <c r="M512" s="2025">
        <v>132231.4</v>
      </c>
      <c r="N512" s="2026">
        <f>(G512 * M512)</f>
        <v>0</v>
      </c>
      <c r="O512">
        <v>0</v>
      </c>
      <c r="P512">
        <v>0</v>
      </c>
      <c r="Q512">
        <f>IF(O512&gt;G512,(O512-G512),0)</f>
        <v>0</v>
      </c>
      <c r="R512">
        <v>0</v>
      </c>
      <c r="S512">
        <f>IF(Q512&gt;0,Int(P512/Q512),0)</f>
        <v>0</v>
      </c>
      <c r="T512">
        <f>68435</f>
        <v>68435</v>
      </c>
      <c r="U512" t="s">
        <v>1866</v>
      </c>
      <c r="V512">
        <v>91723</v>
      </c>
      <c r="W512" t="s">
        <v>54</v>
      </c>
      <c r="X512"/>
    </row>
    <row r="513" spans="1:27">
      <c r="A513" t="s">
        <v>35</v>
      </c>
      <c r="B513" t="s">
        <v>29</v>
      </c>
      <c r="C513" t="s">
        <v>584</v>
      </c>
      <c r="D513" t="s">
        <v>1867</v>
      </c>
      <c r="E513" t="s">
        <v>1868</v>
      </c>
      <c r="F513" t="s">
        <v>33</v>
      </c>
      <c r="G513">
        <v>0</v>
      </c>
      <c r="H513">
        <f>((0/1000) * G513)</f>
        <v>0</v>
      </c>
      <c r="I513">
        <v>0</v>
      </c>
      <c r="J513">
        <v>0</v>
      </c>
      <c r="K513" s="2027">
        <v>92249.7</v>
      </c>
      <c r="L513" s="2028">
        <f>(K513 * G513)</f>
        <v>0</v>
      </c>
      <c r="M513" s="2029">
        <v>129149.59</v>
      </c>
      <c r="N513" s="2030">
        <f>(G513 * M513)</f>
        <v>0</v>
      </c>
      <c r="O513">
        <v>0</v>
      </c>
      <c r="P513">
        <v>0</v>
      </c>
      <c r="Q513">
        <f>IF(O513&gt;G513,(O513-G513),0)</f>
        <v>0</v>
      </c>
      <c r="R513">
        <v>0</v>
      </c>
      <c r="S513">
        <f>IF(Q513&gt;0,Int(P513/Q513),0)</f>
        <v>0</v>
      </c>
      <c r="T513">
        <f>0</f>
        <v>0</v>
      </c>
      <c r="U513"/>
      <c r="V513">
        <v>92249.7</v>
      </c>
      <c r="W513" t="s">
        <v>529</v>
      </c>
      <c r="X513"/>
    </row>
    <row r="514" spans="1:27">
      <c r="A514" t="s">
        <v>35</v>
      </c>
      <c r="B514" t="s">
        <v>29</v>
      </c>
      <c r="C514" t="s">
        <v>1869</v>
      </c>
      <c r="D514" t="s">
        <v>1870</v>
      </c>
      <c r="E514" t="s">
        <v>1871</v>
      </c>
      <c r="F514" t="s">
        <v>41</v>
      </c>
      <c r="G514">
        <v>0</v>
      </c>
      <c r="H514">
        <f>((0/1000) * G514)</f>
        <v>0</v>
      </c>
      <c r="I514">
        <v>0</v>
      </c>
      <c r="J514">
        <v>0</v>
      </c>
      <c r="K514" s="2031">
        <v>86867</v>
      </c>
      <c r="L514" s="2032">
        <f>(K514 * G514)</f>
        <v>0</v>
      </c>
      <c r="M514" s="2033">
        <v>130300.5</v>
      </c>
      <c r="N514" s="2034">
        <f>(G514 * M514)</f>
        <v>0</v>
      </c>
      <c r="O514">
        <v>0</v>
      </c>
      <c r="P514">
        <v>0</v>
      </c>
      <c r="Q514">
        <f>IF(O514&gt;G514,(O514-G514),0)</f>
        <v>0</v>
      </c>
      <c r="R514">
        <v>0</v>
      </c>
      <c r="S514">
        <f>IF(Q514&gt;0,Int(P514/Q514),0)</f>
        <v>0</v>
      </c>
      <c r="T514">
        <f>86867</f>
        <v>86867</v>
      </c>
      <c r="U514" t="s">
        <v>135</v>
      </c>
      <c r="V514">
        <v>86867</v>
      </c>
      <c r="W514" t="s">
        <v>292</v>
      </c>
      <c r="X514" t="s">
        <v>198</v>
      </c>
    </row>
    <row r="515" spans="1:27">
      <c r="A515" t="s">
        <v>28</v>
      </c>
      <c r="B515" t="s">
        <v>29</v>
      </c>
      <c r="C515" t="s">
        <v>1872</v>
      </c>
      <c r="D515" t="s">
        <v>1873</v>
      </c>
      <c r="E515" t="s">
        <v>1874</v>
      </c>
      <c r="F515" t="s">
        <v>33</v>
      </c>
      <c r="G515">
        <v>0</v>
      </c>
      <c r="H515">
        <f>((0/1000) * G515)</f>
        <v>0</v>
      </c>
      <c r="I515">
        <v>0</v>
      </c>
      <c r="J515">
        <v>0</v>
      </c>
      <c r="K515" s="2035">
        <v>114019.87</v>
      </c>
      <c r="L515" s="2036">
        <f>(K515 * G515)</f>
        <v>0</v>
      </c>
      <c r="M515" s="2037">
        <v>159627.82</v>
      </c>
      <c r="N515" s="2038">
        <f>(G515 * M515)</f>
        <v>0</v>
      </c>
      <c r="O515">
        <v>0</v>
      </c>
      <c r="P515">
        <v>0</v>
      </c>
      <c r="Q515">
        <f>IF(O515&gt;G515,(O515-G515),0)</f>
        <v>0</v>
      </c>
      <c r="R515">
        <v>1</v>
      </c>
      <c r="S515">
        <f>IF(Q515&gt;0,Int(P515/Q515),0)</f>
        <v>0</v>
      </c>
      <c r="T515">
        <f>114019.87</f>
        <v>114019.87</v>
      </c>
      <c r="U515" t="s">
        <v>1875</v>
      </c>
      <c r="V515">
        <v>114019.87</v>
      </c>
      <c r="W515" t="s">
        <v>301</v>
      </c>
      <c r="X515"/>
    </row>
    <row r="516" spans="1:27">
      <c r="A516" t="s">
        <v>35</v>
      </c>
      <c r="B516" t="s">
        <v>29</v>
      </c>
      <c r="C516" t="s">
        <v>1876</v>
      </c>
      <c r="D516" t="s">
        <v>1877</v>
      </c>
      <c r="E516" t="s">
        <v>1878</v>
      </c>
      <c r="F516" t="s">
        <v>33</v>
      </c>
      <c r="G516">
        <v>2</v>
      </c>
      <c r="H516">
        <f>((0/1000) * G516)</f>
        <v>0</v>
      </c>
      <c r="I516">
        <v>0</v>
      </c>
      <c r="J516">
        <v>2</v>
      </c>
      <c r="K516" s="2039">
        <v>84000</v>
      </c>
      <c r="L516" s="2040">
        <f>(K516 * G516)</f>
        <v>168000</v>
      </c>
      <c r="M516" s="2041">
        <v>126000</v>
      </c>
      <c r="N516" s="2042">
        <f>(G516 * M516)</f>
        <v>252000</v>
      </c>
      <c r="O516">
        <v>0</v>
      </c>
      <c r="P516">
        <v>0</v>
      </c>
      <c r="Q516">
        <f>IF(O516&gt;G516,(O516-G516),0)</f>
        <v>0</v>
      </c>
      <c r="R516">
        <v>1</v>
      </c>
      <c r="S516">
        <f>IF(Q516&gt;0,Int(P516/Q516),0)</f>
        <v>0</v>
      </c>
      <c r="T516">
        <f>84000</f>
        <v>84000</v>
      </c>
      <c r="U516" t="s">
        <v>1879</v>
      </c>
      <c r="V516">
        <v>84000</v>
      </c>
      <c r="W516" t="s">
        <v>606</v>
      </c>
      <c r="X516" t="s">
        <v>1880</v>
      </c>
    </row>
    <row r="517" spans="1:27">
      <c r="A517" t="s">
        <v>35</v>
      </c>
      <c r="B517" t="s">
        <v>29</v>
      </c>
      <c r="C517" t="s">
        <v>1881</v>
      </c>
      <c r="D517" t="s">
        <v>1881</v>
      </c>
      <c r="E517" t="s">
        <v>1882</v>
      </c>
      <c r="F517" t="s">
        <v>33</v>
      </c>
      <c r="G517">
        <v>0</v>
      </c>
      <c r="H517">
        <f>((1/1000) * G517)</f>
        <v>0</v>
      </c>
      <c r="I517">
        <v>0</v>
      </c>
      <c r="J517">
        <v>0</v>
      </c>
      <c r="K517" s="2043">
        <v>0</v>
      </c>
      <c r="L517" s="2044">
        <f>(K517 * G517)</f>
        <v>0</v>
      </c>
      <c r="M517" s="2045">
        <v>0</v>
      </c>
      <c r="N517" s="2046">
        <f>(G517 * M517)</f>
        <v>0</v>
      </c>
      <c r="O517">
        <v>0</v>
      </c>
      <c r="P517">
        <v>0</v>
      </c>
      <c r="Q517">
        <f>IF(O517&gt;G517,(O517-G517),0)</f>
        <v>0</v>
      </c>
      <c r="R517">
        <v>0</v>
      </c>
      <c r="S517">
        <f>IF(Q517&gt;0,Int(P517/Q517),0)</f>
        <v>0</v>
      </c>
      <c r="T517">
        <f>0</f>
        <v>0</v>
      </c>
      <c r="U517"/>
      <c r="V517">
        <v>0</v>
      </c>
      <c r="W517">
        <v>0</v>
      </c>
      <c r="X517"/>
    </row>
    <row r="518" spans="1:27">
      <c r="A518" t="s">
        <v>35</v>
      </c>
      <c r="B518" t="s">
        <v>29</v>
      </c>
      <c r="C518" t="s">
        <v>1883</v>
      </c>
      <c r="D518" t="s">
        <v>1883</v>
      </c>
      <c r="E518" t="s">
        <v>1884</v>
      </c>
      <c r="F518" t="s">
        <v>33</v>
      </c>
      <c r="G518">
        <v>0</v>
      </c>
      <c r="H518">
        <f>((1/1000) * G518)</f>
        <v>0</v>
      </c>
      <c r="I518">
        <v>0</v>
      </c>
      <c r="J518">
        <v>0</v>
      </c>
      <c r="K518" s="2047">
        <v>0</v>
      </c>
      <c r="L518" s="2048">
        <f>(K518 * G518)</f>
        <v>0</v>
      </c>
      <c r="M518" s="2049">
        <v>0</v>
      </c>
      <c r="N518" s="2050">
        <f>(G518 * M518)</f>
        <v>0</v>
      </c>
      <c r="O518">
        <v>0</v>
      </c>
      <c r="P518">
        <v>0</v>
      </c>
      <c r="Q518">
        <f>IF(O518&gt;G518,(O518-G518),0)</f>
        <v>0</v>
      </c>
      <c r="R518">
        <v>0</v>
      </c>
      <c r="S518">
        <f>IF(Q518&gt;0,Int(P518/Q518),0)</f>
        <v>0</v>
      </c>
      <c r="T518">
        <f>0</f>
        <v>0</v>
      </c>
      <c r="U518"/>
      <c r="V518">
        <v>0</v>
      </c>
      <c r="W518">
        <v>0</v>
      </c>
      <c r="X518"/>
    </row>
    <row r="519" spans="1:27">
      <c r="A519" t="s">
        <v>35</v>
      </c>
      <c r="B519" t="s">
        <v>29</v>
      </c>
      <c r="C519" t="s">
        <v>1885</v>
      </c>
      <c r="D519" t="s">
        <v>1885</v>
      </c>
      <c r="E519" t="s">
        <v>1886</v>
      </c>
      <c r="F519" t="s">
        <v>33</v>
      </c>
      <c r="G519">
        <v>0</v>
      </c>
      <c r="H519">
        <f>((1/1000) * G519)</f>
        <v>0</v>
      </c>
      <c r="I519">
        <v>0</v>
      </c>
      <c r="J519">
        <v>0</v>
      </c>
      <c r="K519" s="2051">
        <v>0</v>
      </c>
      <c r="L519" s="2052">
        <f>(K519 * G519)</f>
        <v>0</v>
      </c>
      <c r="M519" s="2053">
        <v>0</v>
      </c>
      <c r="N519" s="2054">
        <f>(G519 * M519)</f>
        <v>0</v>
      </c>
      <c r="O519">
        <v>0</v>
      </c>
      <c r="P519">
        <v>0</v>
      </c>
      <c r="Q519">
        <f>IF(O519&gt;G519,(O519-G519),0)</f>
        <v>0</v>
      </c>
      <c r="R519">
        <v>0</v>
      </c>
      <c r="S519">
        <f>IF(Q519&gt;0,Int(P519/Q519),0)</f>
        <v>0</v>
      </c>
      <c r="T519">
        <f>0</f>
        <v>0</v>
      </c>
      <c r="U519"/>
      <c r="V519">
        <v>0</v>
      </c>
      <c r="W519">
        <v>0</v>
      </c>
      <c r="X519"/>
    </row>
    <row r="520" spans="1:27">
      <c r="A520" t="s">
        <v>35</v>
      </c>
      <c r="B520" t="s">
        <v>29</v>
      </c>
      <c r="C520" t="s">
        <v>1887</v>
      </c>
      <c r="D520" t="s">
        <v>1887</v>
      </c>
      <c r="E520" t="s">
        <v>1888</v>
      </c>
      <c r="F520" t="s">
        <v>33</v>
      </c>
      <c r="G520">
        <v>0</v>
      </c>
      <c r="H520">
        <f>((1/1000) * G520)</f>
        <v>0</v>
      </c>
      <c r="I520">
        <v>0</v>
      </c>
      <c r="J520">
        <v>0</v>
      </c>
      <c r="K520" s="2055">
        <v>0</v>
      </c>
      <c r="L520" s="2056">
        <f>(K520 * G520)</f>
        <v>0</v>
      </c>
      <c r="M520" s="2057">
        <v>0</v>
      </c>
      <c r="N520" s="2058">
        <f>(G520 * M520)</f>
        <v>0</v>
      </c>
      <c r="O520">
        <v>0</v>
      </c>
      <c r="P520">
        <v>0</v>
      </c>
      <c r="Q520">
        <f>IF(O520&gt;G520,(O520-G520),0)</f>
        <v>0</v>
      </c>
      <c r="R520">
        <v>0</v>
      </c>
      <c r="S520">
        <f>IF(Q520&gt;0,Int(P520/Q520),0)</f>
        <v>0</v>
      </c>
      <c r="T520">
        <f>0</f>
        <v>0</v>
      </c>
      <c r="U520"/>
      <c r="V520">
        <v>0</v>
      </c>
      <c r="W520">
        <v>0</v>
      </c>
      <c r="X520"/>
    </row>
    <row r="521" spans="1:27">
      <c r="A521" t="s">
        <v>28</v>
      </c>
      <c r="B521" t="s">
        <v>29</v>
      </c>
      <c r="C521" t="s">
        <v>1889</v>
      </c>
      <c r="D521" t="s">
        <v>1890</v>
      </c>
      <c r="E521" t="s">
        <v>1891</v>
      </c>
      <c r="F521" t="s">
        <v>33</v>
      </c>
      <c r="G521">
        <v>0</v>
      </c>
      <c r="H521">
        <f>((0/1000) * G521)</f>
        <v>0</v>
      </c>
      <c r="I521">
        <v>0</v>
      </c>
      <c r="J521">
        <v>0</v>
      </c>
      <c r="K521" s="2059">
        <v>135535.71</v>
      </c>
      <c r="L521" s="2060">
        <f>(K521 * G521)</f>
        <v>0</v>
      </c>
      <c r="M521" s="2061">
        <v>189750</v>
      </c>
      <c r="N521" s="2062">
        <f>(G521 * M521)</f>
        <v>0</v>
      </c>
      <c r="O521">
        <v>0</v>
      </c>
      <c r="P521">
        <v>0</v>
      </c>
      <c r="Q521">
        <f>IF(O521&gt;G521,(O521-G521),0)</f>
        <v>0</v>
      </c>
      <c r="R521">
        <v>0</v>
      </c>
      <c r="S521">
        <f>IF(Q521&gt;0,Int(P521/Q521),0)</f>
        <v>0</v>
      </c>
      <c r="T521">
        <f>0</f>
        <v>0</v>
      </c>
      <c r="U521"/>
      <c r="V521">
        <v>135535.71</v>
      </c>
      <c r="W521" t="s">
        <v>148</v>
      </c>
      <c r="X521"/>
    </row>
    <row r="522" spans="1:27">
      <c r="A522" t="s">
        <v>35</v>
      </c>
      <c r="B522" t="s">
        <v>29</v>
      </c>
      <c r="C522" t="s">
        <v>1892</v>
      </c>
      <c r="D522" t="s">
        <v>1893</v>
      </c>
      <c r="E522" t="s">
        <v>1894</v>
      </c>
      <c r="F522" t="s">
        <v>33</v>
      </c>
      <c r="G522">
        <v>0</v>
      </c>
      <c r="H522">
        <f>((0/1000) * G522)</f>
        <v>0</v>
      </c>
      <c r="I522">
        <v>0</v>
      </c>
      <c r="J522">
        <v>0</v>
      </c>
      <c r="K522" s="2063">
        <v>0</v>
      </c>
      <c r="L522" s="2064">
        <f>(K522 * G522)</f>
        <v>0</v>
      </c>
      <c r="M522" s="2065">
        <v>0</v>
      </c>
      <c r="N522" s="2066">
        <f>(G522 * M522)</f>
        <v>0</v>
      </c>
      <c r="O522">
        <v>0</v>
      </c>
      <c r="P522">
        <v>0</v>
      </c>
      <c r="Q522">
        <f>IF(O522&gt;G522,(O522-G522),0)</f>
        <v>0</v>
      </c>
      <c r="R522">
        <v>1</v>
      </c>
      <c r="S522">
        <f>IF(Q522&gt;0,Int(P522/Q522),0)</f>
        <v>0</v>
      </c>
      <c r="T522">
        <f>0</f>
        <v>0</v>
      </c>
      <c r="U522" t="s">
        <v>1895</v>
      </c>
      <c r="V522">
        <v>0</v>
      </c>
      <c r="W522">
        <v>0</v>
      </c>
      <c r="X522"/>
    </row>
    <row r="523" spans="1:27">
      <c r="A523" t="s">
        <v>35</v>
      </c>
      <c r="B523" t="s">
        <v>29</v>
      </c>
      <c r="C523" t="s">
        <v>1896</v>
      </c>
      <c r="D523" t="s">
        <v>1897</v>
      </c>
      <c r="E523" t="s">
        <v>1898</v>
      </c>
      <c r="F523" t="s">
        <v>41</v>
      </c>
      <c r="G523">
        <v>0</v>
      </c>
      <c r="H523">
        <f>((0/1000) * G523)</f>
        <v>0</v>
      </c>
      <c r="I523">
        <v>0</v>
      </c>
      <c r="J523">
        <v>0</v>
      </c>
      <c r="K523" s="2067">
        <v>208743.72</v>
      </c>
      <c r="L523" s="2068">
        <f>(K523 * G523)</f>
        <v>0</v>
      </c>
      <c r="M523" s="2069">
        <v>292241.21</v>
      </c>
      <c r="N523" s="2070">
        <f>(G523 * M523)</f>
        <v>0</v>
      </c>
      <c r="O523">
        <v>0</v>
      </c>
      <c r="P523">
        <v>0</v>
      </c>
      <c r="Q523">
        <f>IF(O523&gt;G523,(O523-G523),0)</f>
        <v>0</v>
      </c>
      <c r="R523">
        <v>1</v>
      </c>
      <c r="S523">
        <f>IF(Q523&gt;0,Int(P523/Q523),0)</f>
        <v>0</v>
      </c>
      <c r="T523">
        <f>192466.78</f>
        <v>192466.78</v>
      </c>
      <c r="U523" t="s">
        <v>1899</v>
      </c>
      <c r="V523">
        <v>208743.72</v>
      </c>
      <c r="W523" t="s">
        <v>182</v>
      </c>
      <c r="X523"/>
    </row>
    <row r="524" spans="1:27">
      <c r="A524" t="s">
        <v>35</v>
      </c>
      <c r="B524" t="s">
        <v>29</v>
      </c>
      <c r="C524" t="s">
        <v>1900</v>
      </c>
      <c r="D524" t="s">
        <v>1901</v>
      </c>
      <c r="E524" t="s">
        <v>1902</v>
      </c>
      <c r="F524" t="s">
        <v>33</v>
      </c>
      <c r="G524">
        <v>0</v>
      </c>
      <c r="H524">
        <f>((0/1000) * G524)</f>
        <v>0</v>
      </c>
      <c r="I524">
        <v>0</v>
      </c>
      <c r="J524">
        <v>0</v>
      </c>
      <c r="K524" s="2071">
        <v>0</v>
      </c>
      <c r="L524" s="2072">
        <f>(K524 * G524)</f>
        <v>0</v>
      </c>
      <c r="M524" s="2073">
        <v>0</v>
      </c>
      <c r="N524" s="2074">
        <f>(G524 * M524)</f>
        <v>0</v>
      </c>
      <c r="O524">
        <v>0</v>
      </c>
      <c r="P524">
        <v>0</v>
      </c>
      <c r="Q524">
        <f>IF(O524&gt;G524,(O524-G524),0)</f>
        <v>0</v>
      </c>
      <c r="R524">
        <v>1</v>
      </c>
      <c r="S524">
        <f>IF(Q524&gt;0,Int(P524/Q524),0)</f>
        <v>0</v>
      </c>
      <c r="T524">
        <f>52000</f>
        <v>52000</v>
      </c>
      <c r="U524" t="s">
        <v>1903</v>
      </c>
      <c r="V524">
        <v>0</v>
      </c>
      <c r="W524">
        <v>0</v>
      </c>
      <c r="X524"/>
    </row>
    <row r="525" spans="1:27">
      <c r="A525" t="s">
        <v>28</v>
      </c>
      <c r="B525" t="s">
        <v>29</v>
      </c>
      <c r="C525" t="s">
        <v>1904</v>
      </c>
      <c r="D525" t="s">
        <v>1905</v>
      </c>
      <c r="E525" t="s">
        <v>1906</v>
      </c>
      <c r="F525" t="s">
        <v>41</v>
      </c>
      <c r="G525">
        <v>0</v>
      </c>
      <c r="H525">
        <f>((0/1000) * G525)</f>
        <v>0</v>
      </c>
      <c r="I525">
        <v>0</v>
      </c>
      <c r="J525">
        <v>0</v>
      </c>
      <c r="K525" s="2075">
        <v>305818.18</v>
      </c>
      <c r="L525" s="2076">
        <f>(K525 * G525)</f>
        <v>0</v>
      </c>
      <c r="M525" s="2077">
        <v>428145.45</v>
      </c>
      <c r="N525" s="2078">
        <f>(G525 * M525)</f>
        <v>0</v>
      </c>
      <c r="O525">
        <v>0</v>
      </c>
      <c r="P525">
        <v>0</v>
      </c>
      <c r="Q525">
        <f>IF(O525&gt;G525,(O525-G525),0)</f>
        <v>0</v>
      </c>
      <c r="R525">
        <v>1</v>
      </c>
      <c r="S525">
        <f>IF(Q525&gt;0,Int(P525/Q525),0)</f>
        <v>0</v>
      </c>
      <c r="T525">
        <f>106386.18</f>
        <v>106386.18</v>
      </c>
      <c r="U525" t="s">
        <v>1907</v>
      </c>
      <c r="V525">
        <v>305818.18</v>
      </c>
      <c r="W525" t="s">
        <v>75</v>
      </c>
      <c r="X525"/>
    </row>
    <row r="526" spans="1:27">
      <c r="A526" t="s">
        <v>28</v>
      </c>
      <c r="B526" t="s">
        <v>29</v>
      </c>
      <c r="C526" t="s">
        <v>1908</v>
      </c>
      <c r="D526" t="s">
        <v>1908</v>
      </c>
      <c r="E526" t="s">
        <v>1909</v>
      </c>
      <c r="F526" t="s">
        <v>41</v>
      </c>
      <c r="G526">
        <v>2</v>
      </c>
      <c r="H526">
        <f>((0/1000) * G526)</f>
        <v>0</v>
      </c>
      <c r="I526">
        <v>0</v>
      </c>
      <c r="J526">
        <v>2</v>
      </c>
      <c r="K526" s="2079">
        <v>64753.7</v>
      </c>
      <c r="L526" s="2080">
        <f>(K526 * G526)</f>
        <v>129507.4</v>
      </c>
      <c r="M526" s="2081">
        <v>97130.55</v>
      </c>
      <c r="N526" s="2082">
        <f>(G526 * M526)</f>
        <v>194261.1</v>
      </c>
      <c r="O526">
        <v>0</v>
      </c>
      <c r="P526">
        <v>0</v>
      </c>
      <c r="Q526">
        <f>IF(O526&gt;G526,(O526-G526),0)</f>
        <v>0</v>
      </c>
      <c r="R526">
        <v>0</v>
      </c>
      <c r="S526">
        <f>IF(Q526&gt;0,Int(P526/Q526),0)</f>
        <v>0</v>
      </c>
      <c r="T526">
        <f>64753.7</f>
        <v>64753.7</v>
      </c>
      <c r="U526" t="s">
        <v>1910</v>
      </c>
      <c r="V526">
        <v>64753.7</v>
      </c>
      <c r="W526" t="s">
        <v>1498</v>
      </c>
      <c r="X526" t="s">
        <v>1734</v>
      </c>
    </row>
    <row r="527" spans="1:27">
      <c r="A527" t="s">
        <v>28</v>
      </c>
      <c r="B527" t="s">
        <v>29</v>
      </c>
      <c r="C527" t="s">
        <v>1911</v>
      </c>
      <c r="D527" t="s">
        <v>1912</v>
      </c>
      <c r="E527" t="s">
        <v>1913</v>
      </c>
      <c r="F527" t="s">
        <v>33</v>
      </c>
      <c r="G527">
        <v>0</v>
      </c>
      <c r="H527">
        <f>((0/1000) * G527)</f>
        <v>0</v>
      </c>
      <c r="I527">
        <v>0</v>
      </c>
      <c r="J527">
        <v>0</v>
      </c>
      <c r="K527" s="2083">
        <v>74608.58</v>
      </c>
      <c r="L527" s="2084">
        <f>(K527 * G527)</f>
        <v>0</v>
      </c>
      <c r="M527" s="2085">
        <v>104452.01</v>
      </c>
      <c r="N527" s="2086">
        <f>(G527 * M527)</f>
        <v>0</v>
      </c>
      <c r="O527">
        <v>0</v>
      </c>
      <c r="P527">
        <v>0</v>
      </c>
      <c r="Q527">
        <f>IF(O527&gt;G527,(O527-G527),0)</f>
        <v>0</v>
      </c>
      <c r="R527">
        <v>0</v>
      </c>
      <c r="S527">
        <f>IF(Q527&gt;0,Int(P527/Q527),0)</f>
        <v>0</v>
      </c>
      <c r="T527">
        <f>74608.58</f>
        <v>74608.58</v>
      </c>
      <c r="U527" t="s">
        <v>1914</v>
      </c>
      <c r="V527">
        <v>74608.58</v>
      </c>
      <c r="W527" t="s">
        <v>148</v>
      </c>
      <c r="X527"/>
    </row>
    <row r="528" spans="1:27">
      <c r="A528" t="s">
        <v>35</v>
      </c>
      <c r="B528" t="s">
        <v>29</v>
      </c>
      <c r="C528" t="s">
        <v>1915</v>
      </c>
      <c r="D528" t="s">
        <v>1916</v>
      </c>
      <c r="E528" t="s">
        <v>1917</v>
      </c>
      <c r="F528" t="s">
        <v>33</v>
      </c>
      <c r="G528">
        <v>0</v>
      </c>
      <c r="H528">
        <f>((0/1000) * G528)</f>
        <v>0</v>
      </c>
      <c r="I528">
        <v>0</v>
      </c>
      <c r="J528">
        <v>0</v>
      </c>
      <c r="K528" s="2087">
        <v>107818.07</v>
      </c>
      <c r="L528" s="2088">
        <f>(K528 * G528)</f>
        <v>0</v>
      </c>
      <c r="M528" s="2089">
        <v>150945.3</v>
      </c>
      <c r="N528" s="2090">
        <f>(G528 * M528)</f>
        <v>0</v>
      </c>
      <c r="O528">
        <v>0</v>
      </c>
      <c r="P528">
        <v>0</v>
      </c>
      <c r="Q528">
        <f>IF(O528&gt;G528,(O528-G528),0)</f>
        <v>0</v>
      </c>
      <c r="R528">
        <v>1</v>
      </c>
      <c r="S528">
        <f>IF(Q528&gt;0,Int(P528/Q528),0)</f>
        <v>0</v>
      </c>
      <c r="T528">
        <f>115861.43</f>
        <v>115861.43</v>
      </c>
      <c r="U528" t="s">
        <v>1918</v>
      </c>
      <c r="V528">
        <v>107818.07</v>
      </c>
      <c r="W528" t="s">
        <v>75</v>
      </c>
      <c r="X528"/>
    </row>
    <row r="529" spans="1:27">
      <c r="A529" t="s">
        <v>35</v>
      </c>
      <c r="B529" t="s">
        <v>29</v>
      </c>
      <c r="C529" t="s">
        <v>1919</v>
      </c>
      <c r="D529" t="s">
        <v>1920</v>
      </c>
      <c r="E529" t="s">
        <v>1921</v>
      </c>
      <c r="F529" t="s">
        <v>33</v>
      </c>
      <c r="G529">
        <v>0</v>
      </c>
      <c r="H529">
        <f>((0/1000) * G529)</f>
        <v>0</v>
      </c>
      <c r="I529">
        <v>0</v>
      </c>
      <c r="J529">
        <v>0</v>
      </c>
      <c r="K529" s="2091">
        <v>171541.65</v>
      </c>
      <c r="L529" s="2092">
        <f>(K529 * G529)</f>
        <v>0</v>
      </c>
      <c r="M529" s="2093">
        <v>240158.31</v>
      </c>
      <c r="N529" s="2094">
        <f>(G529 * M529)</f>
        <v>0</v>
      </c>
      <c r="O529">
        <v>0</v>
      </c>
      <c r="P529">
        <v>0</v>
      </c>
      <c r="Q529">
        <f>IF(O529&gt;G529,(O529-G529),0)</f>
        <v>0</v>
      </c>
      <c r="R529">
        <v>1</v>
      </c>
      <c r="S529">
        <f>IF(Q529&gt;0,Int(P529/Q529),0)</f>
        <v>0</v>
      </c>
      <c r="T529">
        <f>0</f>
        <v>0</v>
      </c>
      <c r="U529"/>
      <c r="V529">
        <v>171541.65</v>
      </c>
      <c r="W529" t="s">
        <v>75</v>
      </c>
      <c r="X529"/>
    </row>
    <row r="530" spans="1:27">
      <c r="A530" t="s">
        <v>35</v>
      </c>
      <c r="B530" t="s">
        <v>29</v>
      </c>
      <c r="C530" t="s">
        <v>1922</v>
      </c>
      <c r="D530" t="s">
        <v>1923</v>
      </c>
      <c r="E530" t="s">
        <v>1924</v>
      </c>
      <c r="F530" t="s">
        <v>33</v>
      </c>
      <c r="G530">
        <v>0</v>
      </c>
      <c r="H530">
        <f>((0/1000) * G530)</f>
        <v>0</v>
      </c>
      <c r="I530">
        <v>0</v>
      </c>
      <c r="J530">
        <v>0</v>
      </c>
      <c r="K530" s="2095">
        <v>71157.79</v>
      </c>
      <c r="L530" s="2096">
        <f>(K530 * G530)</f>
        <v>0</v>
      </c>
      <c r="M530" s="2097">
        <v>99620.91</v>
      </c>
      <c r="N530" s="2098">
        <f>(G530 * M530)</f>
        <v>0</v>
      </c>
      <c r="O530">
        <v>0</v>
      </c>
      <c r="P530">
        <v>0</v>
      </c>
      <c r="Q530">
        <f>IF(O530&gt;G530,(O530-G530),0)</f>
        <v>0</v>
      </c>
      <c r="R530">
        <v>0</v>
      </c>
      <c r="S530">
        <f>IF(Q530&gt;0,Int(P530/Q530),0)</f>
        <v>0</v>
      </c>
      <c r="T530">
        <f>0</f>
        <v>0</v>
      </c>
      <c r="U530"/>
      <c r="V530">
        <v>71157.79</v>
      </c>
      <c r="W530" t="s">
        <v>75</v>
      </c>
      <c r="X530"/>
    </row>
    <row r="531" spans="1:27">
      <c r="A531" t="s">
        <v>35</v>
      </c>
      <c r="B531" t="s">
        <v>29</v>
      </c>
      <c r="C531" t="s">
        <v>1925</v>
      </c>
      <c r="D531" t="s">
        <v>1926</v>
      </c>
      <c r="E531" t="s">
        <v>1927</v>
      </c>
      <c r="F531" t="s">
        <v>41</v>
      </c>
      <c r="G531">
        <v>-3</v>
      </c>
      <c r="H531">
        <f>((0/1000) * G531)</f>
        <v>-0</v>
      </c>
      <c r="I531">
        <v>0</v>
      </c>
      <c r="J531">
        <v>-3</v>
      </c>
      <c r="K531" s="2099">
        <v>56614</v>
      </c>
      <c r="L531" s="2100">
        <f>(K531 * G531)</f>
        <v>-169842</v>
      </c>
      <c r="M531" s="2101">
        <v>101652.89</v>
      </c>
      <c r="N531" s="2102">
        <f>(G531 * M531)</f>
        <v>-304958.67</v>
      </c>
      <c r="O531">
        <v>0</v>
      </c>
      <c r="P531">
        <v>0</v>
      </c>
      <c r="Q531">
        <f>IF(O531&gt;G531,(O531-G531),0)</f>
        <v>3</v>
      </c>
      <c r="R531">
        <v>0</v>
      </c>
      <c r="S531">
        <f>IF(Q531&gt;0,Int(P531/Q531),0)</f>
        <v>0</v>
      </c>
      <c r="T531">
        <f>55600</f>
        <v>55600</v>
      </c>
      <c r="U531" t="s">
        <v>1141</v>
      </c>
      <c r="V531">
        <v>56614</v>
      </c>
      <c r="W531" t="s">
        <v>97</v>
      </c>
      <c r="X531" t="s">
        <v>409</v>
      </c>
    </row>
    <row r="532" spans="1:27">
      <c r="A532" t="s">
        <v>35</v>
      </c>
      <c r="B532" t="s">
        <v>29</v>
      </c>
      <c r="C532" t="s">
        <v>1928</v>
      </c>
      <c r="D532" t="s">
        <v>1929</v>
      </c>
      <c r="E532" t="s">
        <v>1930</v>
      </c>
      <c r="F532" t="s">
        <v>41</v>
      </c>
      <c r="G532">
        <v>0</v>
      </c>
      <c r="H532">
        <f>((0/1000) * G532)</f>
        <v>0</v>
      </c>
      <c r="I532">
        <v>0</v>
      </c>
      <c r="J532">
        <v>0</v>
      </c>
      <c r="K532" s="2103">
        <v>79725</v>
      </c>
      <c r="L532" s="2104">
        <f>(K532 * G532)</f>
        <v>0</v>
      </c>
      <c r="M532" s="2105">
        <v>119587.5</v>
      </c>
      <c r="N532" s="2106">
        <f>(G532 * M532)</f>
        <v>0</v>
      </c>
      <c r="O532">
        <v>0</v>
      </c>
      <c r="P532">
        <v>0</v>
      </c>
      <c r="Q532">
        <f>IF(O532&gt;G532,(O532-G532),0)</f>
        <v>0</v>
      </c>
      <c r="R532">
        <v>0</v>
      </c>
      <c r="S532">
        <f>IF(Q532&gt;0,Int(P532/Q532),0)</f>
        <v>0</v>
      </c>
      <c r="T532">
        <f>79725</f>
        <v>79725</v>
      </c>
      <c r="U532" t="s">
        <v>1651</v>
      </c>
      <c r="V532">
        <v>79725</v>
      </c>
      <c r="W532" t="s">
        <v>292</v>
      </c>
      <c r="X532"/>
    </row>
    <row r="533" spans="1:27">
      <c r="A533" t="s">
        <v>35</v>
      </c>
      <c r="B533" t="s">
        <v>29</v>
      </c>
      <c r="C533" t="s">
        <v>1931</v>
      </c>
      <c r="D533" t="s">
        <v>1932</v>
      </c>
      <c r="E533" t="s">
        <v>1933</v>
      </c>
      <c r="F533" t="s">
        <v>33</v>
      </c>
      <c r="G533">
        <v>0</v>
      </c>
      <c r="H533">
        <f>((0/1000) * G533)</f>
        <v>0</v>
      </c>
      <c r="I533">
        <v>0</v>
      </c>
      <c r="J533">
        <v>0</v>
      </c>
      <c r="K533" s="2107">
        <v>75626.62</v>
      </c>
      <c r="L533" s="2108">
        <f>(K533 * G533)</f>
        <v>0</v>
      </c>
      <c r="M533" s="2109">
        <v>105877.27</v>
      </c>
      <c r="N533" s="2110">
        <f>(G533 * M533)</f>
        <v>0</v>
      </c>
      <c r="O533">
        <v>0</v>
      </c>
      <c r="P533">
        <v>0</v>
      </c>
      <c r="Q533">
        <f>IF(O533&gt;G533,(O533-G533),0)</f>
        <v>0</v>
      </c>
      <c r="R533">
        <v>1</v>
      </c>
      <c r="S533">
        <f>IF(Q533&gt;0,Int(P533/Q533),0)</f>
        <v>0</v>
      </c>
      <c r="T533">
        <f>76450</f>
        <v>76450</v>
      </c>
      <c r="U533" t="s">
        <v>1934</v>
      </c>
      <c r="V533">
        <v>75626.62</v>
      </c>
      <c r="W533" t="s">
        <v>75</v>
      </c>
      <c r="X533"/>
    </row>
    <row r="534" spans="1:27">
      <c r="A534" t="s">
        <v>35</v>
      </c>
      <c r="B534" t="s">
        <v>29</v>
      </c>
      <c r="C534" t="s">
        <v>1935</v>
      </c>
      <c r="D534" t="s">
        <v>1936</v>
      </c>
      <c r="E534" t="s">
        <v>1937</v>
      </c>
      <c r="F534" t="s">
        <v>33</v>
      </c>
      <c r="G534">
        <v>0</v>
      </c>
      <c r="H534">
        <f>((0/1000) * G534)</f>
        <v>0</v>
      </c>
      <c r="I534">
        <v>0</v>
      </c>
      <c r="J534">
        <v>0</v>
      </c>
      <c r="K534" s="2111">
        <v>136143.56</v>
      </c>
      <c r="L534" s="2112">
        <f>(K534 * G534)</f>
        <v>0</v>
      </c>
      <c r="M534" s="2113">
        <v>149757.91</v>
      </c>
      <c r="N534" s="2114">
        <f>(G534 * M534)</f>
        <v>0</v>
      </c>
      <c r="O534">
        <v>0</v>
      </c>
      <c r="P534">
        <v>0</v>
      </c>
      <c r="Q534">
        <f>IF(O534&gt;G534,(O534-G534),0)</f>
        <v>0</v>
      </c>
      <c r="R534">
        <v>1</v>
      </c>
      <c r="S534">
        <f>IF(Q534&gt;0,Int(P534/Q534),0)</f>
        <v>0</v>
      </c>
      <c r="T534">
        <f>123766.87</f>
        <v>123766.87</v>
      </c>
      <c r="U534" t="s">
        <v>1938</v>
      </c>
      <c r="V534">
        <v>136143.56</v>
      </c>
      <c r="W534" t="s">
        <v>43</v>
      </c>
      <c r="X534"/>
    </row>
    <row r="535" spans="1:27">
      <c r="A535" t="s">
        <v>28</v>
      </c>
      <c r="B535" t="s">
        <v>29</v>
      </c>
      <c r="C535" t="s">
        <v>1939</v>
      </c>
      <c r="D535" t="s">
        <v>1940</v>
      </c>
      <c r="E535" t="s">
        <v>1941</v>
      </c>
      <c r="F535" t="s">
        <v>33</v>
      </c>
      <c r="G535">
        <v>0</v>
      </c>
      <c r="H535">
        <f>((0/1000) * G535)</f>
        <v>0</v>
      </c>
      <c r="I535">
        <v>0</v>
      </c>
      <c r="J535">
        <v>0</v>
      </c>
      <c r="K535" s="2115">
        <v>81830.58</v>
      </c>
      <c r="L535" s="2116">
        <f>(K535 * G535)</f>
        <v>0</v>
      </c>
      <c r="M535" s="2117">
        <v>114562.81</v>
      </c>
      <c r="N535" s="2118">
        <f>(G535 * M535)</f>
        <v>0</v>
      </c>
      <c r="O535">
        <v>0</v>
      </c>
      <c r="P535">
        <v>0</v>
      </c>
      <c r="Q535">
        <f>IF(O535&gt;G535,(O535-G535),0)</f>
        <v>0</v>
      </c>
      <c r="R535">
        <v>0</v>
      </c>
      <c r="S535">
        <f>IF(Q535&gt;0,Int(P535/Q535),0)</f>
        <v>0</v>
      </c>
      <c r="T535">
        <f>0</f>
        <v>0</v>
      </c>
      <c r="U535"/>
      <c r="V535">
        <v>81830.58</v>
      </c>
      <c r="W535" t="s">
        <v>148</v>
      </c>
      <c r="X535"/>
    </row>
    <row r="536" spans="1:27">
      <c r="A536" t="s">
        <v>35</v>
      </c>
      <c r="B536" t="s">
        <v>29</v>
      </c>
      <c r="C536" t="s">
        <v>1942</v>
      </c>
      <c r="D536" t="s">
        <v>1943</v>
      </c>
      <c r="E536" t="s">
        <v>1944</v>
      </c>
      <c r="F536" t="s">
        <v>41</v>
      </c>
      <c r="G536">
        <v>0</v>
      </c>
      <c r="H536">
        <f>((0/1000) * G536)</f>
        <v>0</v>
      </c>
      <c r="I536">
        <v>0</v>
      </c>
      <c r="J536">
        <v>0</v>
      </c>
      <c r="K536" s="2119">
        <v>138500</v>
      </c>
      <c r="L536" s="2120">
        <f>(K536 * G536)</f>
        <v>0</v>
      </c>
      <c r="M536" s="2121">
        <v>193900</v>
      </c>
      <c r="N536" s="2122">
        <f>(G536 * M536)</f>
        <v>0</v>
      </c>
      <c r="O536">
        <v>0</v>
      </c>
      <c r="P536">
        <v>0</v>
      </c>
      <c r="Q536">
        <f>IF(O536&gt;G536,(O536-G536),0)</f>
        <v>0</v>
      </c>
      <c r="R536">
        <v>1</v>
      </c>
      <c r="S536">
        <f>IF(Q536&gt;0,Int(P536/Q536),0)</f>
        <v>0</v>
      </c>
      <c r="T536">
        <f>18150</f>
        <v>18150</v>
      </c>
      <c r="U536" t="s">
        <v>1945</v>
      </c>
      <c r="V536">
        <v>138500</v>
      </c>
      <c r="W536" t="s">
        <v>43</v>
      </c>
      <c r="X536"/>
    </row>
    <row r="537" spans="1:27">
      <c r="A537" t="s">
        <v>35</v>
      </c>
      <c r="B537" t="s">
        <v>29</v>
      </c>
      <c r="C537" t="s">
        <v>1946</v>
      </c>
      <c r="D537" t="s">
        <v>1947</v>
      </c>
      <c r="E537" t="s">
        <v>1948</v>
      </c>
      <c r="F537" t="s">
        <v>33</v>
      </c>
      <c r="G537">
        <v>0</v>
      </c>
      <c r="H537">
        <f>((0/1000) * G537)</f>
        <v>0</v>
      </c>
      <c r="I537">
        <v>0</v>
      </c>
      <c r="J537">
        <v>0</v>
      </c>
      <c r="K537" s="2123">
        <v>169321.43</v>
      </c>
      <c r="L537" s="2124">
        <f>(K537 * G537)</f>
        <v>0</v>
      </c>
      <c r="M537" s="2125">
        <v>237050</v>
      </c>
      <c r="N537" s="2126">
        <f>(G537 * M537)</f>
        <v>0</v>
      </c>
      <c r="O537">
        <v>0</v>
      </c>
      <c r="P537">
        <v>0</v>
      </c>
      <c r="Q537">
        <f>IF(O537&gt;G537,(O537-G537),0)</f>
        <v>0</v>
      </c>
      <c r="R537">
        <v>0</v>
      </c>
      <c r="S537">
        <f>IF(Q537&gt;0,Int(P537/Q537),0)</f>
        <v>0</v>
      </c>
      <c r="T537">
        <f>0</f>
        <v>0</v>
      </c>
      <c r="U537"/>
      <c r="V537">
        <v>169321.43</v>
      </c>
      <c r="W537" t="s">
        <v>148</v>
      </c>
      <c r="X537"/>
    </row>
    <row r="538" spans="1:27">
      <c r="A538" t="s">
        <v>35</v>
      </c>
      <c r="B538" t="s">
        <v>29</v>
      </c>
      <c r="C538" t="s">
        <v>1949</v>
      </c>
      <c r="D538" t="s">
        <v>1950</v>
      </c>
      <c r="E538" t="s">
        <v>1951</v>
      </c>
      <c r="F538" t="s">
        <v>33</v>
      </c>
      <c r="G538">
        <v>0</v>
      </c>
      <c r="H538">
        <f>((0/1000) * G538)</f>
        <v>0</v>
      </c>
      <c r="I538">
        <v>0</v>
      </c>
      <c r="J538">
        <v>0</v>
      </c>
      <c r="K538" s="2127">
        <v>113636.36</v>
      </c>
      <c r="L538" s="2128">
        <f>(K538 * G538)</f>
        <v>0</v>
      </c>
      <c r="M538" s="2129">
        <v>159090.91</v>
      </c>
      <c r="N538" s="2130">
        <f>(G538 * M538)</f>
        <v>0</v>
      </c>
      <c r="O538">
        <v>0</v>
      </c>
      <c r="P538">
        <v>0</v>
      </c>
      <c r="Q538">
        <f>IF(O538&gt;G538,(O538-G538),0)</f>
        <v>0</v>
      </c>
      <c r="R538">
        <v>1</v>
      </c>
      <c r="S538">
        <f>IF(Q538&gt;0,Int(P538/Q538),0)</f>
        <v>0</v>
      </c>
      <c r="T538">
        <f>103305.79</f>
        <v>103305.79</v>
      </c>
      <c r="U538" t="s">
        <v>1952</v>
      </c>
      <c r="V538">
        <v>113636.36</v>
      </c>
      <c r="W538" t="s">
        <v>75</v>
      </c>
      <c r="X538"/>
    </row>
    <row r="539" spans="1:27">
      <c r="A539" t="s">
        <v>28</v>
      </c>
      <c r="B539" t="s">
        <v>29</v>
      </c>
      <c r="C539" t="s">
        <v>1953</v>
      </c>
      <c r="D539" t="s">
        <v>1943</v>
      </c>
      <c r="E539" t="s">
        <v>1954</v>
      </c>
      <c r="F539" t="s">
        <v>33</v>
      </c>
      <c r="G539">
        <v>0</v>
      </c>
      <c r="H539">
        <f>((0/1000) * G539)</f>
        <v>0</v>
      </c>
      <c r="I539">
        <v>0</v>
      </c>
      <c r="J539">
        <v>0</v>
      </c>
      <c r="K539" s="2131">
        <v>176272.73</v>
      </c>
      <c r="L539" s="2132">
        <f>(K539 * G539)</f>
        <v>0</v>
      </c>
      <c r="M539" s="2133">
        <v>193900</v>
      </c>
      <c r="N539" s="2134">
        <f>(G539 * M539)</f>
        <v>0</v>
      </c>
      <c r="O539">
        <v>0</v>
      </c>
      <c r="P539">
        <v>0</v>
      </c>
      <c r="Q539">
        <f>IF(O539&gt;G539,(O539-G539),0)</f>
        <v>0</v>
      </c>
      <c r="R539">
        <v>1</v>
      </c>
      <c r="S539">
        <f>IF(Q539&gt;0,Int(P539/Q539),0)</f>
        <v>0</v>
      </c>
      <c r="T539">
        <f>160247.94</f>
        <v>160247.94</v>
      </c>
      <c r="U539" t="s">
        <v>1955</v>
      </c>
      <c r="V539">
        <v>176272.73</v>
      </c>
      <c r="W539" t="s">
        <v>43</v>
      </c>
      <c r="X539"/>
    </row>
    <row r="540" spans="1:27">
      <c r="A540" t="s">
        <v>35</v>
      </c>
      <c r="B540" t="s">
        <v>29</v>
      </c>
      <c r="C540" t="s">
        <v>1956</v>
      </c>
      <c r="D540" t="s">
        <v>1181</v>
      </c>
      <c r="E540" t="s">
        <v>1957</v>
      </c>
      <c r="F540" t="s">
        <v>33</v>
      </c>
      <c r="G540">
        <v>0</v>
      </c>
      <c r="H540">
        <f>((0/1000) * G540)</f>
        <v>0</v>
      </c>
      <c r="I540">
        <v>0</v>
      </c>
      <c r="J540">
        <v>0</v>
      </c>
      <c r="K540" s="2135">
        <v>131114.97</v>
      </c>
      <c r="L540" s="2136">
        <f>(K540 * G540)</f>
        <v>0</v>
      </c>
      <c r="M540" s="2137">
        <v>183560.96</v>
      </c>
      <c r="N540" s="2138">
        <f>(G540 * M540)</f>
        <v>0</v>
      </c>
      <c r="O540">
        <v>0</v>
      </c>
      <c r="P540">
        <v>0</v>
      </c>
      <c r="Q540">
        <f>IF(O540&gt;G540,(O540-G540),0)</f>
        <v>0</v>
      </c>
      <c r="R540">
        <v>0</v>
      </c>
      <c r="S540">
        <f>IF(Q540&gt;0,Int(P540/Q540),0)</f>
        <v>0</v>
      </c>
      <c r="T540">
        <f>131114.97</f>
        <v>131114.97</v>
      </c>
      <c r="U540" t="s">
        <v>1958</v>
      </c>
      <c r="V540">
        <v>131114.97</v>
      </c>
      <c r="W540" t="s">
        <v>301</v>
      </c>
      <c r="X540"/>
    </row>
    <row r="541" spans="1:27">
      <c r="A541" t="s">
        <v>28</v>
      </c>
      <c r="B541" t="s">
        <v>29</v>
      </c>
      <c r="C541" t="s">
        <v>1959</v>
      </c>
      <c r="D541" t="s">
        <v>1960</v>
      </c>
      <c r="E541" t="s">
        <v>1961</v>
      </c>
      <c r="F541" t="s">
        <v>33</v>
      </c>
      <c r="G541">
        <v>1</v>
      </c>
      <c r="H541">
        <f>((0/1000) * G541)</f>
        <v>0</v>
      </c>
      <c r="I541">
        <v>0</v>
      </c>
      <c r="J541">
        <v>1</v>
      </c>
      <c r="K541" s="2139">
        <v>231459.75</v>
      </c>
      <c r="L541" s="2140">
        <f>(K541 * G541)</f>
        <v>231459.75</v>
      </c>
      <c r="M541" s="2141">
        <v>324043.65</v>
      </c>
      <c r="N541" s="2142">
        <f>(G541 * M541)</f>
        <v>324043.65</v>
      </c>
      <c r="O541">
        <v>0</v>
      </c>
      <c r="P541">
        <v>0</v>
      </c>
      <c r="Q541">
        <f>IF(O541&gt;G541,(O541-G541),0)</f>
        <v>0</v>
      </c>
      <c r="R541">
        <v>1</v>
      </c>
      <c r="S541">
        <f>IF(Q541&gt;0,Int(P541/Q541),0)</f>
        <v>0</v>
      </c>
      <c r="T541">
        <f>97145</f>
        <v>97145</v>
      </c>
      <c r="U541" t="s">
        <v>1962</v>
      </c>
      <c r="V541">
        <v>231459.75</v>
      </c>
      <c r="W541" t="s">
        <v>182</v>
      </c>
      <c r="X541"/>
    </row>
    <row r="542" spans="1:27">
      <c r="A542" t="s">
        <v>28</v>
      </c>
      <c r="B542" t="s">
        <v>29</v>
      </c>
      <c r="C542" t="s">
        <v>1963</v>
      </c>
      <c r="D542" t="s">
        <v>1964</v>
      </c>
      <c r="E542" t="s">
        <v>1965</v>
      </c>
      <c r="F542" t="s">
        <v>33</v>
      </c>
      <c r="G542">
        <v>0</v>
      </c>
      <c r="H542">
        <f>((0/1000) * G542)</f>
        <v>0</v>
      </c>
      <c r="I542">
        <v>0</v>
      </c>
      <c r="J542">
        <v>0</v>
      </c>
      <c r="K542" s="2143">
        <v>221491.62</v>
      </c>
      <c r="L542" s="2144">
        <f>(K542 * G542)</f>
        <v>0</v>
      </c>
      <c r="M542" s="2145">
        <v>310088.27</v>
      </c>
      <c r="N542" s="2146">
        <f>(G542 * M542)</f>
        <v>0</v>
      </c>
      <c r="O542">
        <v>0</v>
      </c>
      <c r="P542">
        <v>0</v>
      </c>
      <c r="Q542">
        <f>IF(O542&gt;G542,(O542-G542),0)</f>
        <v>0</v>
      </c>
      <c r="R542">
        <v>0</v>
      </c>
      <c r="S542">
        <f>IF(Q542&gt;0,Int(P542/Q542),0)</f>
        <v>0</v>
      </c>
      <c r="T542">
        <f>211491.33</f>
        <v>211491.33</v>
      </c>
      <c r="U542" t="s">
        <v>1966</v>
      </c>
      <c r="V542">
        <v>221491.62</v>
      </c>
      <c r="W542" t="s">
        <v>182</v>
      </c>
      <c r="X542"/>
    </row>
    <row r="543" spans="1:27">
      <c r="A543" t="s">
        <v>28</v>
      </c>
      <c r="B543" t="s">
        <v>29</v>
      </c>
      <c r="C543" t="s">
        <v>1967</v>
      </c>
      <c r="D543" t="s">
        <v>1968</v>
      </c>
      <c r="E543" t="s">
        <v>1969</v>
      </c>
      <c r="F543" t="s">
        <v>41</v>
      </c>
      <c r="G543">
        <v>0</v>
      </c>
      <c r="H543">
        <f>((0/1000) * G543)</f>
        <v>0</v>
      </c>
      <c r="I543">
        <v>0</v>
      </c>
      <c r="J543">
        <v>0</v>
      </c>
      <c r="K543" s="2147">
        <v>221491.62</v>
      </c>
      <c r="L543" s="2148">
        <f>(K543 * G543)</f>
        <v>0</v>
      </c>
      <c r="M543" s="2149">
        <v>310088.27</v>
      </c>
      <c r="N543" s="2150">
        <f>(G543 * M543)</f>
        <v>0</v>
      </c>
      <c r="O543">
        <v>0</v>
      </c>
      <c r="P543">
        <v>0</v>
      </c>
      <c r="Q543">
        <f>IF(O543&gt;G543,(O543-G543),0)</f>
        <v>0</v>
      </c>
      <c r="R543">
        <v>1</v>
      </c>
      <c r="S543">
        <f>IF(Q543&gt;0,Int(P543/Q543),0)</f>
        <v>0</v>
      </c>
      <c r="T543">
        <f>264364.17</f>
        <v>264364.17</v>
      </c>
      <c r="U543" t="s">
        <v>1970</v>
      </c>
      <c r="V543">
        <v>221491.62</v>
      </c>
      <c r="W543" t="s">
        <v>182</v>
      </c>
      <c r="X543" t="s">
        <v>226</v>
      </c>
    </row>
    <row r="544" spans="1:27">
      <c r="A544" t="s">
        <v>28</v>
      </c>
      <c r="B544" t="s">
        <v>29</v>
      </c>
      <c r="C544" t="s">
        <v>1971</v>
      </c>
      <c r="D544" t="s">
        <v>1972</v>
      </c>
      <c r="E544" t="s">
        <v>1973</v>
      </c>
      <c r="F544" t="s">
        <v>33</v>
      </c>
      <c r="G544">
        <v>4</v>
      </c>
      <c r="H544">
        <f>((0/1000) * G544)</f>
        <v>0</v>
      </c>
      <c r="I544">
        <v>0</v>
      </c>
      <c r="J544">
        <v>4</v>
      </c>
      <c r="K544" s="2151">
        <v>221491.62</v>
      </c>
      <c r="L544" s="2152">
        <f>(K544 * G544)</f>
        <v>885966.48</v>
      </c>
      <c r="M544" s="2153">
        <v>310088.27</v>
      </c>
      <c r="N544" s="2154">
        <f>(G544 * M544)</f>
        <v>1240353.08</v>
      </c>
      <c r="O544">
        <v>0</v>
      </c>
      <c r="P544">
        <v>0</v>
      </c>
      <c r="Q544">
        <f>IF(O544&gt;G544,(O544-G544),0)</f>
        <v>0</v>
      </c>
      <c r="R544">
        <v>1</v>
      </c>
      <c r="S544">
        <f>IF(Q544&gt;0,Int(P544/Q544),0)</f>
        <v>0</v>
      </c>
      <c r="T544">
        <f>264364.17</f>
        <v>264364.17</v>
      </c>
      <c r="U544" t="s">
        <v>1974</v>
      </c>
      <c r="V544">
        <v>221491.62</v>
      </c>
      <c r="W544" t="s">
        <v>182</v>
      </c>
      <c r="X544"/>
    </row>
    <row r="545" spans="1:27">
      <c r="A545" t="s">
        <v>35</v>
      </c>
      <c r="B545" t="s">
        <v>29</v>
      </c>
      <c r="C545" t="s">
        <v>1975</v>
      </c>
      <c r="D545" t="s">
        <v>1976</v>
      </c>
      <c r="E545" t="s">
        <v>1977</v>
      </c>
      <c r="F545" t="s">
        <v>41</v>
      </c>
      <c r="G545">
        <v>0</v>
      </c>
      <c r="H545">
        <f>((1/1000) * G545)</f>
        <v>0</v>
      </c>
      <c r="I545">
        <v>0</v>
      </c>
      <c r="J545">
        <v>0</v>
      </c>
      <c r="K545" s="2155">
        <v>173373.93</v>
      </c>
      <c r="L545" s="2156">
        <f>(K545 * G545)</f>
        <v>0</v>
      </c>
      <c r="M545" s="2157">
        <v>190711.32</v>
      </c>
      <c r="N545" s="2158">
        <f>(G545 * M545)</f>
        <v>0</v>
      </c>
      <c r="O545">
        <v>0</v>
      </c>
      <c r="P545">
        <v>0</v>
      </c>
      <c r="Q545">
        <f>IF(O545&gt;G545,(O545-G545),0)</f>
        <v>0</v>
      </c>
      <c r="R545">
        <v>1</v>
      </c>
      <c r="S545">
        <f>IF(Q545&gt;0,Int(P545/Q545),0)</f>
        <v>0</v>
      </c>
      <c r="T545">
        <f>157612.66</f>
        <v>157612.66</v>
      </c>
      <c r="U545" t="s">
        <v>1978</v>
      </c>
      <c r="V545">
        <v>173373.93</v>
      </c>
      <c r="W545" t="s">
        <v>43</v>
      </c>
      <c r="X545"/>
    </row>
    <row r="546" spans="1:27">
      <c r="A546" t="s">
        <v>35</v>
      </c>
      <c r="B546" t="s">
        <v>29</v>
      </c>
      <c r="C546" t="s">
        <v>1979</v>
      </c>
      <c r="D546" t="s">
        <v>1980</v>
      </c>
      <c r="E546" t="s">
        <v>1981</v>
      </c>
      <c r="F546" t="s">
        <v>41</v>
      </c>
      <c r="G546">
        <v>6</v>
      </c>
      <c r="H546">
        <f>((0/1000) * G546)</f>
        <v>0</v>
      </c>
      <c r="I546">
        <v>6</v>
      </c>
      <c r="J546">
        <v>0</v>
      </c>
      <c r="K546" s="2159">
        <v>242727.28</v>
      </c>
      <c r="L546" s="2160">
        <f>(K546 * G546)</f>
        <v>1456363.68</v>
      </c>
      <c r="M546" s="2161">
        <v>339818.19</v>
      </c>
      <c r="N546" s="2162">
        <f>(G546 * M546)</f>
        <v>2038909.14</v>
      </c>
      <c r="O546">
        <v>0</v>
      </c>
      <c r="P546">
        <v>0</v>
      </c>
      <c r="Q546">
        <f>IF(O546&gt;G546,(O546-G546),0)</f>
        <v>0</v>
      </c>
      <c r="R546">
        <v>1</v>
      </c>
      <c r="S546">
        <f>IF(Q546&gt;0,Int(P546/Q546),0)</f>
        <v>0</v>
      </c>
      <c r="T546">
        <f>79263.71</f>
        <v>79263.71</v>
      </c>
      <c r="U546" t="s">
        <v>1982</v>
      </c>
      <c r="V546">
        <v>242727.28</v>
      </c>
      <c r="W546" t="s">
        <v>75</v>
      </c>
      <c r="X546"/>
    </row>
    <row r="547" spans="1:27">
      <c r="A547" t="s">
        <v>35</v>
      </c>
      <c r="B547" t="s">
        <v>29</v>
      </c>
      <c r="C547" t="s">
        <v>1916</v>
      </c>
      <c r="D547" t="s">
        <v>852</v>
      </c>
      <c r="E547" t="s">
        <v>1983</v>
      </c>
      <c r="F547" t="s">
        <v>33</v>
      </c>
      <c r="G547">
        <v>0</v>
      </c>
      <c r="H547">
        <f>((0/1000) * G547)</f>
        <v>0</v>
      </c>
      <c r="I547">
        <v>0</v>
      </c>
      <c r="J547">
        <v>0</v>
      </c>
      <c r="K547" s="2163">
        <v>77177.66</v>
      </c>
      <c r="L547" s="2164">
        <f>(K547 * G547)</f>
        <v>0</v>
      </c>
      <c r="M547" s="2165">
        <v>108048.73</v>
      </c>
      <c r="N547" s="2166">
        <f>(G547 * M547)</f>
        <v>0</v>
      </c>
      <c r="O547">
        <v>0</v>
      </c>
      <c r="P547">
        <v>0</v>
      </c>
      <c r="Q547">
        <f>IF(O547&gt;G547,(O547-G547),0)</f>
        <v>0</v>
      </c>
      <c r="R547">
        <v>0</v>
      </c>
      <c r="S547">
        <f>IF(Q547&gt;0,Int(P547/Q547),0)</f>
        <v>0</v>
      </c>
      <c r="T547">
        <f>0</f>
        <v>0</v>
      </c>
      <c r="U547"/>
      <c r="V547">
        <v>77177.66</v>
      </c>
      <c r="W547" t="s">
        <v>75</v>
      </c>
      <c r="X547"/>
    </row>
    <row r="548" spans="1:27">
      <c r="A548" t="s">
        <v>35</v>
      </c>
      <c r="B548" t="s">
        <v>29</v>
      </c>
      <c r="C548" t="s">
        <v>1984</v>
      </c>
      <c r="D548" t="s">
        <v>1985</v>
      </c>
      <c r="E548" t="s">
        <v>1986</v>
      </c>
      <c r="F548" t="s">
        <v>33</v>
      </c>
      <c r="G548">
        <v>0</v>
      </c>
      <c r="H548">
        <f>((0/1000) * G548)</f>
        <v>0</v>
      </c>
      <c r="I548">
        <v>0</v>
      </c>
      <c r="J548">
        <v>0</v>
      </c>
      <c r="K548" s="2167">
        <v>73589.37</v>
      </c>
      <c r="L548" s="2168">
        <f>(K548 * G548)</f>
        <v>0</v>
      </c>
      <c r="M548" s="2169">
        <v>103025.12</v>
      </c>
      <c r="N548" s="2170">
        <f>(G548 * M548)</f>
        <v>0</v>
      </c>
      <c r="O548">
        <v>0</v>
      </c>
      <c r="P548">
        <v>0</v>
      </c>
      <c r="Q548">
        <f>IF(O548&gt;G548,(O548-G548),0)</f>
        <v>0</v>
      </c>
      <c r="R548">
        <v>0</v>
      </c>
      <c r="S548">
        <f>IF(Q548&gt;0,Int(P548/Q548),0)</f>
        <v>0</v>
      </c>
      <c r="T548">
        <f>0</f>
        <v>0</v>
      </c>
      <c r="U548"/>
      <c r="V548">
        <v>73589.37</v>
      </c>
      <c r="W548" t="s">
        <v>75</v>
      </c>
      <c r="X548"/>
    </row>
    <row r="549" spans="1:27">
      <c r="A549" t="s">
        <v>35</v>
      </c>
      <c r="B549" t="s">
        <v>29</v>
      </c>
      <c r="C549" t="s">
        <v>1987</v>
      </c>
      <c r="D549" t="s">
        <v>1988</v>
      </c>
      <c r="E549" t="s">
        <v>1989</v>
      </c>
      <c r="F549" t="s">
        <v>33</v>
      </c>
      <c r="G549">
        <v>0</v>
      </c>
      <c r="H549">
        <f>((0/1000) * G549)</f>
        <v>0</v>
      </c>
      <c r="I549">
        <v>0</v>
      </c>
      <c r="J549">
        <v>0</v>
      </c>
      <c r="K549" s="2171">
        <v>71776.57</v>
      </c>
      <c r="L549" s="2172">
        <f>(K549 * G549)</f>
        <v>0</v>
      </c>
      <c r="M549" s="2173">
        <v>100487.2</v>
      </c>
      <c r="N549" s="2174">
        <f>(G549 * M549)</f>
        <v>0</v>
      </c>
      <c r="O549">
        <v>0</v>
      </c>
      <c r="P549">
        <v>0</v>
      </c>
      <c r="Q549">
        <f>IF(O549&gt;G549,(O549-G549),0)</f>
        <v>0</v>
      </c>
      <c r="R549">
        <v>1</v>
      </c>
      <c r="S549">
        <f>IF(Q549&gt;0,Int(P549/Q549),0)</f>
        <v>0</v>
      </c>
      <c r="T549">
        <f>78512.39</f>
        <v>78512.39</v>
      </c>
      <c r="U549" t="s">
        <v>1990</v>
      </c>
      <c r="V549">
        <v>71776.57</v>
      </c>
      <c r="W549" t="s">
        <v>75</v>
      </c>
      <c r="X549"/>
    </row>
    <row r="550" spans="1:27">
      <c r="A550" t="s">
        <v>35</v>
      </c>
      <c r="B550" t="s">
        <v>29</v>
      </c>
      <c r="C550" t="s">
        <v>1991</v>
      </c>
      <c r="D550" t="s">
        <v>1992</v>
      </c>
      <c r="E550" t="s">
        <v>1993</v>
      </c>
      <c r="F550" t="s">
        <v>41</v>
      </c>
      <c r="G550">
        <v>0</v>
      </c>
      <c r="H550">
        <f>((0/1000) * G550)</f>
        <v>0</v>
      </c>
      <c r="I550">
        <v>0</v>
      </c>
      <c r="J550">
        <v>0</v>
      </c>
      <c r="K550" s="2175">
        <v>136363.63</v>
      </c>
      <c r="L550" s="2176">
        <f>(K550 * G550)</f>
        <v>0</v>
      </c>
      <c r="M550" s="2177">
        <v>150000</v>
      </c>
      <c r="N550" s="2178">
        <f>(G550 * M550)</f>
        <v>0</v>
      </c>
      <c r="O550">
        <v>0</v>
      </c>
      <c r="P550">
        <v>0</v>
      </c>
      <c r="Q550">
        <f>IF(O550&gt;G550,(O550-G550),0)</f>
        <v>0</v>
      </c>
      <c r="R550">
        <v>1</v>
      </c>
      <c r="S550">
        <f>IF(Q550&gt;0,Int(P550/Q550),0)</f>
        <v>0</v>
      </c>
      <c r="T550">
        <f>112697.22</f>
        <v>112697.22</v>
      </c>
      <c r="U550" t="s">
        <v>1994</v>
      </c>
      <c r="V550">
        <v>136363.63</v>
      </c>
      <c r="W550" t="s">
        <v>43</v>
      </c>
      <c r="X550"/>
    </row>
    <row r="551" spans="1:27">
      <c r="A551" t="s">
        <v>28</v>
      </c>
      <c r="B551" t="s">
        <v>29</v>
      </c>
      <c r="C551" t="s">
        <v>1995</v>
      </c>
      <c r="D551" t="s">
        <v>1996</v>
      </c>
      <c r="E551" t="s">
        <v>1997</v>
      </c>
      <c r="F551" t="s">
        <v>33</v>
      </c>
      <c r="G551">
        <v>0</v>
      </c>
      <c r="H551">
        <f>((0/1000) * G551)</f>
        <v>0</v>
      </c>
      <c r="I551">
        <v>0</v>
      </c>
      <c r="J551">
        <v>0</v>
      </c>
      <c r="K551" s="2179">
        <v>116363.63</v>
      </c>
      <c r="L551" s="2180">
        <f>(K551 * G551)</f>
        <v>0</v>
      </c>
      <c r="M551" s="2181">
        <v>145454.54</v>
      </c>
      <c r="N551" s="2182">
        <f>(G551 * M551)</f>
        <v>0</v>
      </c>
      <c r="O551">
        <v>0</v>
      </c>
      <c r="P551">
        <v>0</v>
      </c>
      <c r="Q551">
        <f>IF(O551&gt;G551,(O551-G551),0)</f>
        <v>0</v>
      </c>
      <c r="R551">
        <v>1</v>
      </c>
      <c r="S551">
        <f>IF(Q551&gt;0,Int(P551/Q551),0)</f>
        <v>0</v>
      </c>
      <c r="T551">
        <f>0</f>
        <v>0</v>
      </c>
      <c r="U551" t="s">
        <v>1998</v>
      </c>
      <c r="V551">
        <v>116363.63</v>
      </c>
      <c r="W551" t="s">
        <v>43</v>
      </c>
      <c r="X551"/>
    </row>
    <row r="552" spans="1:27">
      <c r="A552" t="s">
        <v>35</v>
      </c>
      <c r="B552" t="s">
        <v>29</v>
      </c>
      <c r="C552" t="s">
        <v>1999</v>
      </c>
      <c r="D552" t="s">
        <v>2000</v>
      </c>
      <c r="E552" t="s">
        <v>2001</v>
      </c>
      <c r="F552" t="s">
        <v>41</v>
      </c>
      <c r="G552">
        <v>0</v>
      </c>
      <c r="H552">
        <f>((0/1000) * G552)</f>
        <v>0</v>
      </c>
      <c r="I552">
        <v>0</v>
      </c>
      <c r="J552">
        <v>0</v>
      </c>
      <c r="K552" s="2183">
        <v>80488</v>
      </c>
      <c r="L552" s="2184">
        <f>(K552 * G552)</f>
        <v>0</v>
      </c>
      <c r="M552" s="2185">
        <v>120732</v>
      </c>
      <c r="N552" s="2186">
        <f>(G552 * M552)</f>
        <v>0</v>
      </c>
      <c r="O552">
        <v>0</v>
      </c>
      <c r="P552">
        <v>0</v>
      </c>
      <c r="Q552">
        <f>IF(O552&gt;G552,(O552-G552),0)</f>
        <v>0</v>
      </c>
      <c r="R552">
        <v>1</v>
      </c>
      <c r="S552">
        <f>IF(Q552&gt;0,Int(P552/Q552),0)</f>
        <v>0</v>
      </c>
      <c r="T552">
        <f>80488</f>
        <v>80488</v>
      </c>
      <c r="U552" t="s">
        <v>2002</v>
      </c>
      <c r="V552">
        <v>80488</v>
      </c>
      <c r="W552" t="s">
        <v>2003</v>
      </c>
      <c r="X552"/>
    </row>
    <row r="553" spans="1:27">
      <c r="A553" t="s">
        <v>35</v>
      </c>
      <c r="B553" t="s">
        <v>29</v>
      </c>
      <c r="C553" t="s">
        <v>2004</v>
      </c>
      <c r="D553" t="s">
        <v>2005</v>
      </c>
      <c r="E553" t="s">
        <v>2006</v>
      </c>
      <c r="F553" t="s">
        <v>33</v>
      </c>
      <c r="G553">
        <v>0</v>
      </c>
      <c r="H553">
        <f>((0/1000) * G553)</f>
        <v>0</v>
      </c>
      <c r="I553">
        <v>0</v>
      </c>
      <c r="J553">
        <v>0</v>
      </c>
      <c r="K553" s="2187">
        <v>81796</v>
      </c>
      <c r="L553" s="2188">
        <f>(K553 * G553)</f>
        <v>0</v>
      </c>
      <c r="M553" s="2189">
        <v>89975.6</v>
      </c>
      <c r="N553" s="2190">
        <f>(G553 * M553)</f>
        <v>0</v>
      </c>
      <c r="O553">
        <v>0</v>
      </c>
      <c r="P553">
        <v>0</v>
      </c>
      <c r="Q553">
        <f>IF(O553&gt;G553,(O553-G553),0)</f>
        <v>0</v>
      </c>
      <c r="R553">
        <v>1</v>
      </c>
      <c r="S553">
        <f>IF(Q553&gt;0,Int(P553/Q553),0)</f>
        <v>0</v>
      </c>
      <c r="T553">
        <f>74360</f>
        <v>74360</v>
      </c>
      <c r="U553" t="s">
        <v>2007</v>
      </c>
      <c r="V553">
        <v>81796</v>
      </c>
      <c r="W553" t="s">
        <v>43</v>
      </c>
      <c r="X553"/>
    </row>
    <row r="554" spans="1:27">
      <c r="A554" t="s">
        <v>35</v>
      </c>
      <c r="B554" t="s">
        <v>29</v>
      </c>
      <c r="C554" t="s">
        <v>2008</v>
      </c>
      <c r="D554" t="s">
        <v>2009</v>
      </c>
      <c r="E554" t="s">
        <v>2010</v>
      </c>
      <c r="F554" t="s">
        <v>41</v>
      </c>
      <c r="G554">
        <v>17</v>
      </c>
      <c r="H554">
        <f>((0/1000) * G554)</f>
        <v>0</v>
      </c>
      <c r="I554">
        <v>0</v>
      </c>
      <c r="J554">
        <v>17</v>
      </c>
      <c r="K554" s="2191">
        <v>59686</v>
      </c>
      <c r="L554" s="2192">
        <f>(K554 * G554)</f>
        <v>1014662</v>
      </c>
      <c r="M554" s="2193">
        <v>107438.02</v>
      </c>
      <c r="N554" s="2194">
        <f>(G554 * M554)</f>
        <v>1826446.34</v>
      </c>
      <c r="O554">
        <v>0</v>
      </c>
      <c r="P554">
        <v>0</v>
      </c>
      <c r="Q554">
        <f>IF(O554&gt;G554,(O554-G554),0)</f>
        <v>0</v>
      </c>
      <c r="R554">
        <v>0</v>
      </c>
      <c r="S554">
        <f>IF(Q554&gt;0,Int(P554/Q554),0)</f>
        <v>0</v>
      </c>
      <c r="T554">
        <f>59686</f>
        <v>59686</v>
      </c>
      <c r="U554" t="s">
        <v>2011</v>
      </c>
      <c r="V554">
        <v>59686</v>
      </c>
      <c r="W554" t="s">
        <v>54</v>
      </c>
      <c r="X554" t="s">
        <v>428</v>
      </c>
    </row>
    <row r="555" spans="1:27">
      <c r="A555" t="s">
        <v>35</v>
      </c>
      <c r="B555" t="s">
        <v>29</v>
      </c>
      <c r="C555" t="s">
        <v>2012</v>
      </c>
      <c r="D555" t="s">
        <v>2013</v>
      </c>
      <c r="E555" t="s">
        <v>2014</v>
      </c>
      <c r="F555" t="s">
        <v>33</v>
      </c>
      <c r="G555">
        <v>0</v>
      </c>
      <c r="H555">
        <f>((0/1000) * G555)</f>
        <v>0</v>
      </c>
      <c r="I555">
        <v>0</v>
      </c>
      <c r="J555">
        <v>0</v>
      </c>
      <c r="K555" s="2195">
        <v>72212.8</v>
      </c>
      <c r="L555" s="2196">
        <f>(K555 * G555)</f>
        <v>0</v>
      </c>
      <c r="M555" s="2197">
        <v>79434.08</v>
      </c>
      <c r="N555" s="2198">
        <f>(G555 * M555)</f>
        <v>0</v>
      </c>
      <c r="O555">
        <v>0</v>
      </c>
      <c r="P555">
        <v>0</v>
      </c>
      <c r="Q555">
        <f>IF(O555&gt;G555,(O555-G555),0)</f>
        <v>0</v>
      </c>
      <c r="R555">
        <v>1</v>
      </c>
      <c r="S555">
        <f>IF(Q555&gt;0,Int(P555/Q555),0)</f>
        <v>0</v>
      </c>
      <c r="T555">
        <f>0</f>
        <v>0</v>
      </c>
      <c r="U555"/>
      <c r="V555">
        <v>72212.8</v>
      </c>
      <c r="W555" t="s">
        <v>43</v>
      </c>
      <c r="X555"/>
    </row>
    <row r="556" spans="1:27">
      <c r="A556" t="s">
        <v>28</v>
      </c>
      <c r="B556" t="s">
        <v>29</v>
      </c>
      <c r="C556" t="s">
        <v>2015</v>
      </c>
      <c r="D556" t="s">
        <v>2016</v>
      </c>
      <c r="E556" t="s">
        <v>2017</v>
      </c>
      <c r="F556" t="s">
        <v>33</v>
      </c>
      <c r="G556">
        <v>0</v>
      </c>
      <c r="H556">
        <f>((0/1000) * G556)</f>
        <v>0</v>
      </c>
      <c r="I556">
        <v>0</v>
      </c>
      <c r="J556">
        <v>0</v>
      </c>
      <c r="K556" s="2199">
        <v>126605.12</v>
      </c>
      <c r="L556" s="2200">
        <f>(K556 * G556)</f>
        <v>0</v>
      </c>
      <c r="M556" s="2201">
        <v>177247.17</v>
      </c>
      <c r="N556" s="2202">
        <f>(G556 * M556)</f>
        <v>0</v>
      </c>
      <c r="O556">
        <v>0</v>
      </c>
      <c r="P556">
        <v>0</v>
      </c>
      <c r="Q556">
        <f>IF(O556&gt;G556,(O556-G556),0)</f>
        <v>0</v>
      </c>
      <c r="R556">
        <v>1</v>
      </c>
      <c r="S556">
        <f>IF(Q556&gt;0,Int(P556/Q556),0)</f>
        <v>0</v>
      </c>
      <c r="T556">
        <f>0</f>
        <v>0</v>
      </c>
      <c r="U556"/>
      <c r="V556">
        <v>126605.12</v>
      </c>
      <c r="W556" t="s">
        <v>75</v>
      </c>
      <c r="X556"/>
    </row>
    <row r="557" spans="1:27">
      <c r="A557" t="s">
        <v>35</v>
      </c>
      <c r="B557" t="s">
        <v>29</v>
      </c>
      <c r="C557" t="s">
        <v>2018</v>
      </c>
      <c r="D557" t="s">
        <v>2019</v>
      </c>
      <c r="E557" t="s">
        <v>2020</v>
      </c>
      <c r="F557" t="s">
        <v>33</v>
      </c>
      <c r="G557">
        <v>0</v>
      </c>
      <c r="H557">
        <f>((0/1000) * G557)</f>
        <v>0</v>
      </c>
      <c r="I557">
        <v>0</v>
      </c>
      <c r="J557">
        <v>0</v>
      </c>
      <c r="K557" s="2203">
        <v>126605.13</v>
      </c>
      <c r="L557" s="2204">
        <f>(K557 * G557)</f>
        <v>0</v>
      </c>
      <c r="M557" s="2205">
        <v>177247.18</v>
      </c>
      <c r="N557" s="2206">
        <f>(G557 * M557)</f>
        <v>0</v>
      </c>
      <c r="O557">
        <v>0</v>
      </c>
      <c r="P557">
        <v>0</v>
      </c>
      <c r="Q557">
        <f>IF(O557&gt;G557,(O557-G557),0)</f>
        <v>0</v>
      </c>
      <c r="R557">
        <v>1</v>
      </c>
      <c r="S557">
        <f>IF(Q557&gt;0,Int(P557/Q557),0)</f>
        <v>0</v>
      </c>
      <c r="T557">
        <f>0</f>
        <v>0</v>
      </c>
      <c r="U557" t="s">
        <v>2021</v>
      </c>
      <c r="V557">
        <v>126605.13</v>
      </c>
      <c r="W557" t="s">
        <v>75</v>
      </c>
      <c r="X557"/>
    </row>
    <row r="558" spans="1:27">
      <c r="A558" t="s">
        <v>35</v>
      </c>
      <c r="B558" t="s">
        <v>29</v>
      </c>
      <c r="C558" t="s">
        <v>2022</v>
      </c>
      <c r="D558" t="s">
        <v>2023</v>
      </c>
      <c r="E558" t="s">
        <v>2024</v>
      </c>
      <c r="F558" t="s">
        <v>33</v>
      </c>
      <c r="G558">
        <v>0</v>
      </c>
      <c r="H558">
        <f>((0/1000) * G558)</f>
        <v>0</v>
      </c>
      <c r="I558">
        <v>0</v>
      </c>
      <c r="J558">
        <v>0</v>
      </c>
      <c r="K558" s="2207">
        <v>82775</v>
      </c>
      <c r="L558" s="2208">
        <f>(K558 * G558)</f>
        <v>0</v>
      </c>
      <c r="M558" s="2209">
        <v>115885</v>
      </c>
      <c r="N558" s="2210">
        <f>(G558 * M558)</f>
        <v>0</v>
      </c>
      <c r="O558">
        <v>0</v>
      </c>
      <c r="P558">
        <v>0</v>
      </c>
      <c r="Q558">
        <f>IF(O558&gt;G558,(O558-G558),0)</f>
        <v>0</v>
      </c>
      <c r="R558">
        <v>1</v>
      </c>
      <c r="S558">
        <f>IF(Q558&gt;0,Int(P558/Q558),0)</f>
        <v>0</v>
      </c>
      <c r="T558">
        <f>81866.4</f>
        <v>81866.4</v>
      </c>
      <c r="U558" t="s">
        <v>2025</v>
      </c>
      <c r="V558">
        <v>82775</v>
      </c>
      <c r="W558" t="s">
        <v>301</v>
      </c>
      <c r="X558"/>
    </row>
    <row r="559" spans="1:27">
      <c r="A559" t="s">
        <v>35</v>
      </c>
      <c r="B559" t="s">
        <v>29</v>
      </c>
      <c r="C559" t="s">
        <v>2026</v>
      </c>
      <c r="D559" t="s">
        <v>2026</v>
      </c>
      <c r="E559" t="s">
        <v>2027</v>
      </c>
      <c r="F559" t="s">
        <v>41</v>
      </c>
      <c r="G559">
        <v>0</v>
      </c>
      <c r="H559">
        <f>((0/1000) * G559)</f>
        <v>0</v>
      </c>
      <c r="I559">
        <v>0</v>
      </c>
      <c r="J559">
        <v>0</v>
      </c>
      <c r="K559" s="2211">
        <v>89600</v>
      </c>
      <c r="L559" s="2212">
        <f>(K559 * G559)</f>
        <v>0</v>
      </c>
      <c r="M559" s="2213">
        <v>98560</v>
      </c>
      <c r="N559" s="2214">
        <f>(G559 * M559)</f>
        <v>0</v>
      </c>
      <c r="O559">
        <v>0</v>
      </c>
      <c r="P559">
        <v>0</v>
      </c>
      <c r="Q559">
        <f>IF(O559&gt;G559,(O559-G559),0)</f>
        <v>0</v>
      </c>
      <c r="R559">
        <v>1</v>
      </c>
      <c r="S559">
        <f>IF(Q559&gt;0,Int(P559/Q559),0)</f>
        <v>0</v>
      </c>
      <c r="T559">
        <f>0</f>
        <v>0</v>
      </c>
      <c r="U559"/>
      <c r="V559">
        <v>89600</v>
      </c>
      <c r="W559" t="s">
        <v>43</v>
      </c>
      <c r="X559"/>
    </row>
    <row r="560" spans="1:27">
      <c r="A560" t="s">
        <v>35</v>
      </c>
      <c r="B560" t="s">
        <v>29</v>
      </c>
      <c r="C560" t="s">
        <v>2028</v>
      </c>
      <c r="D560" t="s">
        <v>2029</v>
      </c>
      <c r="E560" t="s">
        <v>2030</v>
      </c>
      <c r="F560" t="s">
        <v>33</v>
      </c>
      <c r="G560">
        <v>0</v>
      </c>
      <c r="H560">
        <f>((0/1000) * G560)</f>
        <v>0</v>
      </c>
      <c r="I560">
        <v>0</v>
      </c>
      <c r="J560">
        <v>0</v>
      </c>
      <c r="K560" s="2215">
        <v>80400</v>
      </c>
      <c r="L560" s="2216">
        <f>(K560 * G560)</f>
        <v>0</v>
      </c>
      <c r="M560" s="2217">
        <v>120600</v>
      </c>
      <c r="N560" s="2218">
        <f>(G560 * M560)</f>
        <v>0</v>
      </c>
      <c r="O560">
        <v>0</v>
      </c>
      <c r="P560">
        <v>0</v>
      </c>
      <c r="Q560">
        <f>IF(O560&gt;G560,(O560-G560),0)</f>
        <v>0</v>
      </c>
      <c r="R560">
        <v>1</v>
      </c>
      <c r="S560">
        <f>IF(Q560&gt;0,Int(P560/Q560),0)</f>
        <v>0</v>
      </c>
      <c r="T560">
        <f>80400</f>
        <v>80400</v>
      </c>
      <c r="U560" t="s">
        <v>2031</v>
      </c>
      <c r="V560">
        <v>80400</v>
      </c>
      <c r="W560" t="s">
        <v>1498</v>
      </c>
      <c r="X560"/>
    </row>
    <row r="561" spans="1:27">
      <c r="A561" t="s">
        <v>35</v>
      </c>
      <c r="B561" t="s">
        <v>29</v>
      </c>
      <c r="C561" t="s">
        <v>2032</v>
      </c>
      <c r="D561" t="s">
        <v>2033</v>
      </c>
      <c r="E561" t="s">
        <v>2034</v>
      </c>
      <c r="F561" t="s">
        <v>33</v>
      </c>
      <c r="G561">
        <v>0</v>
      </c>
      <c r="H561">
        <f>((0/1000) * G561)</f>
        <v>0</v>
      </c>
      <c r="I561">
        <v>0</v>
      </c>
      <c r="J561">
        <v>0</v>
      </c>
      <c r="K561" s="2219">
        <v>140330.58</v>
      </c>
      <c r="L561" s="2220">
        <f>(K561 * G561)</f>
        <v>0</v>
      </c>
      <c r="M561" s="2221">
        <v>154363.64</v>
      </c>
      <c r="N561" s="2222">
        <f>(G561 * M561)</f>
        <v>0</v>
      </c>
      <c r="O561">
        <v>0</v>
      </c>
      <c r="P561">
        <v>0</v>
      </c>
      <c r="Q561">
        <f>IF(O561&gt;G561,(O561-G561),0)</f>
        <v>0</v>
      </c>
      <c r="R561">
        <v>1</v>
      </c>
      <c r="S561">
        <f>IF(Q561&gt;0,Int(P561/Q561),0)</f>
        <v>0</v>
      </c>
      <c r="T561">
        <f>39744.55</f>
        <v>39744.55</v>
      </c>
      <c r="U561" t="s">
        <v>2035</v>
      </c>
      <c r="V561">
        <v>140330.58</v>
      </c>
      <c r="W561" t="s">
        <v>43</v>
      </c>
      <c r="X561"/>
    </row>
    <row r="562" spans="1:27">
      <c r="A562" t="s">
        <v>28</v>
      </c>
      <c r="B562" t="s">
        <v>29</v>
      </c>
      <c r="C562" t="s">
        <v>1923</v>
      </c>
      <c r="D562" t="s">
        <v>2036</v>
      </c>
      <c r="E562" t="s">
        <v>2037</v>
      </c>
      <c r="F562" t="s">
        <v>33</v>
      </c>
      <c r="G562">
        <v>0</v>
      </c>
      <c r="H562">
        <f>((0/1000) * G562)</f>
        <v>0</v>
      </c>
      <c r="I562">
        <v>0</v>
      </c>
      <c r="J562">
        <v>0</v>
      </c>
      <c r="K562" s="2223">
        <v>74966.57</v>
      </c>
      <c r="L562" s="2224">
        <f>(K562 * G562)</f>
        <v>0</v>
      </c>
      <c r="M562" s="2225">
        <v>104953.2</v>
      </c>
      <c r="N562" s="2226">
        <f>(G562 * M562)</f>
        <v>0</v>
      </c>
      <c r="O562">
        <v>0</v>
      </c>
      <c r="P562">
        <v>0</v>
      </c>
      <c r="Q562">
        <f>IF(O562&gt;G562,(O562-G562),0)</f>
        <v>0</v>
      </c>
      <c r="R562">
        <v>0</v>
      </c>
      <c r="S562">
        <f>IF(Q562&gt;0,Int(P562/Q562),0)</f>
        <v>0</v>
      </c>
      <c r="T562">
        <f>0</f>
        <v>0</v>
      </c>
      <c r="U562"/>
      <c r="V562">
        <v>74966.57</v>
      </c>
      <c r="W562" t="s">
        <v>148</v>
      </c>
      <c r="X562"/>
    </row>
    <row r="563" spans="1:27">
      <c r="A563" t="s">
        <v>35</v>
      </c>
      <c r="B563" t="s">
        <v>29</v>
      </c>
      <c r="C563" t="s">
        <v>2038</v>
      </c>
      <c r="D563" t="s">
        <v>2039</v>
      </c>
      <c r="E563" t="s">
        <v>2040</v>
      </c>
      <c r="F563" t="s">
        <v>41</v>
      </c>
      <c r="G563">
        <v>11</v>
      </c>
      <c r="H563">
        <f>((0/1000) * G563)</f>
        <v>0</v>
      </c>
      <c r="I563">
        <v>0</v>
      </c>
      <c r="J563">
        <v>11</v>
      </c>
      <c r="K563" s="2227">
        <v>70248</v>
      </c>
      <c r="L563" s="2228">
        <f>(K563 * G563)</f>
        <v>772728</v>
      </c>
      <c r="M563" s="2229">
        <v>111570.25</v>
      </c>
      <c r="N563" s="2230">
        <f>(G563 * M563)</f>
        <v>1227272.75</v>
      </c>
      <c r="O563">
        <v>0</v>
      </c>
      <c r="P563">
        <v>0</v>
      </c>
      <c r="Q563">
        <f>IF(O563&gt;G563,(O563-G563),0)</f>
        <v>0</v>
      </c>
      <c r="R563">
        <v>1</v>
      </c>
      <c r="S563">
        <f>IF(Q563&gt;0,Int(P563/Q563),0)</f>
        <v>0</v>
      </c>
      <c r="T563">
        <f>70248</f>
        <v>70248</v>
      </c>
      <c r="U563" t="s">
        <v>122</v>
      </c>
      <c r="V563">
        <v>70248</v>
      </c>
      <c r="W563" t="s">
        <v>54</v>
      </c>
      <c r="X563" t="s">
        <v>81</v>
      </c>
    </row>
    <row r="564" spans="1:27">
      <c r="A564" t="s">
        <v>35</v>
      </c>
      <c r="B564" t="s">
        <v>29</v>
      </c>
      <c r="C564" t="s">
        <v>2041</v>
      </c>
      <c r="D564" t="s">
        <v>2042</v>
      </c>
      <c r="E564" t="s">
        <v>2043</v>
      </c>
      <c r="F564" t="s">
        <v>33</v>
      </c>
      <c r="G564">
        <v>0</v>
      </c>
      <c r="H564">
        <f>((0/1000) * G564)</f>
        <v>0</v>
      </c>
      <c r="I564">
        <v>0</v>
      </c>
      <c r="J564">
        <v>0</v>
      </c>
      <c r="K564" s="2231">
        <v>72851.29</v>
      </c>
      <c r="L564" s="2232">
        <f>(K564 * G564)</f>
        <v>0</v>
      </c>
      <c r="M564" s="2233">
        <v>101991.81</v>
      </c>
      <c r="N564" s="2234">
        <f>(G564 * M564)</f>
        <v>0</v>
      </c>
      <c r="O564">
        <v>0</v>
      </c>
      <c r="P564">
        <v>0</v>
      </c>
      <c r="Q564">
        <f>IF(O564&gt;G564,(O564-G564),0)</f>
        <v>0</v>
      </c>
      <c r="R564">
        <v>1</v>
      </c>
      <c r="S564">
        <f>IF(Q564&gt;0,Int(P564/Q564),0)</f>
        <v>0</v>
      </c>
      <c r="T564">
        <f>72571.43</f>
        <v>72571.43</v>
      </c>
      <c r="U564" t="s">
        <v>2044</v>
      </c>
      <c r="V564">
        <v>72851.29</v>
      </c>
      <c r="W564" t="s">
        <v>75</v>
      </c>
      <c r="X564"/>
    </row>
    <row r="565" spans="1:27">
      <c r="A565" t="s">
        <v>28</v>
      </c>
      <c r="B565" t="s">
        <v>29</v>
      </c>
      <c r="C565" t="s">
        <v>2045</v>
      </c>
      <c r="D565" t="s">
        <v>2046</v>
      </c>
      <c r="E565" t="s">
        <v>2047</v>
      </c>
      <c r="F565" t="s">
        <v>33</v>
      </c>
      <c r="G565">
        <v>0</v>
      </c>
      <c r="H565">
        <f>((0/1000) * G565)</f>
        <v>0</v>
      </c>
      <c r="I565">
        <v>0</v>
      </c>
      <c r="J565">
        <v>0</v>
      </c>
      <c r="K565" s="2235">
        <v>143223.14</v>
      </c>
      <c r="L565" s="2236">
        <f>(K565 * G565)</f>
        <v>0</v>
      </c>
      <c r="M565" s="2237">
        <v>157545.45</v>
      </c>
      <c r="N565" s="2238">
        <f>(G565 * M565)</f>
        <v>0</v>
      </c>
      <c r="O565">
        <v>0</v>
      </c>
      <c r="P565">
        <v>0</v>
      </c>
      <c r="Q565">
        <f>IF(O565&gt;G565,(O565-G565),0)</f>
        <v>0</v>
      </c>
      <c r="R565">
        <v>1</v>
      </c>
      <c r="S565">
        <f>IF(Q565&gt;0,Int(P565/Q565),0)</f>
        <v>0</v>
      </c>
      <c r="T565">
        <f>126446.28</f>
        <v>126446.28</v>
      </c>
      <c r="U565" t="s">
        <v>1390</v>
      </c>
      <c r="V565">
        <v>143223.14</v>
      </c>
      <c r="W565" t="s">
        <v>43</v>
      </c>
      <c r="X565"/>
    </row>
    <row r="566" spans="1:27">
      <c r="A566" t="s">
        <v>35</v>
      </c>
      <c r="B566" t="s">
        <v>29</v>
      </c>
      <c r="C566" t="s">
        <v>2048</v>
      </c>
      <c r="D566" t="s">
        <v>2049</v>
      </c>
      <c r="E566" t="s">
        <v>2050</v>
      </c>
      <c r="F566" t="s">
        <v>33</v>
      </c>
      <c r="G566">
        <v>0</v>
      </c>
      <c r="H566">
        <f>((0/1000) * G566)</f>
        <v>0</v>
      </c>
      <c r="I566">
        <v>0</v>
      </c>
      <c r="J566">
        <v>0</v>
      </c>
      <c r="K566" s="2239">
        <v>68182.4</v>
      </c>
      <c r="L566" s="2240">
        <f>(K566 * G566)</f>
        <v>0</v>
      </c>
      <c r="M566" s="2241">
        <v>95455.36</v>
      </c>
      <c r="N566" s="2242">
        <f>(G566 * M566)</f>
        <v>0</v>
      </c>
      <c r="O566">
        <v>0</v>
      </c>
      <c r="P566">
        <v>0</v>
      </c>
      <c r="Q566">
        <f>IF(O566&gt;G566,(O566-G566),0)</f>
        <v>0</v>
      </c>
      <c r="R566">
        <v>1</v>
      </c>
      <c r="S566">
        <f>IF(Q566&gt;0,Int(P566/Q566),0)</f>
        <v>0</v>
      </c>
      <c r="T566">
        <f>61984</f>
        <v>61984</v>
      </c>
      <c r="U566" t="s">
        <v>2051</v>
      </c>
      <c r="V566">
        <v>68182.4</v>
      </c>
      <c r="W566" t="s">
        <v>75</v>
      </c>
      <c r="X566"/>
    </row>
    <row r="567" spans="1:27">
      <c r="A567" t="s">
        <v>28</v>
      </c>
      <c r="B567" t="s">
        <v>29</v>
      </c>
      <c r="C567" t="s">
        <v>2052</v>
      </c>
      <c r="D567" t="s">
        <v>2053</v>
      </c>
      <c r="E567" t="s">
        <v>2054</v>
      </c>
      <c r="F567" t="s">
        <v>33</v>
      </c>
      <c r="G567">
        <v>0</v>
      </c>
      <c r="H567">
        <f>((0/1000) * G567)</f>
        <v>0</v>
      </c>
      <c r="I567">
        <v>0</v>
      </c>
      <c r="J567">
        <v>0</v>
      </c>
      <c r="K567" s="2243">
        <v>42272.73</v>
      </c>
      <c r="L567" s="2244">
        <f>(K567 * G567)</f>
        <v>0</v>
      </c>
      <c r="M567" s="2245">
        <v>46500</v>
      </c>
      <c r="N567" s="2246">
        <f>(G567 * M567)</f>
        <v>0</v>
      </c>
      <c r="O567">
        <v>0</v>
      </c>
      <c r="P567">
        <v>0</v>
      </c>
      <c r="Q567">
        <f>IF(O567&gt;G567,(O567-G567),0)</f>
        <v>0</v>
      </c>
      <c r="R567">
        <v>1</v>
      </c>
      <c r="S567">
        <f>IF(Q567&gt;0,Int(P567/Q567),0)</f>
        <v>0</v>
      </c>
      <c r="T567">
        <f>0</f>
        <v>0</v>
      </c>
      <c r="U567"/>
      <c r="V567">
        <v>42272.73</v>
      </c>
      <c r="W567" t="s">
        <v>43</v>
      </c>
      <c r="X567"/>
    </row>
    <row r="568" spans="1:27">
      <c r="A568" t="s">
        <v>28</v>
      </c>
      <c r="B568" t="s">
        <v>29</v>
      </c>
      <c r="C568" t="s">
        <v>2055</v>
      </c>
      <c r="D568" t="s">
        <v>2056</v>
      </c>
      <c r="E568" t="s">
        <v>2057</v>
      </c>
      <c r="F568" t="s">
        <v>33</v>
      </c>
      <c r="G568">
        <v>0</v>
      </c>
      <c r="H568">
        <f>((0/1000) * G568)</f>
        <v>0</v>
      </c>
      <c r="I568">
        <v>0</v>
      </c>
      <c r="J568">
        <v>0</v>
      </c>
      <c r="K568" s="2247">
        <v>0</v>
      </c>
      <c r="L568" s="2248">
        <f>(K568 * G568)</f>
        <v>0</v>
      </c>
      <c r="M568" s="2249">
        <v>0</v>
      </c>
      <c r="N568" s="2250">
        <f>(G568 * M568)</f>
        <v>0</v>
      </c>
      <c r="O568">
        <v>0</v>
      </c>
      <c r="P568">
        <v>0</v>
      </c>
      <c r="Q568">
        <f>IF(O568&gt;G568,(O568-G568),0)</f>
        <v>0</v>
      </c>
      <c r="R568">
        <v>1</v>
      </c>
      <c r="S568">
        <f>IF(Q568&gt;0,Int(P568/Q568),0)</f>
        <v>0</v>
      </c>
      <c r="T568">
        <f>0</f>
        <v>0</v>
      </c>
      <c r="U568" t="s">
        <v>2058</v>
      </c>
      <c r="V568">
        <v>0</v>
      </c>
      <c r="W568">
        <v>0</v>
      </c>
      <c r="X568"/>
    </row>
    <row r="569" spans="1:27">
      <c r="A569" t="s">
        <v>28</v>
      </c>
      <c r="B569" t="s">
        <v>29</v>
      </c>
      <c r="C569" t="s">
        <v>2059</v>
      </c>
      <c r="D569" t="s">
        <v>2060</v>
      </c>
      <c r="E569" t="s">
        <v>2061</v>
      </c>
      <c r="F569" t="s">
        <v>41</v>
      </c>
      <c r="G569">
        <v>4</v>
      </c>
      <c r="H569">
        <f>((0/1000) * G569)</f>
        <v>0</v>
      </c>
      <c r="I569">
        <v>4</v>
      </c>
      <c r="J569">
        <v>0</v>
      </c>
      <c r="K569" s="2251">
        <v>162875.96</v>
      </c>
      <c r="L569" s="2252">
        <f>(K569 * G569)</f>
        <v>651503.84</v>
      </c>
      <c r="M569" s="2253">
        <v>228026.35</v>
      </c>
      <c r="N569" s="2254">
        <f>(G569 * M569)</f>
        <v>912105.4</v>
      </c>
      <c r="O569">
        <v>0</v>
      </c>
      <c r="P569">
        <v>0</v>
      </c>
      <c r="Q569">
        <f>IF(O569&gt;G569,(O569-G569),0)</f>
        <v>0</v>
      </c>
      <c r="R569">
        <v>1</v>
      </c>
      <c r="S569">
        <f>IF(Q569&gt;0,Int(P569/Q569),0)</f>
        <v>0</v>
      </c>
      <c r="T569">
        <f>156021.82</f>
        <v>156021.82</v>
      </c>
      <c r="U569" t="s">
        <v>2062</v>
      </c>
      <c r="V569">
        <v>162875.96</v>
      </c>
      <c r="W569" t="s">
        <v>182</v>
      </c>
      <c r="X569"/>
    </row>
    <row r="570" spans="1:27">
      <c r="A570" t="s">
        <v>35</v>
      </c>
      <c r="B570" t="s">
        <v>29</v>
      </c>
      <c r="C570" t="s">
        <v>2063</v>
      </c>
      <c r="D570" t="s">
        <v>2064</v>
      </c>
      <c r="E570" t="s">
        <v>2065</v>
      </c>
      <c r="F570" t="s">
        <v>41</v>
      </c>
      <c r="G570">
        <v>0</v>
      </c>
      <c r="H570">
        <f>((0/1000) * G570)</f>
        <v>0</v>
      </c>
      <c r="I570">
        <v>0</v>
      </c>
      <c r="J570">
        <v>0</v>
      </c>
      <c r="K570" s="2255">
        <v>131157.02</v>
      </c>
      <c r="L570" s="2256">
        <f>(K570 * G570)</f>
        <v>0</v>
      </c>
      <c r="M570" s="2257">
        <v>144272.73</v>
      </c>
      <c r="N570" s="2258">
        <f>(G570 * M570)</f>
        <v>0</v>
      </c>
      <c r="O570">
        <v>0</v>
      </c>
      <c r="P570">
        <v>0</v>
      </c>
      <c r="Q570">
        <f>IF(O570&gt;G570,(O570-G570),0)</f>
        <v>0</v>
      </c>
      <c r="R570">
        <v>1</v>
      </c>
      <c r="S570">
        <f>IF(Q570&gt;0,Int(P570/Q570),0)</f>
        <v>0</v>
      </c>
      <c r="T570">
        <f>154845.98</f>
        <v>154845.98</v>
      </c>
      <c r="U570" t="s">
        <v>2066</v>
      </c>
      <c r="V570">
        <v>131157.02</v>
      </c>
      <c r="W570" t="s">
        <v>43</v>
      </c>
      <c r="X570"/>
    </row>
    <row r="571" spans="1:27">
      <c r="A571" t="s">
        <v>35</v>
      </c>
      <c r="B571" t="s">
        <v>29</v>
      </c>
      <c r="C571" t="s">
        <v>2067</v>
      </c>
      <c r="D571" t="s">
        <v>2068</v>
      </c>
      <c r="E571" t="s">
        <v>2069</v>
      </c>
      <c r="F571" t="s">
        <v>41</v>
      </c>
      <c r="G571">
        <v>0</v>
      </c>
      <c r="H571">
        <f>((0/1000) * G571)</f>
        <v>0</v>
      </c>
      <c r="I571">
        <v>0</v>
      </c>
      <c r="J571">
        <v>0</v>
      </c>
      <c r="K571" s="2259">
        <v>148429.75</v>
      </c>
      <c r="L571" s="2260">
        <f>(K571 * G571)</f>
        <v>0</v>
      </c>
      <c r="M571" s="2261">
        <v>163272.73</v>
      </c>
      <c r="N571" s="2262">
        <f>(G571 * M571)</f>
        <v>0</v>
      </c>
      <c r="O571">
        <v>0</v>
      </c>
      <c r="P571">
        <v>0</v>
      </c>
      <c r="Q571">
        <f>IF(O571&gt;G571,(O571-G571),0)</f>
        <v>0</v>
      </c>
      <c r="R571">
        <v>1</v>
      </c>
      <c r="S571">
        <f>IF(Q571&gt;0,Int(P571/Q571),0)</f>
        <v>0</v>
      </c>
      <c r="T571">
        <f>147407.96</f>
        <v>147407.96</v>
      </c>
      <c r="U571" t="s">
        <v>721</v>
      </c>
      <c r="V571">
        <v>148429.75</v>
      </c>
      <c r="W571" t="s">
        <v>43</v>
      </c>
      <c r="X571"/>
    </row>
    <row r="572" spans="1:27">
      <c r="A572" t="s">
        <v>28</v>
      </c>
      <c r="B572" t="s">
        <v>29</v>
      </c>
      <c r="C572" t="s">
        <v>2070</v>
      </c>
      <c r="D572" t="s">
        <v>2071</v>
      </c>
      <c r="E572" t="s">
        <v>2072</v>
      </c>
      <c r="F572" t="s">
        <v>33</v>
      </c>
      <c r="G572">
        <v>0</v>
      </c>
      <c r="H572">
        <f>((0/1000) * G572)</f>
        <v>0</v>
      </c>
      <c r="I572">
        <v>0</v>
      </c>
      <c r="J572">
        <v>0</v>
      </c>
      <c r="K572" s="2263">
        <v>30291.64</v>
      </c>
      <c r="L572" s="2264">
        <f>(K572 * G572)</f>
        <v>0</v>
      </c>
      <c r="M572" s="2265">
        <v>42408.3</v>
      </c>
      <c r="N572" s="2266">
        <f>(G572 * M572)</f>
        <v>0</v>
      </c>
      <c r="O572">
        <v>0</v>
      </c>
      <c r="P572">
        <v>0</v>
      </c>
      <c r="Q572">
        <f>IF(O572&gt;G572,(O572-G572),0)</f>
        <v>0</v>
      </c>
      <c r="R572">
        <v>1</v>
      </c>
      <c r="S572">
        <f>IF(Q572&gt;0,Int(P572/Q572),0)</f>
        <v>0</v>
      </c>
      <c r="T572">
        <f>0</f>
        <v>0</v>
      </c>
      <c r="U572"/>
      <c r="V572">
        <v>30291.64</v>
      </c>
      <c r="W572" t="s">
        <v>75</v>
      </c>
      <c r="X572"/>
    </row>
    <row r="573" spans="1:27">
      <c r="A573" t="s">
        <v>35</v>
      </c>
      <c r="B573" t="s">
        <v>29</v>
      </c>
      <c r="C573" t="s">
        <v>2073</v>
      </c>
      <c r="D573" t="s">
        <v>2074</v>
      </c>
      <c r="E573" t="s">
        <v>2075</v>
      </c>
      <c r="F573" t="s">
        <v>33</v>
      </c>
      <c r="G573">
        <v>0</v>
      </c>
      <c r="H573">
        <f>((0/1000) * G573)</f>
        <v>0</v>
      </c>
      <c r="I573">
        <v>0</v>
      </c>
      <c r="J573">
        <v>0</v>
      </c>
      <c r="K573" s="2267">
        <v>141631.27</v>
      </c>
      <c r="L573" s="2268">
        <f>(K573 * G573)</f>
        <v>0</v>
      </c>
      <c r="M573" s="2269">
        <v>198283.78</v>
      </c>
      <c r="N573" s="2270">
        <f>(G573 * M573)</f>
        <v>0</v>
      </c>
      <c r="O573">
        <v>0</v>
      </c>
      <c r="P573">
        <v>0</v>
      </c>
      <c r="Q573">
        <f>IF(O573&gt;G573,(O573-G573),0)</f>
        <v>0</v>
      </c>
      <c r="R573">
        <v>1</v>
      </c>
      <c r="S573">
        <f>IF(Q573&gt;0,Int(P573/Q573),0)</f>
        <v>0</v>
      </c>
      <c r="T573">
        <f>121429.65</f>
        <v>121429.65</v>
      </c>
      <c r="U573" t="s">
        <v>2076</v>
      </c>
      <c r="V573">
        <v>141631.27</v>
      </c>
      <c r="W573" t="s">
        <v>182</v>
      </c>
      <c r="X573" t="s">
        <v>687</v>
      </c>
    </row>
    <row r="574" spans="1:27">
      <c r="A574" t="s">
        <v>35</v>
      </c>
      <c r="B574" t="s">
        <v>29</v>
      </c>
      <c r="C574" t="s">
        <v>2077</v>
      </c>
      <c r="D574" t="s">
        <v>2078</v>
      </c>
      <c r="E574" t="s">
        <v>2079</v>
      </c>
      <c r="F574" t="s">
        <v>41</v>
      </c>
      <c r="G574">
        <v>0</v>
      </c>
      <c r="H574">
        <f>((1/1000) * G574)</f>
        <v>0</v>
      </c>
      <c r="I574">
        <v>0</v>
      </c>
      <c r="J574">
        <v>0</v>
      </c>
      <c r="K574" s="2271">
        <v>0</v>
      </c>
      <c r="L574" s="2272">
        <f>(K574 * G574)</f>
        <v>0</v>
      </c>
      <c r="M574" s="2273">
        <v>0</v>
      </c>
      <c r="N574" s="2274">
        <f>(G574 * M574)</f>
        <v>0</v>
      </c>
      <c r="O574">
        <v>0</v>
      </c>
      <c r="P574">
        <v>0</v>
      </c>
      <c r="Q574">
        <f>IF(O574&gt;G574,(O574-G574),0)</f>
        <v>0</v>
      </c>
      <c r="R574">
        <v>0</v>
      </c>
      <c r="S574">
        <f>IF(Q574&gt;0,Int(P574/Q574),0)</f>
        <v>0</v>
      </c>
      <c r="T574">
        <f>0</f>
        <v>0</v>
      </c>
      <c r="U574"/>
      <c r="V574">
        <v>0</v>
      </c>
      <c r="W574">
        <v>0</v>
      </c>
      <c r="X574"/>
    </row>
    <row r="575" spans="1:27">
      <c r="A575" t="s">
        <v>35</v>
      </c>
      <c r="B575" t="s">
        <v>29</v>
      </c>
      <c r="C575" t="s">
        <v>2080</v>
      </c>
      <c r="D575" t="s">
        <v>2081</v>
      </c>
      <c r="E575" t="s">
        <v>2082</v>
      </c>
      <c r="F575" t="s">
        <v>33</v>
      </c>
      <c r="G575">
        <v>0</v>
      </c>
      <c r="H575">
        <f>((0/1000) * G575)</f>
        <v>0</v>
      </c>
      <c r="I575">
        <v>0</v>
      </c>
      <c r="J575">
        <v>0</v>
      </c>
      <c r="K575" s="2275">
        <v>100408</v>
      </c>
      <c r="L575" s="2276">
        <f>(K575 * G575)</f>
        <v>0</v>
      </c>
      <c r="M575" s="2277">
        <v>140571.2</v>
      </c>
      <c r="N575" s="2278">
        <f>(G575 * M575)</f>
        <v>0</v>
      </c>
      <c r="O575">
        <v>0</v>
      </c>
      <c r="P575">
        <v>0</v>
      </c>
      <c r="Q575">
        <f>IF(O575&gt;G575,(O575-G575),0)</f>
        <v>0</v>
      </c>
      <c r="R575">
        <v>1</v>
      </c>
      <c r="S575">
        <f>IF(Q575&gt;0,Int(P575/Q575),0)</f>
        <v>0</v>
      </c>
      <c r="T575">
        <f>76909.09</f>
        <v>76909.09</v>
      </c>
      <c r="U575" t="s">
        <v>2083</v>
      </c>
      <c r="V575">
        <v>100408</v>
      </c>
      <c r="W575" t="s">
        <v>301</v>
      </c>
      <c r="X575" t="s">
        <v>1734</v>
      </c>
    </row>
    <row r="576" spans="1:27">
      <c r="A576" t="s">
        <v>35</v>
      </c>
      <c r="B576" t="s">
        <v>29</v>
      </c>
      <c r="C576" t="s">
        <v>2084</v>
      </c>
      <c r="D576" t="s">
        <v>2085</v>
      </c>
      <c r="E576" t="s">
        <v>2086</v>
      </c>
      <c r="F576" t="s">
        <v>41</v>
      </c>
      <c r="G576">
        <v>0</v>
      </c>
      <c r="H576">
        <f>((1/1000) * G576)</f>
        <v>0</v>
      </c>
      <c r="I576">
        <v>0</v>
      </c>
      <c r="J576">
        <v>0</v>
      </c>
      <c r="K576" s="2279">
        <v>151227.56</v>
      </c>
      <c r="L576" s="2280">
        <f>(K576 * G576)</f>
        <v>0</v>
      </c>
      <c r="M576" s="2281">
        <v>166350.32</v>
      </c>
      <c r="N576" s="2282">
        <f>(G576 * M576)</f>
        <v>0</v>
      </c>
      <c r="O576">
        <v>0</v>
      </c>
      <c r="P576">
        <v>0</v>
      </c>
      <c r="Q576">
        <f>IF(O576&gt;G576,(O576-G576),0)</f>
        <v>0</v>
      </c>
      <c r="R576">
        <v>1</v>
      </c>
      <c r="S576">
        <f>IF(Q576&gt;0,Int(P576/Q576),0)</f>
        <v>0</v>
      </c>
      <c r="T576">
        <f>0</f>
        <v>0</v>
      </c>
      <c r="U576"/>
      <c r="V576">
        <v>151227.56</v>
      </c>
      <c r="W576" t="s">
        <v>43</v>
      </c>
      <c r="X576"/>
    </row>
    <row r="577" spans="1:27">
      <c r="A577" t="s">
        <v>28</v>
      </c>
      <c r="B577" t="s">
        <v>29</v>
      </c>
      <c r="C577" t="s">
        <v>2087</v>
      </c>
      <c r="D577" t="s">
        <v>2088</v>
      </c>
      <c r="E577" t="s">
        <v>2089</v>
      </c>
      <c r="F577" t="s">
        <v>33</v>
      </c>
      <c r="G577">
        <v>0</v>
      </c>
      <c r="H577">
        <f>((0/1000) * G577)</f>
        <v>0</v>
      </c>
      <c r="I577">
        <v>0</v>
      </c>
      <c r="J577">
        <v>0</v>
      </c>
      <c r="K577" s="2283">
        <v>83406.71</v>
      </c>
      <c r="L577" s="2284">
        <f>(K577 * G577)</f>
        <v>0</v>
      </c>
      <c r="M577" s="2285">
        <v>116769.4</v>
      </c>
      <c r="N577" s="2286">
        <f>(G577 * M577)</f>
        <v>0</v>
      </c>
      <c r="O577">
        <v>0</v>
      </c>
      <c r="P577">
        <v>0</v>
      </c>
      <c r="Q577">
        <f>IF(O577&gt;G577,(O577-G577),0)</f>
        <v>0</v>
      </c>
      <c r="R577">
        <v>0</v>
      </c>
      <c r="S577">
        <f>IF(Q577&gt;0,Int(P577/Q577),0)</f>
        <v>0</v>
      </c>
      <c r="T577">
        <f>0</f>
        <v>0</v>
      </c>
      <c r="U577"/>
      <c r="V577">
        <v>83406.71</v>
      </c>
      <c r="W577" t="s">
        <v>148</v>
      </c>
      <c r="X577"/>
    </row>
    <row r="578" spans="1:27">
      <c r="A578" t="s">
        <v>35</v>
      </c>
      <c r="B578" t="s">
        <v>29</v>
      </c>
      <c r="C578" t="s">
        <v>2090</v>
      </c>
      <c r="D578" t="s">
        <v>2091</v>
      </c>
      <c r="E578" t="s">
        <v>2092</v>
      </c>
      <c r="F578" t="s">
        <v>41</v>
      </c>
      <c r="G578">
        <v>0</v>
      </c>
      <c r="H578">
        <f>((0/1000) * G578)</f>
        <v>0</v>
      </c>
      <c r="I578">
        <v>0</v>
      </c>
      <c r="J578">
        <v>0</v>
      </c>
      <c r="K578" s="2287">
        <v>64000</v>
      </c>
      <c r="L578" s="2288">
        <f>(K578 * G578)</f>
        <v>0</v>
      </c>
      <c r="M578" s="2289">
        <v>96000</v>
      </c>
      <c r="N578" s="2290">
        <f>(G578 * M578)</f>
        <v>0</v>
      </c>
      <c r="O578">
        <v>0</v>
      </c>
      <c r="P578">
        <v>0</v>
      </c>
      <c r="Q578">
        <f>IF(O578&gt;G578,(O578-G578),0)</f>
        <v>0</v>
      </c>
      <c r="R578">
        <v>1</v>
      </c>
      <c r="S578">
        <f>IF(Q578&gt;0,Int(P578/Q578),0)</f>
        <v>0</v>
      </c>
      <c r="T578">
        <f>64000</f>
        <v>64000</v>
      </c>
      <c r="U578" t="s">
        <v>2093</v>
      </c>
      <c r="V578">
        <v>64000</v>
      </c>
      <c r="W578" t="s">
        <v>1498</v>
      </c>
      <c r="X578" t="s">
        <v>198</v>
      </c>
    </row>
    <row r="579" spans="1:27">
      <c r="A579" t="s">
        <v>28</v>
      </c>
      <c r="B579" t="s">
        <v>29</v>
      </c>
      <c r="C579" t="s">
        <v>2094</v>
      </c>
      <c r="D579" t="s">
        <v>2095</v>
      </c>
      <c r="E579" t="s">
        <v>2096</v>
      </c>
      <c r="F579" t="s">
        <v>33</v>
      </c>
      <c r="G579">
        <v>0</v>
      </c>
      <c r="H579">
        <f>((0/1000) * G579)</f>
        <v>0</v>
      </c>
      <c r="I579">
        <v>0</v>
      </c>
      <c r="J579">
        <v>0</v>
      </c>
      <c r="K579" s="2291">
        <v>99000</v>
      </c>
      <c r="L579" s="2292">
        <f>(K579 * G579)</f>
        <v>0</v>
      </c>
      <c r="M579" s="2293">
        <v>108900</v>
      </c>
      <c r="N579" s="2294">
        <f>(G579 * M579)</f>
        <v>0</v>
      </c>
      <c r="O579">
        <v>0</v>
      </c>
      <c r="P579">
        <v>0</v>
      </c>
      <c r="Q579">
        <f>IF(O579&gt;G579,(O579-G579),0)</f>
        <v>0</v>
      </c>
      <c r="R579">
        <v>1</v>
      </c>
      <c r="S579">
        <f>IF(Q579&gt;0,Int(P579/Q579),0)</f>
        <v>0</v>
      </c>
      <c r="T579">
        <f>101620.44</f>
        <v>101620.44</v>
      </c>
      <c r="U579" t="s">
        <v>2097</v>
      </c>
      <c r="V579">
        <v>99000</v>
      </c>
      <c r="W579" t="s">
        <v>43</v>
      </c>
      <c r="X579"/>
    </row>
    <row r="580" spans="1:27">
      <c r="A580" t="s">
        <v>35</v>
      </c>
      <c r="B580" t="s">
        <v>29</v>
      </c>
      <c r="C580" t="s">
        <v>2098</v>
      </c>
      <c r="D580" t="s">
        <v>2099</v>
      </c>
      <c r="E580" t="s">
        <v>2100</v>
      </c>
      <c r="F580" t="s">
        <v>41</v>
      </c>
      <c r="G580">
        <v>0</v>
      </c>
      <c r="H580">
        <f>((0/1000) * G580)</f>
        <v>0</v>
      </c>
      <c r="I580">
        <v>0</v>
      </c>
      <c r="J580">
        <v>0</v>
      </c>
      <c r="K580" s="2295">
        <v>81212</v>
      </c>
      <c r="L580" s="2296">
        <f>(K580 * G580)</f>
        <v>0</v>
      </c>
      <c r="M580" s="2297">
        <v>146181.6</v>
      </c>
      <c r="N580" s="2298">
        <f>(G580 * M580)</f>
        <v>0</v>
      </c>
      <c r="O580">
        <v>0</v>
      </c>
      <c r="P580">
        <v>0</v>
      </c>
      <c r="Q580">
        <f>IF(O580&gt;G580,(O580-G580),0)</f>
        <v>0</v>
      </c>
      <c r="R580">
        <v>1</v>
      </c>
      <c r="S580">
        <f>IF(Q580&gt;0,Int(P580/Q580),0)</f>
        <v>0</v>
      </c>
      <c r="T580">
        <f>81212</f>
        <v>81212</v>
      </c>
      <c r="U580" t="s">
        <v>1828</v>
      </c>
      <c r="V580">
        <v>81212</v>
      </c>
      <c r="W580" t="s">
        <v>301</v>
      </c>
      <c r="X580" t="s">
        <v>166</v>
      </c>
    </row>
    <row r="581" spans="1:27">
      <c r="A581" t="s">
        <v>35</v>
      </c>
      <c r="B581" t="s">
        <v>29</v>
      </c>
      <c r="C581" t="s">
        <v>2101</v>
      </c>
      <c r="D581" t="s">
        <v>2102</v>
      </c>
      <c r="E581" t="s">
        <v>2103</v>
      </c>
      <c r="F581" t="s">
        <v>41</v>
      </c>
      <c r="G581">
        <v>0</v>
      </c>
      <c r="H581">
        <f>((0/1000) * G581)</f>
        <v>0</v>
      </c>
      <c r="I581">
        <v>0</v>
      </c>
      <c r="J581">
        <v>0</v>
      </c>
      <c r="K581" s="2299">
        <v>185041.32</v>
      </c>
      <c r="L581" s="2300">
        <f>(K581 * G581)</f>
        <v>0</v>
      </c>
      <c r="M581" s="2301">
        <v>203545.45</v>
      </c>
      <c r="N581" s="2302">
        <f>(G581 * M581)</f>
        <v>0</v>
      </c>
      <c r="O581">
        <v>0</v>
      </c>
      <c r="P581">
        <v>0</v>
      </c>
      <c r="Q581">
        <f>IF(O581&gt;G581,(O581-G581),0)</f>
        <v>0</v>
      </c>
      <c r="R581">
        <v>1</v>
      </c>
      <c r="S581">
        <f>IF(Q581&gt;0,Int(P581/Q581),0)</f>
        <v>0</v>
      </c>
      <c r="T581">
        <f>52892.56</f>
        <v>52892.56</v>
      </c>
      <c r="U581" t="s">
        <v>2104</v>
      </c>
      <c r="V581">
        <v>185041.32</v>
      </c>
      <c r="W581" t="s">
        <v>43</v>
      </c>
      <c r="X581"/>
    </row>
    <row r="582" spans="1:27">
      <c r="A582" t="s">
        <v>35</v>
      </c>
      <c r="B582" t="s">
        <v>29</v>
      </c>
      <c r="C582" t="s">
        <v>2105</v>
      </c>
      <c r="D582" t="s">
        <v>2105</v>
      </c>
      <c r="E582" t="s">
        <v>2106</v>
      </c>
      <c r="F582" t="s">
        <v>33</v>
      </c>
      <c r="G582">
        <v>0</v>
      </c>
      <c r="H582">
        <f>((1/1000) * G582)</f>
        <v>0</v>
      </c>
      <c r="I582">
        <v>0</v>
      </c>
      <c r="J582">
        <v>0</v>
      </c>
      <c r="K582" s="2303">
        <v>0</v>
      </c>
      <c r="L582" s="2304">
        <f>(K582 * G582)</f>
        <v>0</v>
      </c>
      <c r="M582" s="2305">
        <v>0</v>
      </c>
      <c r="N582" s="2306">
        <f>(G582 * M582)</f>
        <v>0</v>
      </c>
      <c r="O582">
        <v>0</v>
      </c>
      <c r="P582">
        <v>0</v>
      </c>
      <c r="Q582">
        <f>IF(O582&gt;G582,(O582-G582),0)</f>
        <v>0</v>
      </c>
      <c r="R582">
        <v>0</v>
      </c>
      <c r="S582">
        <f>IF(Q582&gt;0,Int(P582/Q582),0)</f>
        <v>0</v>
      </c>
      <c r="T582">
        <f>0</f>
        <v>0</v>
      </c>
      <c r="U582" t="s">
        <v>2107</v>
      </c>
      <c r="V582">
        <v>0</v>
      </c>
      <c r="W582">
        <v>0</v>
      </c>
      <c r="X582"/>
    </row>
    <row r="583" spans="1:27">
      <c r="A583" t="s">
        <v>35</v>
      </c>
      <c r="B583" t="s">
        <v>29</v>
      </c>
      <c r="C583" t="s">
        <v>2108</v>
      </c>
      <c r="D583" t="s">
        <v>2109</v>
      </c>
      <c r="E583" t="s">
        <v>2110</v>
      </c>
      <c r="F583" t="s">
        <v>33</v>
      </c>
      <c r="G583">
        <v>0</v>
      </c>
      <c r="H583">
        <f>((0/1000) * G583)</f>
        <v>0</v>
      </c>
      <c r="I583">
        <v>0</v>
      </c>
      <c r="J583">
        <v>0</v>
      </c>
      <c r="K583" s="2307">
        <v>36029.22</v>
      </c>
      <c r="L583" s="2308">
        <f>(K583 * G583)</f>
        <v>0</v>
      </c>
      <c r="M583" s="2309">
        <v>50440.91</v>
      </c>
      <c r="N583" s="2310">
        <f>(G583 * M583)</f>
        <v>0</v>
      </c>
      <c r="O583">
        <v>0</v>
      </c>
      <c r="P583">
        <v>0</v>
      </c>
      <c r="Q583">
        <f>IF(O583&gt;G583,(O583-G583),0)</f>
        <v>0</v>
      </c>
      <c r="R583">
        <v>1</v>
      </c>
      <c r="S583">
        <f>IF(Q583&gt;0,Int(P583/Q583),0)</f>
        <v>0</v>
      </c>
      <c r="T583">
        <f>71988</f>
        <v>71988</v>
      </c>
      <c r="U583" t="s">
        <v>2111</v>
      </c>
      <c r="V583">
        <v>36029.22</v>
      </c>
      <c r="W583" t="s">
        <v>75</v>
      </c>
      <c r="X583"/>
    </row>
    <row r="584" spans="1:27">
      <c r="A584" t="s">
        <v>28</v>
      </c>
      <c r="B584" t="s">
        <v>29</v>
      </c>
      <c r="C584" t="s">
        <v>2112</v>
      </c>
      <c r="D584" t="s">
        <v>1142</v>
      </c>
      <c r="E584" t="s">
        <v>2113</v>
      </c>
      <c r="F584" t="s">
        <v>33</v>
      </c>
      <c r="G584">
        <v>0</v>
      </c>
      <c r="H584">
        <f>((0/1000) * G584)</f>
        <v>0</v>
      </c>
      <c r="I584">
        <v>0</v>
      </c>
      <c r="J584">
        <v>0</v>
      </c>
      <c r="K584" s="2311">
        <v>102676.75</v>
      </c>
      <c r="L584" s="2312">
        <f>(K584 * G584)</f>
        <v>0</v>
      </c>
      <c r="M584" s="2313">
        <v>143747.45</v>
      </c>
      <c r="N584" s="2314">
        <f>(G584 * M584)</f>
        <v>0</v>
      </c>
      <c r="O584">
        <v>0</v>
      </c>
      <c r="P584">
        <v>0</v>
      </c>
      <c r="Q584">
        <f>IF(O584&gt;G584,(O584-G584),0)</f>
        <v>0</v>
      </c>
      <c r="R584">
        <v>0</v>
      </c>
      <c r="S584">
        <f>IF(Q584&gt;0,Int(P584/Q584),0)</f>
        <v>0</v>
      </c>
      <c r="T584">
        <f>0</f>
        <v>0</v>
      </c>
      <c r="U584"/>
      <c r="V584">
        <v>102676.75</v>
      </c>
      <c r="W584" t="s">
        <v>75</v>
      </c>
      <c r="X584"/>
    </row>
    <row r="585" spans="1:27">
      <c r="A585" t="s">
        <v>28</v>
      </c>
      <c r="B585" t="s">
        <v>29</v>
      </c>
      <c r="C585" t="s">
        <v>2114</v>
      </c>
      <c r="D585" t="s">
        <v>2115</v>
      </c>
      <c r="E585" t="s">
        <v>2116</v>
      </c>
      <c r="F585" t="s">
        <v>41</v>
      </c>
      <c r="G585">
        <v>1</v>
      </c>
      <c r="H585">
        <f>((0/1000) * G585)</f>
        <v>0</v>
      </c>
      <c r="I585">
        <v>0</v>
      </c>
      <c r="J585">
        <v>1</v>
      </c>
      <c r="K585" s="2315">
        <v>215702.48</v>
      </c>
      <c r="L585" s="2316">
        <f>(K585 * G585)</f>
        <v>215702.48</v>
      </c>
      <c r="M585" s="2317">
        <v>237272.72</v>
      </c>
      <c r="N585" s="2318">
        <f>(G585 * M585)</f>
        <v>237272.72</v>
      </c>
      <c r="O585">
        <v>0</v>
      </c>
      <c r="P585">
        <v>0</v>
      </c>
      <c r="Q585">
        <f>IF(O585&gt;G585,(O585-G585),0)</f>
        <v>0</v>
      </c>
      <c r="R585">
        <v>1</v>
      </c>
      <c r="S585">
        <f>IF(Q585&gt;0,Int(P585/Q585),0)</f>
        <v>0</v>
      </c>
      <c r="T585">
        <f>67618.33</f>
        <v>67618.33</v>
      </c>
      <c r="U585" t="s">
        <v>2117</v>
      </c>
      <c r="V585">
        <v>215702.48</v>
      </c>
      <c r="W585" t="s">
        <v>48</v>
      </c>
      <c r="X585" t="s">
        <v>49</v>
      </c>
    </row>
    <row r="586" spans="1:27">
      <c r="A586" t="s">
        <v>28</v>
      </c>
      <c r="B586" t="s">
        <v>29</v>
      </c>
      <c r="C586" t="s">
        <v>2118</v>
      </c>
      <c r="D586" t="s">
        <v>2119</v>
      </c>
      <c r="E586" t="s">
        <v>2120</v>
      </c>
      <c r="F586" t="s">
        <v>33</v>
      </c>
      <c r="G586">
        <v>0</v>
      </c>
      <c r="H586">
        <f>((0/1000) * G586)</f>
        <v>0</v>
      </c>
      <c r="I586">
        <v>0</v>
      </c>
      <c r="J586">
        <v>0</v>
      </c>
      <c r="K586" s="2319">
        <v>85328.81</v>
      </c>
      <c r="L586" s="2320">
        <f>(K586 * G586)</f>
        <v>0</v>
      </c>
      <c r="M586" s="2321">
        <v>119460.33</v>
      </c>
      <c r="N586" s="2322">
        <f>(G586 * M586)</f>
        <v>0</v>
      </c>
      <c r="O586">
        <v>0</v>
      </c>
      <c r="P586">
        <v>0</v>
      </c>
      <c r="Q586">
        <f>IF(O586&gt;G586,(O586-G586),0)</f>
        <v>0</v>
      </c>
      <c r="R586">
        <v>0</v>
      </c>
      <c r="S586">
        <f>IF(Q586&gt;0,Int(P586/Q586),0)</f>
        <v>0</v>
      </c>
      <c r="T586">
        <f>0</f>
        <v>0</v>
      </c>
      <c r="U586"/>
      <c r="V586">
        <v>85328.81</v>
      </c>
      <c r="W586" t="s">
        <v>529</v>
      </c>
      <c r="X586"/>
    </row>
    <row r="587" spans="1:27">
      <c r="A587" t="s">
        <v>28</v>
      </c>
      <c r="B587" t="s">
        <v>29</v>
      </c>
      <c r="C587" t="s">
        <v>2121</v>
      </c>
      <c r="D587" t="s">
        <v>2122</v>
      </c>
      <c r="E587" t="s">
        <v>2123</v>
      </c>
      <c r="F587" t="s">
        <v>41</v>
      </c>
      <c r="G587">
        <v>2</v>
      </c>
      <c r="H587">
        <f>((0/1000) * G587)</f>
        <v>0</v>
      </c>
      <c r="I587">
        <v>2</v>
      </c>
      <c r="J587">
        <v>0</v>
      </c>
      <c r="K587" s="2323">
        <v>207418.09</v>
      </c>
      <c r="L587" s="2324">
        <f>(K587 * G587)</f>
        <v>414836.18</v>
      </c>
      <c r="M587" s="2325">
        <v>290385.33</v>
      </c>
      <c r="N587" s="2326">
        <f>(G587 * M587)</f>
        <v>580770.66</v>
      </c>
      <c r="O587">
        <v>0</v>
      </c>
      <c r="P587">
        <v>0</v>
      </c>
      <c r="Q587">
        <f>IF(O587&gt;G587,(O587-G587),0)</f>
        <v>0</v>
      </c>
      <c r="R587">
        <v>1</v>
      </c>
      <c r="S587">
        <f>IF(Q587&gt;0,Int(P587/Q587),0)</f>
        <v>0</v>
      </c>
      <c r="T587">
        <f>186963.31</f>
        <v>186963.31</v>
      </c>
      <c r="U587" t="s">
        <v>2124</v>
      </c>
      <c r="V587">
        <v>207418.09</v>
      </c>
      <c r="W587" t="s">
        <v>274</v>
      </c>
      <c r="X587"/>
    </row>
    <row r="588" spans="1:27">
      <c r="A588" t="s">
        <v>28</v>
      </c>
      <c r="B588" t="s">
        <v>29</v>
      </c>
      <c r="C588" t="s">
        <v>2125</v>
      </c>
      <c r="D588" t="s">
        <v>2126</v>
      </c>
      <c r="E588" t="s">
        <v>2127</v>
      </c>
      <c r="F588" t="s">
        <v>33</v>
      </c>
      <c r="G588">
        <v>4</v>
      </c>
      <c r="H588">
        <f>((0/1000) * G588)</f>
        <v>0</v>
      </c>
      <c r="I588">
        <v>0</v>
      </c>
      <c r="J588">
        <v>4</v>
      </c>
      <c r="K588" s="2327">
        <v>101239.67</v>
      </c>
      <c r="L588" s="2328">
        <f>(K588 * G588)</f>
        <v>404958.68</v>
      </c>
      <c r="M588" s="2329">
        <v>124524.79</v>
      </c>
      <c r="N588" s="2330">
        <f>(G588 * M588)</f>
        <v>498099.16</v>
      </c>
      <c r="O588">
        <v>0</v>
      </c>
      <c r="P588">
        <v>0</v>
      </c>
      <c r="Q588">
        <f>IF(O588&gt;G588,(O588-G588),0)</f>
        <v>0</v>
      </c>
      <c r="R588">
        <v>1</v>
      </c>
      <c r="S588">
        <f>IF(Q588&gt;0,Int(P588/Q588),0)</f>
        <v>0</v>
      </c>
      <c r="T588">
        <f>101239.67</f>
        <v>101239.67</v>
      </c>
      <c r="U588" t="s">
        <v>135</v>
      </c>
      <c r="V588">
        <v>101239.67</v>
      </c>
      <c r="W588" t="s">
        <v>2128</v>
      </c>
      <c r="X588"/>
    </row>
    <row r="589" spans="1:27">
      <c r="A589" t="s">
        <v>35</v>
      </c>
      <c r="B589" t="s">
        <v>29</v>
      </c>
      <c r="C589" t="s">
        <v>2129</v>
      </c>
      <c r="D589" t="s">
        <v>2130</v>
      </c>
      <c r="E589" t="s">
        <v>2131</v>
      </c>
      <c r="F589" t="s">
        <v>33</v>
      </c>
      <c r="G589">
        <v>0</v>
      </c>
      <c r="H589">
        <f>((0/1000) * G589)</f>
        <v>0</v>
      </c>
      <c r="I589">
        <v>0</v>
      </c>
      <c r="J589">
        <v>0</v>
      </c>
      <c r="K589" s="2331">
        <v>88209.94</v>
      </c>
      <c r="L589" s="2332">
        <f>(K589 * G589)</f>
        <v>0</v>
      </c>
      <c r="M589" s="2333">
        <v>123493.92</v>
      </c>
      <c r="N589" s="2334">
        <f>(G589 * M589)</f>
        <v>0</v>
      </c>
      <c r="O589">
        <v>0</v>
      </c>
      <c r="P589">
        <v>0</v>
      </c>
      <c r="Q589">
        <f>IF(O589&gt;G589,(O589-G589),0)</f>
        <v>0</v>
      </c>
      <c r="R589">
        <v>0</v>
      </c>
      <c r="S589">
        <f>IF(Q589&gt;0,Int(P589/Q589),0)</f>
        <v>0</v>
      </c>
      <c r="T589">
        <f>0</f>
        <v>0</v>
      </c>
      <c r="U589"/>
      <c r="V589">
        <v>88209.94</v>
      </c>
      <c r="W589" t="s">
        <v>75</v>
      </c>
      <c r="X589"/>
    </row>
    <row r="590" spans="1:27">
      <c r="A590" t="s">
        <v>35</v>
      </c>
      <c r="B590" t="s">
        <v>29</v>
      </c>
      <c r="C590" t="s">
        <v>2132</v>
      </c>
      <c r="D590" t="s">
        <v>2133</v>
      </c>
      <c r="E590" t="s">
        <v>2134</v>
      </c>
      <c r="F590" t="s">
        <v>33</v>
      </c>
      <c r="G590">
        <v>0</v>
      </c>
      <c r="H590">
        <f>((0/1000) * G590)</f>
        <v>0</v>
      </c>
      <c r="I590">
        <v>0</v>
      </c>
      <c r="J590">
        <v>0</v>
      </c>
      <c r="K590" s="2335">
        <v>0</v>
      </c>
      <c r="L590" s="2336">
        <f>(K590 * G590)</f>
        <v>0</v>
      </c>
      <c r="M590" s="2337">
        <v>0</v>
      </c>
      <c r="N590" s="2338">
        <f>(G590 * M590)</f>
        <v>0</v>
      </c>
      <c r="O590">
        <v>0</v>
      </c>
      <c r="P590">
        <v>0</v>
      </c>
      <c r="Q590">
        <f>IF(O590&gt;G590,(O590-G590),0)</f>
        <v>0</v>
      </c>
      <c r="R590">
        <v>1</v>
      </c>
      <c r="S590">
        <f>IF(Q590&gt;0,Int(P590/Q590),0)</f>
        <v>0</v>
      </c>
      <c r="T590">
        <f>0</f>
        <v>0</v>
      </c>
      <c r="U590" t="s">
        <v>2135</v>
      </c>
      <c r="V590">
        <v>0</v>
      </c>
      <c r="W590">
        <v>0</v>
      </c>
      <c r="X590"/>
    </row>
    <row r="591" spans="1:27">
      <c r="A591" t="s">
        <v>35</v>
      </c>
      <c r="B591" t="s">
        <v>29</v>
      </c>
      <c r="C591" t="s">
        <v>2136</v>
      </c>
      <c r="D591" t="s">
        <v>2137</v>
      </c>
      <c r="E591" t="s">
        <v>2138</v>
      </c>
      <c r="F591" t="s">
        <v>33</v>
      </c>
      <c r="G591">
        <v>0</v>
      </c>
      <c r="H591">
        <f>((0/1000) * G591)</f>
        <v>0</v>
      </c>
      <c r="I591">
        <v>0</v>
      </c>
      <c r="J591">
        <v>0</v>
      </c>
      <c r="K591" s="2339">
        <v>47300</v>
      </c>
      <c r="L591" s="2340">
        <f>(K591 * G591)</f>
        <v>0</v>
      </c>
      <c r="M591" s="2341">
        <v>66220</v>
      </c>
      <c r="N591" s="2342">
        <f>(G591 * M591)</f>
        <v>0</v>
      </c>
      <c r="O591">
        <v>0</v>
      </c>
      <c r="P591">
        <v>0</v>
      </c>
      <c r="Q591">
        <f>IF(O591&gt;G591,(O591-G591),0)</f>
        <v>0</v>
      </c>
      <c r="R591">
        <v>1</v>
      </c>
      <c r="S591">
        <f>IF(Q591&gt;0,Int(P591/Q591),0)</f>
        <v>0</v>
      </c>
      <c r="T591">
        <f>43000</f>
        <v>43000</v>
      </c>
      <c r="U591" t="s">
        <v>2035</v>
      </c>
      <c r="V591">
        <v>47300</v>
      </c>
      <c r="W591" t="s">
        <v>75</v>
      </c>
      <c r="X591"/>
    </row>
    <row r="592" spans="1:27">
      <c r="A592" t="s">
        <v>35</v>
      </c>
      <c r="B592" t="s">
        <v>29</v>
      </c>
      <c r="C592" t="s">
        <v>2139</v>
      </c>
      <c r="D592" t="s">
        <v>2140</v>
      </c>
      <c r="E592" t="s">
        <v>2141</v>
      </c>
      <c r="F592" t="s">
        <v>41</v>
      </c>
      <c r="G592">
        <v>0</v>
      </c>
      <c r="H592">
        <f>((1/1000) * G592)</f>
        <v>0</v>
      </c>
      <c r="I592">
        <v>0</v>
      </c>
      <c r="J592">
        <v>0</v>
      </c>
      <c r="K592" s="2343">
        <v>186251.94</v>
      </c>
      <c r="L592" s="2344">
        <f>(K592 * G592)</f>
        <v>0</v>
      </c>
      <c r="M592" s="2345">
        <v>204877.14</v>
      </c>
      <c r="N592" s="2346">
        <f>(G592 * M592)</f>
        <v>0</v>
      </c>
      <c r="O592">
        <v>0</v>
      </c>
      <c r="P592">
        <v>0</v>
      </c>
      <c r="Q592">
        <f>IF(O592&gt;G592,(O592-G592),0)</f>
        <v>0</v>
      </c>
      <c r="R592">
        <v>1</v>
      </c>
      <c r="S592">
        <f>IF(Q592&gt;0,Int(P592/Q592),0)</f>
        <v>0</v>
      </c>
      <c r="T592">
        <f>0</f>
        <v>0</v>
      </c>
      <c r="U592"/>
      <c r="V592">
        <v>186251.94</v>
      </c>
      <c r="W592" t="s">
        <v>43</v>
      </c>
      <c r="X592"/>
    </row>
    <row r="593" spans="1:27">
      <c r="A593" t="s">
        <v>28</v>
      </c>
      <c r="B593" t="s">
        <v>29</v>
      </c>
      <c r="C593" t="s">
        <v>2142</v>
      </c>
      <c r="D593" t="s">
        <v>2143</v>
      </c>
      <c r="E593" t="s">
        <v>2144</v>
      </c>
      <c r="F593" t="s">
        <v>33</v>
      </c>
      <c r="G593">
        <v>0</v>
      </c>
      <c r="H593">
        <f>((0/1000) * G593)</f>
        <v>0</v>
      </c>
      <c r="I593">
        <v>0</v>
      </c>
      <c r="J593">
        <v>0</v>
      </c>
      <c r="K593" s="2347">
        <v>139173.55</v>
      </c>
      <c r="L593" s="2348">
        <f>(K593 * G593)</f>
        <v>0</v>
      </c>
      <c r="M593" s="2349">
        <v>153090.91</v>
      </c>
      <c r="N593" s="2350">
        <f>(G593 * M593)</f>
        <v>0</v>
      </c>
      <c r="O593">
        <v>0</v>
      </c>
      <c r="P593">
        <v>0</v>
      </c>
      <c r="Q593">
        <f>IF(O593&gt;G593,(O593-G593),0)</f>
        <v>0</v>
      </c>
      <c r="R593">
        <v>1</v>
      </c>
      <c r="S593">
        <f>IF(Q593&gt;0,Int(P593/Q593),0)</f>
        <v>0</v>
      </c>
      <c r="T593">
        <f>90428.25</f>
        <v>90428.25</v>
      </c>
      <c r="U593" t="s">
        <v>2145</v>
      </c>
      <c r="V593">
        <v>139173.55</v>
      </c>
      <c r="W593" t="s">
        <v>43</v>
      </c>
      <c r="X593"/>
    </row>
    <row r="594" spans="1:27">
      <c r="A594" t="s">
        <v>28</v>
      </c>
      <c r="B594" t="s">
        <v>29</v>
      </c>
      <c r="C594" t="s">
        <v>2146</v>
      </c>
      <c r="D594" t="s">
        <v>2147</v>
      </c>
      <c r="E594" t="s">
        <v>2148</v>
      </c>
      <c r="F594" t="s">
        <v>41</v>
      </c>
      <c r="G594">
        <v>0</v>
      </c>
      <c r="H594">
        <f>((0/1000) * G594)</f>
        <v>0</v>
      </c>
      <c r="I594">
        <v>0</v>
      </c>
      <c r="J594">
        <v>0</v>
      </c>
      <c r="K594" s="2351">
        <v>298727.28</v>
      </c>
      <c r="L594" s="2352">
        <f>(K594 * G594)</f>
        <v>0</v>
      </c>
      <c r="M594" s="2353">
        <v>418218.19</v>
      </c>
      <c r="N594" s="2354">
        <f>(G594 * M594)</f>
        <v>0</v>
      </c>
      <c r="O594">
        <v>0</v>
      </c>
      <c r="P594">
        <v>0</v>
      </c>
      <c r="Q594">
        <f>IF(O594&gt;G594,(O594-G594),0)</f>
        <v>0</v>
      </c>
      <c r="R594">
        <v>1</v>
      </c>
      <c r="S594">
        <f>IF(Q594&gt;0,Int(P594/Q594),0)</f>
        <v>0</v>
      </c>
      <c r="T594">
        <f>105484.6</f>
        <v>105484.6</v>
      </c>
      <c r="U594" t="s">
        <v>2149</v>
      </c>
      <c r="V594">
        <v>298727.28</v>
      </c>
      <c r="W594" t="s">
        <v>75</v>
      </c>
      <c r="X594"/>
    </row>
    <row r="595" spans="1:27">
      <c r="A595" t="s">
        <v>28</v>
      </c>
      <c r="B595" t="s">
        <v>29</v>
      </c>
      <c r="C595" t="s">
        <v>2150</v>
      </c>
      <c r="D595" t="s">
        <v>2151</v>
      </c>
      <c r="E595" t="s">
        <v>2152</v>
      </c>
      <c r="F595" t="s">
        <v>33</v>
      </c>
      <c r="G595">
        <v>0</v>
      </c>
      <c r="H595">
        <f>((0/1000) * G595)</f>
        <v>0</v>
      </c>
      <c r="I595">
        <v>0</v>
      </c>
      <c r="J595">
        <v>0</v>
      </c>
      <c r="K595" s="2355">
        <v>0</v>
      </c>
      <c r="L595" s="2356">
        <f>(K595 * G595)</f>
        <v>0</v>
      </c>
      <c r="M595" s="2357">
        <v>0</v>
      </c>
      <c r="N595" s="2358">
        <f>(G595 * M595)</f>
        <v>0</v>
      </c>
      <c r="O595">
        <v>0</v>
      </c>
      <c r="P595">
        <v>0</v>
      </c>
      <c r="Q595">
        <f>IF(O595&gt;G595,(O595-G595),0)</f>
        <v>0</v>
      </c>
      <c r="R595">
        <v>1</v>
      </c>
      <c r="S595">
        <f>IF(Q595&gt;0,Int(P595/Q595),0)</f>
        <v>0</v>
      </c>
      <c r="T595">
        <f>138241.92</f>
        <v>138241.92</v>
      </c>
      <c r="U595" t="s">
        <v>1115</v>
      </c>
      <c r="V595">
        <v>0</v>
      </c>
      <c r="W595">
        <v>0</v>
      </c>
      <c r="X595"/>
    </row>
    <row r="596" spans="1:27">
      <c r="A596" t="s">
        <v>35</v>
      </c>
      <c r="B596" t="s">
        <v>29</v>
      </c>
      <c r="C596" t="s">
        <v>2153</v>
      </c>
      <c r="D596" t="s">
        <v>2154</v>
      </c>
      <c r="E596" t="s">
        <v>2155</v>
      </c>
      <c r="F596" t="s">
        <v>41</v>
      </c>
      <c r="G596">
        <v>0</v>
      </c>
      <c r="H596">
        <f>((0/1000) * G596)</f>
        <v>0</v>
      </c>
      <c r="I596">
        <v>0</v>
      </c>
      <c r="J596">
        <v>0</v>
      </c>
      <c r="K596" s="2359">
        <v>118595.04</v>
      </c>
      <c r="L596" s="2360">
        <f>(K596 * G596)</f>
        <v>0</v>
      </c>
      <c r="M596" s="2361">
        <v>130454.54</v>
      </c>
      <c r="N596" s="2362">
        <f>(G596 * M596)</f>
        <v>0</v>
      </c>
      <c r="O596">
        <v>0</v>
      </c>
      <c r="P596">
        <v>0</v>
      </c>
      <c r="Q596">
        <f>IF(O596&gt;G596,(O596-G596),0)</f>
        <v>0</v>
      </c>
      <c r="R596">
        <v>1</v>
      </c>
      <c r="S596">
        <f>IF(Q596&gt;0,Int(P596/Q596),0)</f>
        <v>0</v>
      </c>
      <c r="T596">
        <f>107813.67</f>
        <v>107813.67</v>
      </c>
      <c r="U596" t="s">
        <v>2156</v>
      </c>
      <c r="V596">
        <v>118595.04</v>
      </c>
      <c r="W596" t="s">
        <v>80</v>
      </c>
      <c r="X596" t="s">
        <v>49</v>
      </c>
    </row>
    <row r="597" spans="1:27">
      <c r="A597" t="s">
        <v>28</v>
      </c>
      <c r="B597" t="s">
        <v>29</v>
      </c>
      <c r="C597" t="s">
        <v>2157</v>
      </c>
      <c r="D597" t="s">
        <v>2158</v>
      </c>
      <c r="E597" t="s">
        <v>2159</v>
      </c>
      <c r="F597" t="s">
        <v>41</v>
      </c>
      <c r="G597">
        <v>0</v>
      </c>
      <c r="H597">
        <f>((0/1000) * G597)</f>
        <v>0</v>
      </c>
      <c r="I597">
        <v>0</v>
      </c>
      <c r="J597">
        <v>0</v>
      </c>
      <c r="K597" s="2363">
        <v>119834.72</v>
      </c>
      <c r="L597" s="2364">
        <f>(K597 * G597)</f>
        <v>0</v>
      </c>
      <c r="M597" s="2365">
        <v>131818.19</v>
      </c>
      <c r="N597" s="2366">
        <f>(G597 * M597)</f>
        <v>0</v>
      </c>
      <c r="O597">
        <v>0</v>
      </c>
      <c r="P597">
        <v>0</v>
      </c>
      <c r="Q597">
        <f>IF(O597&gt;G597,(O597-G597),0)</f>
        <v>0</v>
      </c>
      <c r="R597">
        <v>1</v>
      </c>
      <c r="S597">
        <f>IF(Q597&gt;0,Int(P597/Q597),0)</f>
        <v>0</v>
      </c>
      <c r="T597">
        <f>21829.53</f>
        <v>21829.53</v>
      </c>
      <c r="U597" t="s">
        <v>2160</v>
      </c>
      <c r="V597">
        <v>119834.72</v>
      </c>
      <c r="W597" t="s">
        <v>43</v>
      </c>
      <c r="X597"/>
    </row>
    <row r="598" spans="1:27">
      <c r="A598" t="s">
        <v>28</v>
      </c>
      <c r="B598" t="s">
        <v>29</v>
      </c>
      <c r="C598" t="s">
        <v>2161</v>
      </c>
      <c r="D598" t="s">
        <v>2162</v>
      </c>
      <c r="E598" t="s">
        <v>2163</v>
      </c>
      <c r="F598" t="s">
        <v>41</v>
      </c>
      <c r="G598">
        <v>0</v>
      </c>
      <c r="H598">
        <f>((0/1000) * G598)</f>
        <v>0</v>
      </c>
      <c r="I598">
        <v>0</v>
      </c>
      <c r="J598">
        <v>0</v>
      </c>
      <c r="K598" s="2367">
        <v>127094</v>
      </c>
      <c r="L598" s="2368">
        <f>(K598 * G598)</f>
        <v>0</v>
      </c>
      <c r="M598" s="2369">
        <v>177931.6</v>
      </c>
      <c r="N598" s="2370">
        <f>(G598 * M598)</f>
        <v>0</v>
      </c>
      <c r="O598">
        <v>0</v>
      </c>
      <c r="P598">
        <v>0</v>
      </c>
      <c r="Q598">
        <f>IF(O598&gt;G598,(O598-G598),0)</f>
        <v>0</v>
      </c>
      <c r="R598">
        <v>1</v>
      </c>
      <c r="S598">
        <f>IF(Q598&gt;0,Int(P598/Q598),0)</f>
        <v>0</v>
      </c>
      <c r="T598">
        <f>127094</f>
        <v>127094</v>
      </c>
      <c r="U598" t="s">
        <v>2164</v>
      </c>
      <c r="V598">
        <v>127094</v>
      </c>
      <c r="W598" t="s">
        <v>75</v>
      </c>
      <c r="X598" t="s">
        <v>374</v>
      </c>
    </row>
    <row r="599" spans="1:27">
      <c r="A599" t="s">
        <v>35</v>
      </c>
      <c r="B599" t="s">
        <v>29</v>
      </c>
      <c r="C599" t="s">
        <v>2165</v>
      </c>
      <c r="D599" t="s">
        <v>2166</v>
      </c>
      <c r="E599" t="s">
        <v>2167</v>
      </c>
      <c r="F599" t="s">
        <v>33</v>
      </c>
      <c r="G599">
        <v>0</v>
      </c>
      <c r="H599">
        <f>((0/1000) * G599)</f>
        <v>0</v>
      </c>
      <c r="I599">
        <v>0</v>
      </c>
      <c r="J599">
        <v>0</v>
      </c>
      <c r="K599" s="2371">
        <v>217563.75</v>
      </c>
      <c r="L599" s="2372">
        <f>(K599 * G599)</f>
        <v>0</v>
      </c>
      <c r="M599" s="2373">
        <v>304589.26</v>
      </c>
      <c r="N599" s="2374">
        <f>(G599 * M599)</f>
        <v>0</v>
      </c>
      <c r="O599">
        <v>0</v>
      </c>
      <c r="P599">
        <v>0</v>
      </c>
      <c r="Q599">
        <f>IF(O599&gt;G599,(O599-G599),0)</f>
        <v>0</v>
      </c>
      <c r="R599">
        <v>0</v>
      </c>
      <c r="S599">
        <f>IF(Q599&gt;0,Int(P599/Q599),0)</f>
        <v>0</v>
      </c>
      <c r="T599">
        <f>0</f>
        <v>0</v>
      </c>
      <c r="U599"/>
      <c r="V599">
        <v>217563.75</v>
      </c>
      <c r="W599" t="s">
        <v>529</v>
      </c>
      <c r="X599"/>
    </row>
    <row r="600" spans="1:27">
      <c r="A600" t="s">
        <v>28</v>
      </c>
      <c r="B600" t="s">
        <v>29</v>
      </c>
      <c r="C600" t="s">
        <v>2168</v>
      </c>
      <c r="D600" t="s">
        <v>2169</v>
      </c>
      <c r="E600" t="s">
        <v>2170</v>
      </c>
      <c r="F600" t="s">
        <v>33</v>
      </c>
      <c r="G600">
        <v>0</v>
      </c>
      <c r="H600">
        <f>((0/1000) * G600)</f>
        <v>0</v>
      </c>
      <c r="I600">
        <v>0</v>
      </c>
      <c r="J600">
        <v>0</v>
      </c>
      <c r="K600" s="2375">
        <v>174628.1</v>
      </c>
      <c r="L600" s="2376">
        <f>(K600 * G600)</f>
        <v>0</v>
      </c>
      <c r="M600" s="2377">
        <v>192090.91</v>
      </c>
      <c r="N600" s="2378">
        <f>(G600 * M600)</f>
        <v>0</v>
      </c>
      <c r="O600">
        <v>0</v>
      </c>
      <c r="P600">
        <v>0</v>
      </c>
      <c r="Q600">
        <f>IF(O600&gt;G600,(O600-G600),0)</f>
        <v>0</v>
      </c>
      <c r="R600">
        <v>1</v>
      </c>
      <c r="S600">
        <f>IF(Q600&gt;0,Int(P600/Q600),0)</f>
        <v>0</v>
      </c>
      <c r="T600">
        <f>174605.56</f>
        <v>174605.56</v>
      </c>
      <c r="U600" t="s">
        <v>2171</v>
      </c>
      <c r="V600">
        <v>174628.1</v>
      </c>
      <c r="W600" t="s">
        <v>43</v>
      </c>
      <c r="X600"/>
    </row>
    <row r="601" spans="1:27">
      <c r="A601" t="s">
        <v>35</v>
      </c>
      <c r="B601" t="s">
        <v>29</v>
      </c>
      <c r="C601" t="s">
        <v>2172</v>
      </c>
      <c r="D601" t="s">
        <v>2173</v>
      </c>
      <c r="E601" t="s">
        <v>2174</v>
      </c>
      <c r="F601" t="s">
        <v>33</v>
      </c>
      <c r="G601">
        <v>0</v>
      </c>
      <c r="H601">
        <f>((0/1000) * G601)</f>
        <v>0</v>
      </c>
      <c r="I601">
        <v>0</v>
      </c>
      <c r="J601">
        <v>0</v>
      </c>
      <c r="K601" s="2379">
        <v>59092</v>
      </c>
      <c r="L601" s="2380">
        <f>(K601 * G601)</f>
        <v>0</v>
      </c>
      <c r="M601" s="2381">
        <v>82728.8</v>
      </c>
      <c r="N601" s="2382">
        <f>(G601 * M601)</f>
        <v>0</v>
      </c>
      <c r="O601">
        <v>0</v>
      </c>
      <c r="P601">
        <v>0</v>
      </c>
      <c r="Q601">
        <f>IF(O601&gt;G601,(O601-G601),0)</f>
        <v>0</v>
      </c>
      <c r="R601">
        <v>1</v>
      </c>
      <c r="S601">
        <f>IF(Q601&gt;0,Int(P601/Q601),0)</f>
        <v>0</v>
      </c>
      <c r="T601">
        <f>53720</f>
        <v>53720</v>
      </c>
      <c r="U601" t="s">
        <v>2175</v>
      </c>
      <c r="V601">
        <v>59092</v>
      </c>
      <c r="W601" t="s">
        <v>75</v>
      </c>
      <c r="X601"/>
    </row>
    <row r="602" spans="1:27">
      <c r="A602" t="s">
        <v>28</v>
      </c>
      <c r="B602" t="s">
        <v>29</v>
      </c>
      <c r="C602" t="s">
        <v>2176</v>
      </c>
      <c r="D602" t="s">
        <v>2177</v>
      </c>
      <c r="E602" t="s">
        <v>2178</v>
      </c>
      <c r="F602" t="s">
        <v>41</v>
      </c>
      <c r="G602">
        <v>0</v>
      </c>
      <c r="H602">
        <f>((0/1000) * G602)</f>
        <v>0</v>
      </c>
      <c r="I602">
        <v>0</v>
      </c>
      <c r="J602">
        <v>0</v>
      </c>
      <c r="K602" s="2383">
        <v>249586.78</v>
      </c>
      <c r="L602" s="2384">
        <f>(K602 * G602)</f>
        <v>0</v>
      </c>
      <c r="M602" s="2385">
        <v>274545.46</v>
      </c>
      <c r="N602" s="2386">
        <f>(G602 * M602)</f>
        <v>0</v>
      </c>
      <c r="O602">
        <v>0</v>
      </c>
      <c r="P602">
        <v>0</v>
      </c>
      <c r="Q602">
        <f>IF(O602&gt;G602,(O602-G602),0)</f>
        <v>0</v>
      </c>
      <c r="R602">
        <v>1</v>
      </c>
      <c r="S602">
        <f>IF(Q602&gt;0,Int(P602/Q602),0)</f>
        <v>0</v>
      </c>
      <c r="T602">
        <f>249586.78</f>
        <v>249586.78</v>
      </c>
      <c r="U602" t="s">
        <v>2179</v>
      </c>
      <c r="V602">
        <v>249586.78</v>
      </c>
      <c r="W602" t="s">
        <v>43</v>
      </c>
      <c r="X602"/>
    </row>
    <row r="603" spans="1:27">
      <c r="A603" t="s">
        <v>28</v>
      </c>
      <c r="B603" t="s">
        <v>29</v>
      </c>
      <c r="C603" t="s">
        <v>2180</v>
      </c>
      <c r="D603" t="s">
        <v>2181</v>
      </c>
      <c r="E603" t="s">
        <v>2182</v>
      </c>
      <c r="F603" t="s">
        <v>41</v>
      </c>
      <c r="G603">
        <v>0</v>
      </c>
      <c r="H603">
        <f>((0/1000) * G603)</f>
        <v>0</v>
      </c>
      <c r="I603">
        <v>0</v>
      </c>
      <c r="J603">
        <v>0</v>
      </c>
      <c r="K603" s="2387">
        <v>235243.95</v>
      </c>
      <c r="L603" s="2388">
        <f>(K603 * G603)</f>
        <v>0</v>
      </c>
      <c r="M603" s="2389">
        <v>329341.53</v>
      </c>
      <c r="N603" s="2390">
        <f>(G603 * M603)</f>
        <v>0</v>
      </c>
      <c r="O603">
        <v>0</v>
      </c>
      <c r="P603">
        <v>0</v>
      </c>
      <c r="Q603">
        <f>IF(O603&gt;G603,(O603-G603),0)</f>
        <v>0</v>
      </c>
      <c r="R603">
        <v>1</v>
      </c>
      <c r="S603">
        <f>IF(Q603&gt;0,Int(P603/Q603),0)</f>
        <v>0</v>
      </c>
      <c r="T603">
        <f>224622.78</f>
        <v>224622.78</v>
      </c>
      <c r="U603" t="s">
        <v>2183</v>
      </c>
      <c r="V603">
        <v>235243.95</v>
      </c>
      <c r="W603" t="s">
        <v>182</v>
      </c>
      <c r="X603"/>
    </row>
    <row r="604" spans="1:27">
      <c r="A604" t="s">
        <v>35</v>
      </c>
      <c r="B604" t="s">
        <v>29</v>
      </c>
      <c r="C604" t="s">
        <v>2184</v>
      </c>
      <c r="D604" t="s">
        <v>2185</v>
      </c>
      <c r="E604" t="s">
        <v>2186</v>
      </c>
      <c r="F604" t="s">
        <v>33</v>
      </c>
      <c r="G604">
        <v>0</v>
      </c>
      <c r="H604">
        <f>((0/1000) * G604)</f>
        <v>0</v>
      </c>
      <c r="I604">
        <v>0</v>
      </c>
      <c r="J604">
        <v>0</v>
      </c>
      <c r="K604" s="2391">
        <v>118030.01</v>
      </c>
      <c r="L604" s="2392">
        <f>(K604 * G604)</f>
        <v>0</v>
      </c>
      <c r="M604" s="2393">
        <v>165242.02</v>
      </c>
      <c r="N604" s="2394">
        <f>(G604 * M604)</f>
        <v>0</v>
      </c>
      <c r="O604">
        <v>0</v>
      </c>
      <c r="P604">
        <v>0</v>
      </c>
      <c r="Q604">
        <f>IF(O604&gt;G604,(O604-G604),0)</f>
        <v>0</v>
      </c>
      <c r="R604">
        <v>1</v>
      </c>
      <c r="S604">
        <f>IF(Q604&gt;0,Int(P604/Q604),0)</f>
        <v>0</v>
      </c>
      <c r="T604">
        <f>107300.01</f>
        <v>107300.01</v>
      </c>
      <c r="U604" t="s">
        <v>2187</v>
      </c>
      <c r="V604">
        <v>118030.01</v>
      </c>
      <c r="W604" t="s">
        <v>75</v>
      </c>
      <c r="X604"/>
    </row>
    <row r="605" spans="1:27">
      <c r="A605" t="s">
        <v>28</v>
      </c>
      <c r="B605" t="s">
        <v>29</v>
      </c>
      <c r="C605" t="s">
        <v>2188</v>
      </c>
      <c r="D605" t="s">
        <v>2189</v>
      </c>
      <c r="E605" t="s">
        <v>2190</v>
      </c>
      <c r="F605" t="s">
        <v>33</v>
      </c>
      <c r="G605">
        <v>10</v>
      </c>
      <c r="H605">
        <f>((0/1000) * G605)</f>
        <v>0</v>
      </c>
      <c r="I605">
        <v>0</v>
      </c>
      <c r="J605">
        <v>10</v>
      </c>
      <c r="K605" s="2395">
        <v>99174</v>
      </c>
      <c r="L605" s="2396">
        <f>(K605 * G605)</f>
        <v>991740</v>
      </c>
      <c r="M605" s="2397">
        <v>158677.69</v>
      </c>
      <c r="N605" s="2398">
        <f>(G605 * M605)</f>
        <v>1586776.9</v>
      </c>
      <c r="O605">
        <v>0</v>
      </c>
      <c r="P605">
        <v>0</v>
      </c>
      <c r="Q605">
        <f>IF(O605&gt;G605,(O605-G605),0)</f>
        <v>0</v>
      </c>
      <c r="R605">
        <v>1</v>
      </c>
      <c r="S605">
        <f>IF(Q605&gt;0,Int(P605/Q605),0)</f>
        <v>0</v>
      </c>
      <c r="T605">
        <f>102736.36</f>
        <v>102736.36</v>
      </c>
      <c r="U605" t="s">
        <v>510</v>
      </c>
      <c r="V605">
        <v>99174</v>
      </c>
      <c r="W605" t="s">
        <v>54</v>
      </c>
      <c r="X605" t="s">
        <v>2191</v>
      </c>
    </row>
    <row r="606" spans="1:27">
      <c r="A606" t="s">
        <v>28</v>
      </c>
      <c r="B606" t="s">
        <v>29</v>
      </c>
      <c r="C606" t="s">
        <v>2192</v>
      </c>
      <c r="D606" t="s">
        <v>2193</v>
      </c>
      <c r="E606" t="s">
        <v>2194</v>
      </c>
      <c r="F606" t="s">
        <v>33</v>
      </c>
      <c r="G606">
        <v>0</v>
      </c>
      <c r="H606">
        <f>((0/1000) * G606)</f>
        <v>0</v>
      </c>
      <c r="I606">
        <v>0</v>
      </c>
      <c r="J606">
        <v>0</v>
      </c>
      <c r="K606" s="2399">
        <v>118328.57</v>
      </c>
      <c r="L606" s="2400">
        <f>(K606 * G606)</f>
        <v>0</v>
      </c>
      <c r="M606" s="2401">
        <v>165660</v>
      </c>
      <c r="N606" s="2402">
        <f>(G606 * M606)</f>
        <v>0</v>
      </c>
      <c r="O606">
        <v>0</v>
      </c>
      <c r="P606">
        <v>0</v>
      </c>
      <c r="Q606">
        <f>IF(O606&gt;G606,(O606-G606),0)</f>
        <v>0</v>
      </c>
      <c r="R606">
        <v>1</v>
      </c>
      <c r="S606">
        <f>IF(Q606&gt;0,Int(P606/Q606),0)</f>
        <v>0</v>
      </c>
      <c r="T606">
        <f>0</f>
        <v>0</v>
      </c>
      <c r="U606"/>
      <c r="V606">
        <v>118328.57</v>
      </c>
      <c r="W606" t="s">
        <v>75</v>
      </c>
      <c r="X606"/>
    </row>
    <row r="607" spans="1:27">
      <c r="A607" t="s">
        <v>28</v>
      </c>
      <c r="B607" t="s">
        <v>29</v>
      </c>
      <c r="C607" t="s">
        <v>2195</v>
      </c>
      <c r="D607" t="s">
        <v>2196</v>
      </c>
      <c r="E607" t="s">
        <v>2197</v>
      </c>
      <c r="F607" t="s">
        <v>33</v>
      </c>
      <c r="G607">
        <v>0</v>
      </c>
      <c r="H607">
        <f>((0/1000) * G607)</f>
        <v>0</v>
      </c>
      <c r="I607">
        <v>0</v>
      </c>
      <c r="J607">
        <v>0</v>
      </c>
      <c r="K607" s="2403">
        <v>222148.76</v>
      </c>
      <c r="L607" s="2404">
        <f>(K607 * G607)</f>
        <v>0</v>
      </c>
      <c r="M607" s="2405">
        <v>244363.64</v>
      </c>
      <c r="N607" s="2406">
        <f>(G607 * M607)</f>
        <v>0</v>
      </c>
      <c r="O607">
        <v>0</v>
      </c>
      <c r="P607">
        <v>0</v>
      </c>
      <c r="Q607">
        <f>IF(O607&gt;G607,(O607-G607),0)</f>
        <v>0</v>
      </c>
      <c r="R607">
        <v>1</v>
      </c>
      <c r="S607">
        <f>IF(Q607&gt;0,Int(P607/Q607),0)</f>
        <v>0</v>
      </c>
      <c r="T607">
        <f>196694.21</f>
        <v>196694.21</v>
      </c>
      <c r="U607" t="s">
        <v>2198</v>
      </c>
      <c r="V607">
        <v>222148.76</v>
      </c>
      <c r="W607" t="s">
        <v>43</v>
      </c>
      <c r="X607"/>
    </row>
    <row r="608" spans="1:27">
      <c r="A608" t="s">
        <v>35</v>
      </c>
      <c r="B608" t="s">
        <v>29</v>
      </c>
      <c r="C608" t="s">
        <v>2199</v>
      </c>
      <c r="D608" t="s">
        <v>2200</v>
      </c>
      <c r="E608" t="s">
        <v>2201</v>
      </c>
      <c r="F608" t="s">
        <v>41</v>
      </c>
      <c r="G608">
        <v>0</v>
      </c>
      <c r="H608">
        <f>((1/1000) * G608)</f>
        <v>0</v>
      </c>
      <c r="I608">
        <v>0</v>
      </c>
      <c r="J608">
        <v>0</v>
      </c>
      <c r="K608" s="2407">
        <v>173038.37</v>
      </c>
      <c r="L608" s="2408">
        <f>(K608 * G608)</f>
        <v>0</v>
      </c>
      <c r="M608" s="2409">
        <v>190342.21</v>
      </c>
      <c r="N608" s="2410">
        <f>(G608 * M608)</f>
        <v>0</v>
      </c>
      <c r="O608">
        <v>0</v>
      </c>
      <c r="P608">
        <v>0</v>
      </c>
      <c r="Q608">
        <f>IF(O608&gt;G608,(O608-G608),0)</f>
        <v>0</v>
      </c>
      <c r="R608">
        <v>1</v>
      </c>
      <c r="S608">
        <f>IF(Q608&gt;0,Int(P608/Q608),0)</f>
        <v>0</v>
      </c>
      <c r="T608">
        <f>157307.61</f>
        <v>157307.61</v>
      </c>
      <c r="U608" t="s">
        <v>2202</v>
      </c>
      <c r="V608">
        <v>173038.37</v>
      </c>
      <c r="W608" t="s">
        <v>43</v>
      </c>
      <c r="X608"/>
    </row>
    <row r="609" spans="1:27">
      <c r="A609" t="s">
        <v>28</v>
      </c>
      <c r="B609" t="s">
        <v>29</v>
      </c>
      <c r="C609" t="s">
        <v>2203</v>
      </c>
      <c r="D609" t="s">
        <v>2204</v>
      </c>
      <c r="E609" t="s">
        <v>2205</v>
      </c>
      <c r="F609" t="s">
        <v>41</v>
      </c>
      <c r="G609">
        <v>0</v>
      </c>
      <c r="H609">
        <f>((0/1000) * G609)</f>
        <v>0</v>
      </c>
      <c r="I609">
        <v>0</v>
      </c>
      <c r="J609">
        <v>0</v>
      </c>
      <c r="K609" s="2411">
        <v>235537.19</v>
      </c>
      <c r="L609" s="2412">
        <f>(K609 * G609)</f>
        <v>0</v>
      </c>
      <c r="M609" s="2413">
        <v>259090.91</v>
      </c>
      <c r="N609" s="2414">
        <f>(G609 * M609)</f>
        <v>0</v>
      </c>
      <c r="O609">
        <v>0</v>
      </c>
      <c r="P609">
        <v>0</v>
      </c>
      <c r="Q609">
        <f>IF(O609&gt;G609,(O609-G609),0)</f>
        <v>0</v>
      </c>
      <c r="R609">
        <v>1</v>
      </c>
      <c r="S609">
        <f>IF(Q609&gt;0,Int(P609/Q609),0)</f>
        <v>0</v>
      </c>
      <c r="T609">
        <f>0</f>
        <v>0</v>
      </c>
      <c r="U609"/>
      <c r="V609">
        <v>235537.19</v>
      </c>
      <c r="W609" t="s">
        <v>43</v>
      </c>
      <c r="X609"/>
    </row>
    <row r="610" spans="1:27">
      <c r="A610" t="s">
        <v>28</v>
      </c>
      <c r="B610" t="s">
        <v>29</v>
      </c>
      <c r="C610" t="s">
        <v>2206</v>
      </c>
      <c r="D610" t="s">
        <v>2207</v>
      </c>
      <c r="E610" t="s">
        <v>2208</v>
      </c>
      <c r="F610" t="s">
        <v>41</v>
      </c>
      <c r="G610">
        <v>3</v>
      </c>
      <c r="H610">
        <f>((0/1000) * G610)</f>
        <v>0</v>
      </c>
      <c r="I610">
        <v>0</v>
      </c>
      <c r="J610">
        <v>3</v>
      </c>
      <c r="K610" s="2415">
        <v>100960</v>
      </c>
      <c r="L610" s="2416">
        <f>(K610 * G610)</f>
        <v>302880</v>
      </c>
      <c r="M610" s="2417">
        <v>181728</v>
      </c>
      <c r="N610" s="2418">
        <f>(G610 * M610)</f>
        <v>545184</v>
      </c>
      <c r="O610">
        <v>0</v>
      </c>
      <c r="P610">
        <v>0</v>
      </c>
      <c r="Q610">
        <f>IF(O610&gt;G610,(O610-G610),0)</f>
        <v>0</v>
      </c>
      <c r="R610">
        <v>1</v>
      </c>
      <c r="S610">
        <f>IF(Q610&gt;0,Int(P610/Q610),0)</f>
        <v>0</v>
      </c>
      <c r="T610">
        <f>100960</f>
        <v>100960</v>
      </c>
      <c r="U610" t="s">
        <v>2209</v>
      </c>
      <c r="V610">
        <v>100960</v>
      </c>
      <c r="W610" t="s">
        <v>651</v>
      </c>
      <c r="X610" t="s">
        <v>49</v>
      </c>
    </row>
    <row r="611" spans="1:27">
      <c r="A611" t="s">
        <v>28</v>
      </c>
      <c r="B611" t="s">
        <v>29</v>
      </c>
      <c r="C611" t="s">
        <v>2210</v>
      </c>
      <c r="D611" t="s">
        <v>141</v>
      </c>
      <c r="E611" t="s">
        <v>2211</v>
      </c>
      <c r="F611" t="s">
        <v>33</v>
      </c>
      <c r="G611">
        <v>0</v>
      </c>
      <c r="H611">
        <f>((0/1000) * G611)</f>
        <v>0</v>
      </c>
      <c r="I611">
        <v>0</v>
      </c>
      <c r="J611">
        <v>0</v>
      </c>
      <c r="K611" s="2419">
        <v>109272.9</v>
      </c>
      <c r="L611" s="2420">
        <f>(K611 * G611)</f>
        <v>0</v>
      </c>
      <c r="M611" s="2421">
        <v>152982.06</v>
      </c>
      <c r="N611" s="2422">
        <f>(G611 * M611)</f>
        <v>0</v>
      </c>
      <c r="O611">
        <v>0</v>
      </c>
      <c r="P611">
        <v>0</v>
      </c>
      <c r="Q611">
        <f>IF(O611&gt;G611,(O611-G611),0)</f>
        <v>0</v>
      </c>
      <c r="R611">
        <v>0</v>
      </c>
      <c r="S611">
        <f>IF(Q611&gt;0,Int(P611/Q611),0)</f>
        <v>0</v>
      </c>
      <c r="T611">
        <f>0</f>
        <v>0</v>
      </c>
      <c r="U611"/>
      <c r="V611">
        <v>109272.9</v>
      </c>
      <c r="W611" t="s">
        <v>75</v>
      </c>
      <c r="X611"/>
    </row>
    <row r="612" spans="1:27">
      <c r="A612" t="s">
        <v>35</v>
      </c>
      <c r="B612" t="s">
        <v>29</v>
      </c>
      <c r="C612" t="s">
        <v>2212</v>
      </c>
      <c r="D612" t="s">
        <v>2213</v>
      </c>
      <c r="E612" t="s">
        <v>2214</v>
      </c>
      <c r="F612" t="s">
        <v>41</v>
      </c>
      <c r="G612">
        <v>0</v>
      </c>
      <c r="H612">
        <f>((0/1000) * G612)</f>
        <v>0</v>
      </c>
      <c r="I612">
        <v>0</v>
      </c>
      <c r="J612">
        <v>0</v>
      </c>
      <c r="K612" s="2423">
        <v>197786.46</v>
      </c>
      <c r="L612" s="2424">
        <f>(K612 * G612)</f>
        <v>0</v>
      </c>
      <c r="M612" s="2425">
        <v>217565.11</v>
      </c>
      <c r="N612" s="2426">
        <f>(G612 * M612)</f>
        <v>0</v>
      </c>
      <c r="O612">
        <v>0</v>
      </c>
      <c r="P612">
        <v>0</v>
      </c>
      <c r="Q612">
        <f>IF(O612&gt;G612,(O612-G612),0)</f>
        <v>0</v>
      </c>
      <c r="R612">
        <v>1</v>
      </c>
      <c r="S612">
        <f>IF(Q612&gt;0,Int(P612/Q612),0)</f>
        <v>0</v>
      </c>
      <c r="T612">
        <f>179805.87</f>
        <v>179805.87</v>
      </c>
      <c r="U612" t="s">
        <v>2215</v>
      </c>
      <c r="V612">
        <v>197786.46</v>
      </c>
      <c r="W612" t="s">
        <v>43</v>
      </c>
      <c r="X612"/>
    </row>
    <row r="613" spans="1:27">
      <c r="A613" t="s">
        <v>28</v>
      </c>
      <c r="B613" t="s">
        <v>29</v>
      </c>
      <c r="C613" t="s">
        <v>2216</v>
      </c>
      <c r="D613" t="s">
        <v>2217</v>
      </c>
      <c r="E613" t="s">
        <v>2218</v>
      </c>
      <c r="F613" t="s">
        <v>41</v>
      </c>
      <c r="G613">
        <v>0</v>
      </c>
      <c r="H613">
        <f>((0/1000) * G613)</f>
        <v>0</v>
      </c>
      <c r="I613">
        <v>0</v>
      </c>
      <c r="J613">
        <v>0</v>
      </c>
      <c r="K613" s="2427">
        <v>108909.09</v>
      </c>
      <c r="L613" s="2428">
        <f>(K613 * G613)</f>
        <v>0</v>
      </c>
      <c r="M613" s="2429">
        <v>152472.73</v>
      </c>
      <c r="N613" s="2430">
        <f>(G613 * M613)</f>
        <v>0</v>
      </c>
      <c r="O613">
        <v>0</v>
      </c>
      <c r="P613">
        <v>0</v>
      </c>
      <c r="Q613">
        <f>IF(O613&gt;G613,(O613-G613),0)</f>
        <v>0</v>
      </c>
      <c r="R613">
        <v>1</v>
      </c>
      <c r="S613">
        <f>IF(Q613&gt;0,Int(P613/Q613),0)</f>
        <v>0</v>
      </c>
      <c r="T613">
        <f>56942.15</f>
        <v>56942.15</v>
      </c>
      <c r="U613" t="s">
        <v>2219</v>
      </c>
      <c r="V613">
        <v>108909.09</v>
      </c>
      <c r="W613" t="s">
        <v>75</v>
      </c>
      <c r="X613"/>
    </row>
    <row r="614" spans="1:27">
      <c r="A614" t="s">
        <v>28</v>
      </c>
      <c r="B614" t="s">
        <v>29</v>
      </c>
      <c r="C614" t="s">
        <v>2220</v>
      </c>
      <c r="D614" t="s">
        <v>2221</v>
      </c>
      <c r="E614" t="s">
        <v>2222</v>
      </c>
      <c r="F614" t="s">
        <v>33</v>
      </c>
      <c r="G614">
        <v>0</v>
      </c>
      <c r="H614">
        <f>((0/1000) * G614)</f>
        <v>0</v>
      </c>
      <c r="I614">
        <v>0</v>
      </c>
      <c r="J614">
        <v>0</v>
      </c>
      <c r="K614" s="2431">
        <v>125354.12</v>
      </c>
      <c r="L614" s="2432">
        <f>(K614 * G614)</f>
        <v>0</v>
      </c>
      <c r="M614" s="2433">
        <v>175495.76</v>
      </c>
      <c r="N614" s="2434">
        <f>(G614 * M614)</f>
        <v>0</v>
      </c>
      <c r="O614">
        <v>0</v>
      </c>
      <c r="P614">
        <v>0</v>
      </c>
      <c r="Q614">
        <f>IF(O614&gt;G614,(O614-G614),0)</f>
        <v>0</v>
      </c>
      <c r="R614">
        <v>1</v>
      </c>
      <c r="S614">
        <f>IF(Q614&gt;0,Int(P614/Q614),0)</f>
        <v>0</v>
      </c>
      <c r="T614">
        <f>125354.12</f>
        <v>125354.12</v>
      </c>
      <c r="U614" t="s">
        <v>2223</v>
      </c>
      <c r="V614">
        <v>125354.12</v>
      </c>
      <c r="W614" t="s">
        <v>75</v>
      </c>
      <c r="X614"/>
    </row>
    <row r="615" spans="1:27">
      <c r="A615" t="s">
        <v>35</v>
      </c>
      <c r="B615" t="s">
        <v>29</v>
      </c>
      <c r="C615" t="s">
        <v>2224</v>
      </c>
      <c r="D615" t="s">
        <v>2225</v>
      </c>
      <c r="E615" t="s">
        <v>2226</v>
      </c>
      <c r="F615" t="s">
        <v>33</v>
      </c>
      <c r="G615">
        <v>0</v>
      </c>
      <c r="H615">
        <f>((0/1000) * G615)</f>
        <v>0</v>
      </c>
      <c r="I615">
        <v>0</v>
      </c>
      <c r="J615">
        <v>0</v>
      </c>
      <c r="K615" s="2435">
        <v>150090.91</v>
      </c>
      <c r="L615" s="2436">
        <f>(K615 * G615)</f>
        <v>0</v>
      </c>
      <c r="M615" s="2437">
        <v>210127.27</v>
      </c>
      <c r="N615" s="2438">
        <f>(G615 * M615)</f>
        <v>0</v>
      </c>
      <c r="O615">
        <v>0</v>
      </c>
      <c r="P615">
        <v>0</v>
      </c>
      <c r="Q615">
        <f>IF(O615&gt;G615,(O615-G615),0)</f>
        <v>0</v>
      </c>
      <c r="R615">
        <v>1</v>
      </c>
      <c r="S615">
        <f>IF(Q615&gt;0,Int(P615/Q615),0)</f>
        <v>0</v>
      </c>
      <c r="T615">
        <f>124042.07</f>
        <v>124042.07</v>
      </c>
      <c r="U615" t="s">
        <v>2227</v>
      </c>
      <c r="V615">
        <v>150090.91</v>
      </c>
      <c r="W615" t="s">
        <v>75</v>
      </c>
      <c r="X615" t="s">
        <v>687</v>
      </c>
    </row>
    <row r="616" spans="1:27">
      <c r="A616" t="s">
        <v>35</v>
      </c>
      <c r="B616" t="s">
        <v>29</v>
      </c>
      <c r="C616" t="s">
        <v>2228</v>
      </c>
      <c r="D616" t="s">
        <v>2229</v>
      </c>
      <c r="E616" t="s">
        <v>2230</v>
      </c>
      <c r="F616" t="s">
        <v>33</v>
      </c>
      <c r="G616">
        <v>0</v>
      </c>
      <c r="H616">
        <f>((0/1000) * G616)</f>
        <v>0</v>
      </c>
      <c r="I616">
        <v>0</v>
      </c>
      <c r="J616">
        <v>0</v>
      </c>
      <c r="K616" s="2439">
        <v>0</v>
      </c>
      <c r="L616" s="2440">
        <f>(K616 * G616)</f>
        <v>0</v>
      </c>
      <c r="M616" s="2441">
        <v>0</v>
      </c>
      <c r="N616" s="2442">
        <f>(G616 * M616)</f>
        <v>0</v>
      </c>
      <c r="O616">
        <v>0</v>
      </c>
      <c r="P616">
        <v>0</v>
      </c>
      <c r="Q616">
        <f>IF(O616&gt;G616,(O616-G616),0)</f>
        <v>0</v>
      </c>
      <c r="R616">
        <v>1</v>
      </c>
      <c r="S616">
        <f>IF(Q616&gt;0,Int(P616/Q616),0)</f>
        <v>0</v>
      </c>
      <c r="T616">
        <f>0</f>
        <v>0</v>
      </c>
      <c r="U616"/>
      <c r="V616">
        <v>0</v>
      </c>
      <c r="W616">
        <v>0</v>
      </c>
      <c r="X616"/>
    </row>
    <row r="617" spans="1:27">
      <c r="A617" t="s">
        <v>35</v>
      </c>
      <c r="B617" t="s">
        <v>29</v>
      </c>
      <c r="C617" t="s">
        <v>2231</v>
      </c>
      <c r="D617" t="s">
        <v>2232</v>
      </c>
      <c r="E617" t="s">
        <v>2233</v>
      </c>
      <c r="F617" t="s">
        <v>41</v>
      </c>
      <c r="G617">
        <v>2</v>
      </c>
      <c r="H617">
        <f>((0/1000) * G617)</f>
        <v>0</v>
      </c>
      <c r="I617">
        <v>0</v>
      </c>
      <c r="J617">
        <v>2</v>
      </c>
      <c r="K617" s="2443">
        <v>218760.33</v>
      </c>
      <c r="L617" s="2444">
        <f>(K617 * G617)</f>
        <v>437520.66</v>
      </c>
      <c r="M617" s="2445">
        <v>240636.37</v>
      </c>
      <c r="N617" s="2446">
        <f>(G617 * M617)</f>
        <v>481272.74</v>
      </c>
      <c r="O617">
        <v>0</v>
      </c>
      <c r="P617">
        <v>0</v>
      </c>
      <c r="Q617">
        <f>IF(O617&gt;G617,(O617-G617),0)</f>
        <v>0</v>
      </c>
      <c r="R617">
        <v>1</v>
      </c>
      <c r="S617">
        <f>IF(Q617&gt;0,Int(P617/Q617),0)</f>
        <v>0</v>
      </c>
      <c r="T617">
        <f>117693.61</f>
        <v>117693.61</v>
      </c>
      <c r="U617" t="s">
        <v>601</v>
      </c>
      <c r="V617">
        <v>218760.33</v>
      </c>
      <c r="W617" t="s">
        <v>80</v>
      </c>
      <c r="X617" t="s">
        <v>81</v>
      </c>
    </row>
    <row r="618" spans="1:27">
      <c r="A618" t="s">
        <v>35</v>
      </c>
      <c r="B618" t="s">
        <v>29</v>
      </c>
      <c r="C618" t="s">
        <v>2234</v>
      </c>
      <c r="D618" t="s">
        <v>2234</v>
      </c>
      <c r="E618" t="s">
        <v>2235</v>
      </c>
      <c r="F618" t="s">
        <v>33</v>
      </c>
      <c r="G618">
        <v>0</v>
      </c>
      <c r="H618">
        <f>((1/1000) * G618)</f>
        <v>0</v>
      </c>
      <c r="I618">
        <v>0</v>
      </c>
      <c r="J618">
        <v>0</v>
      </c>
      <c r="K618" s="2447">
        <v>0</v>
      </c>
      <c r="L618" s="2448">
        <f>(K618 * G618)</f>
        <v>0</v>
      </c>
      <c r="M618" s="2449">
        <v>0</v>
      </c>
      <c r="N618" s="2450">
        <f>(G618 * M618)</f>
        <v>0</v>
      </c>
      <c r="O618">
        <v>0</v>
      </c>
      <c r="P618">
        <v>0</v>
      </c>
      <c r="Q618">
        <f>IF(O618&gt;G618,(O618-G618),0)</f>
        <v>0</v>
      </c>
      <c r="R618">
        <v>0</v>
      </c>
      <c r="S618">
        <f>IF(Q618&gt;0,Int(P618/Q618),0)</f>
        <v>0</v>
      </c>
      <c r="T618">
        <f>0</f>
        <v>0</v>
      </c>
      <c r="U618" t="s">
        <v>2236</v>
      </c>
      <c r="V618">
        <v>0</v>
      </c>
      <c r="W618">
        <v>0</v>
      </c>
      <c r="X618"/>
    </row>
    <row r="619" spans="1:27">
      <c r="A619" t="s">
        <v>35</v>
      </c>
      <c r="B619" t="s">
        <v>29</v>
      </c>
      <c r="C619" t="s">
        <v>2237</v>
      </c>
      <c r="D619" t="s">
        <v>2237</v>
      </c>
      <c r="E619" t="s">
        <v>2238</v>
      </c>
      <c r="F619" t="s">
        <v>33</v>
      </c>
      <c r="G619">
        <v>0</v>
      </c>
      <c r="H619">
        <f>((1/1000) * G619)</f>
        <v>0</v>
      </c>
      <c r="I619">
        <v>0</v>
      </c>
      <c r="J619">
        <v>0</v>
      </c>
      <c r="K619" s="2451">
        <v>0</v>
      </c>
      <c r="L619" s="2452">
        <f>(K619 * G619)</f>
        <v>0</v>
      </c>
      <c r="M619" s="2453">
        <v>0</v>
      </c>
      <c r="N619" s="2454">
        <f>(G619 * M619)</f>
        <v>0</v>
      </c>
      <c r="O619">
        <v>0</v>
      </c>
      <c r="P619">
        <v>0</v>
      </c>
      <c r="Q619">
        <f>IF(O619&gt;G619,(O619-G619),0)</f>
        <v>0</v>
      </c>
      <c r="R619">
        <v>0</v>
      </c>
      <c r="S619">
        <f>IF(Q619&gt;0,Int(P619/Q619),0)</f>
        <v>0</v>
      </c>
      <c r="T619">
        <f>0</f>
        <v>0</v>
      </c>
      <c r="U619" t="s">
        <v>413</v>
      </c>
      <c r="V619">
        <v>0</v>
      </c>
      <c r="W619">
        <v>0</v>
      </c>
      <c r="X619"/>
    </row>
    <row r="620" spans="1:27">
      <c r="A620" t="s">
        <v>35</v>
      </c>
      <c r="B620" t="s">
        <v>29</v>
      </c>
      <c r="C620" t="s">
        <v>2239</v>
      </c>
      <c r="D620" t="s">
        <v>2240</v>
      </c>
      <c r="E620" t="s">
        <v>2241</v>
      </c>
      <c r="F620" t="s">
        <v>41</v>
      </c>
      <c r="G620">
        <v>0</v>
      </c>
      <c r="H620">
        <f>((0/1000) * G620)</f>
        <v>0</v>
      </c>
      <c r="I620">
        <v>0</v>
      </c>
      <c r="J620">
        <v>0</v>
      </c>
      <c r="K620" s="2455">
        <v>0</v>
      </c>
      <c r="L620" s="2456">
        <f>(K620 * G620)</f>
        <v>0</v>
      </c>
      <c r="M620" s="2457">
        <v>0</v>
      </c>
      <c r="N620" s="2458">
        <f>(G620 * M620)</f>
        <v>0</v>
      </c>
      <c r="O620">
        <v>0</v>
      </c>
      <c r="P620">
        <v>0</v>
      </c>
      <c r="Q620">
        <f>IF(O620&gt;G620,(O620-G620),0)</f>
        <v>0</v>
      </c>
      <c r="R620">
        <v>1</v>
      </c>
      <c r="S620">
        <f>IF(Q620&gt;0,Int(P620/Q620),0)</f>
        <v>0</v>
      </c>
      <c r="T620">
        <f>164988.73</f>
        <v>164988.73</v>
      </c>
      <c r="U620" t="s">
        <v>1390</v>
      </c>
      <c r="V620">
        <v>0</v>
      </c>
      <c r="W620">
        <v>0</v>
      </c>
      <c r="X620"/>
    </row>
    <row r="621" spans="1:27">
      <c r="A621" t="s">
        <v>35</v>
      </c>
      <c r="B621" t="s">
        <v>29</v>
      </c>
      <c r="C621" t="s">
        <v>2242</v>
      </c>
      <c r="D621" t="s">
        <v>2243</v>
      </c>
      <c r="E621" t="s">
        <v>2244</v>
      </c>
      <c r="F621" t="s">
        <v>41</v>
      </c>
      <c r="G621">
        <v>0</v>
      </c>
      <c r="H621">
        <f>((0/1000) * G621)</f>
        <v>0</v>
      </c>
      <c r="I621">
        <v>0</v>
      </c>
      <c r="J621">
        <v>0</v>
      </c>
      <c r="K621" s="2459">
        <v>330060.68</v>
      </c>
      <c r="L621" s="2460">
        <f>(K621 * G621)</f>
        <v>0</v>
      </c>
      <c r="M621" s="2461">
        <v>462084.95</v>
      </c>
      <c r="N621" s="2462">
        <f>(G621 * M621)</f>
        <v>0</v>
      </c>
      <c r="O621">
        <v>0</v>
      </c>
      <c r="P621">
        <v>0</v>
      </c>
      <c r="Q621">
        <f>IF(O621&gt;G621,(O621-G621),0)</f>
        <v>0</v>
      </c>
      <c r="R621">
        <v>1</v>
      </c>
      <c r="S621">
        <f>IF(Q621&gt;0,Int(P621/Q621),0)</f>
        <v>0</v>
      </c>
      <c r="T621">
        <f>0</f>
        <v>0</v>
      </c>
      <c r="U621"/>
      <c r="V621">
        <v>330060.68</v>
      </c>
      <c r="W621" t="s">
        <v>75</v>
      </c>
      <c r="X621"/>
    </row>
    <row r="622" spans="1:27">
      <c r="A622" t="s">
        <v>28</v>
      </c>
      <c r="B622" t="s">
        <v>29</v>
      </c>
      <c r="C622" t="s">
        <v>2245</v>
      </c>
      <c r="D622" t="s">
        <v>2246</v>
      </c>
      <c r="E622" t="s">
        <v>2247</v>
      </c>
      <c r="F622" t="s">
        <v>33</v>
      </c>
      <c r="G622">
        <v>0</v>
      </c>
      <c r="H622">
        <f>((0/1000) * G622)</f>
        <v>0</v>
      </c>
      <c r="I622">
        <v>0</v>
      </c>
      <c r="J622">
        <v>0</v>
      </c>
      <c r="K622" s="2463">
        <v>254411.23</v>
      </c>
      <c r="L622" s="2464">
        <f>(K622 * G622)</f>
        <v>0</v>
      </c>
      <c r="M622" s="2465">
        <v>356175.73</v>
      </c>
      <c r="N622" s="2466">
        <f>(G622 * M622)</f>
        <v>0</v>
      </c>
      <c r="O622">
        <v>0</v>
      </c>
      <c r="P622">
        <v>0</v>
      </c>
      <c r="Q622">
        <f>IF(O622&gt;G622,(O622-G622),0)</f>
        <v>0</v>
      </c>
      <c r="R622">
        <v>1</v>
      </c>
      <c r="S622">
        <f>IF(Q622&gt;0,Int(P622/Q622),0)</f>
        <v>0</v>
      </c>
      <c r="T622">
        <f>0</f>
        <v>0</v>
      </c>
      <c r="U622"/>
      <c r="V622">
        <v>254411.23</v>
      </c>
      <c r="W622" t="s">
        <v>182</v>
      </c>
      <c r="X622"/>
    </row>
    <row r="623" spans="1:27">
      <c r="A623" t="s">
        <v>35</v>
      </c>
      <c r="B623" t="s">
        <v>29</v>
      </c>
      <c r="C623" t="s">
        <v>2248</v>
      </c>
      <c r="D623" t="s">
        <v>2249</v>
      </c>
      <c r="E623" t="s">
        <v>2250</v>
      </c>
      <c r="F623" t="s">
        <v>41</v>
      </c>
      <c r="G623">
        <v>0</v>
      </c>
      <c r="H623">
        <f>((0/1000) * G623)</f>
        <v>0</v>
      </c>
      <c r="I623">
        <v>0</v>
      </c>
      <c r="J623">
        <v>0</v>
      </c>
      <c r="K623" s="2467">
        <v>242879.02</v>
      </c>
      <c r="L623" s="2468">
        <f>(K623 * G623)</f>
        <v>0</v>
      </c>
      <c r="M623" s="2469">
        <v>340030.62</v>
      </c>
      <c r="N623" s="2470">
        <f>(G623 * M623)</f>
        <v>0</v>
      </c>
      <c r="O623">
        <v>0</v>
      </c>
      <c r="P623">
        <v>0</v>
      </c>
      <c r="Q623">
        <f>IF(O623&gt;G623,(O623-G623),0)</f>
        <v>0</v>
      </c>
      <c r="R623">
        <v>1</v>
      </c>
      <c r="S623">
        <f>IF(Q623&gt;0,Int(P623/Q623),0)</f>
        <v>0</v>
      </c>
      <c r="T623">
        <f>127047.33</f>
        <v>127047.33</v>
      </c>
      <c r="U623" t="s">
        <v>2251</v>
      </c>
      <c r="V623">
        <v>242879.02</v>
      </c>
      <c r="W623" t="s">
        <v>182</v>
      </c>
      <c r="X623"/>
    </row>
    <row r="624" spans="1:27">
      <c r="A624" t="s">
        <v>35</v>
      </c>
      <c r="B624" t="s">
        <v>29</v>
      </c>
      <c r="C624" t="s">
        <v>2252</v>
      </c>
      <c r="D624" t="s">
        <v>2253</v>
      </c>
      <c r="E624" t="s">
        <v>2254</v>
      </c>
      <c r="F624" t="s">
        <v>33</v>
      </c>
      <c r="G624">
        <v>0</v>
      </c>
      <c r="H624">
        <f>((0/1000) * G624)</f>
        <v>0</v>
      </c>
      <c r="I624">
        <v>0</v>
      </c>
      <c r="J624">
        <v>0</v>
      </c>
      <c r="K624" s="2471">
        <v>121200.67</v>
      </c>
      <c r="L624" s="2472">
        <f>(K624 * G624)</f>
        <v>0</v>
      </c>
      <c r="M624" s="2473">
        <v>169680.94</v>
      </c>
      <c r="N624" s="2474">
        <f>(G624 * M624)</f>
        <v>0</v>
      </c>
      <c r="O624">
        <v>0</v>
      </c>
      <c r="P624">
        <v>0</v>
      </c>
      <c r="Q624">
        <f>IF(O624&gt;G624,(O624-G624),0)</f>
        <v>0</v>
      </c>
      <c r="R624">
        <v>0</v>
      </c>
      <c r="S624">
        <f>IF(Q624&gt;0,Int(P624/Q624),0)</f>
        <v>0</v>
      </c>
      <c r="T624">
        <f>121200.67</f>
        <v>121200.67</v>
      </c>
      <c r="U624" t="s">
        <v>2255</v>
      </c>
      <c r="V624">
        <v>121200.67</v>
      </c>
      <c r="W624" t="s">
        <v>148</v>
      </c>
      <c r="X624"/>
    </row>
    <row r="625" spans="1:27">
      <c r="A625" t="s">
        <v>35</v>
      </c>
      <c r="B625" t="s">
        <v>29</v>
      </c>
      <c r="C625" t="s">
        <v>2256</v>
      </c>
      <c r="D625" t="s">
        <v>2256</v>
      </c>
      <c r="E625" t="s">
        <v>2257</v>
      </c>
      <c r="F625" t="s">
        <v>33</v>
      </c>
      <c r="G625">
        <v>0</v>
      </c>
      <c r="H625">
        <f>((1/1000) * G625)</f>
        <v>0</v>
      </c>
      <c r="I625">
        <v>0</v>
      </c>
      <c r="J625">
        <v>0</v>
      </c>
      <c r="K625" s="2475">
        <v>0</v>
      </c>
      <c r="L625" s="2476">
        <f>(K625 * G625)</f>
        <v>0</v>
      </c>
      <c r="M625" s="2477">
        <v>0</v>
      </c>
      <c r="N625" s="2478">
        <f>(G625 * M625)</f>
        <v>0</v>
      </c>
      <c r="O625">
        <v>0</v>
      </c>
      <c r="P625">
        <v>0</v>
      </c>
      <c r="Q625">
        <f>IF(O625&gt;G625,(O625-G625),0)</f>
        <v>0</v>
      </c>
      <c r="R625">
        <v>0</v>
      </c>
      <c r="S625">
        <f>IF(Q625&gt;0,Int(P625/Q625),0)</f>
        <v>0</v>
      </c>
      <c r="T625">
        <f>0</f>
        <v>0</v>
      </c>
      <c r="U625"/>
      <c r="V625">
        <v>0</v>
      </c>
      <c r="W625">
        <v>0</v>
      </c>
      <c r="X625"/>
    </row>
    <row r="626" spans="1:27">
      <c r="A626" t="s">
        <v>35</v>
      </c>
      <c r="B626" t="s">
        <v>29</v>
      </c>
      <c r="C626" t="s">
        <v>2258</v>
      </c>
      <c r="D626" t="s">
        <v>2259</v>
      </c>
      <c r="E626" t="s">
        <v>2260</v>
      </c>
      <c r="F626" t="s">
        <v>33</v>
      </c>
      <c r="G626">
        <v>0</v>
      </c>
      <c r="H626">
        <f>((0/1000) * G626)</f>
        <v>0</v>
      </c>
      <c r="I626">
        <v>0</v>
      </c>
      <c r="J626">
        <v>0</v>
      </c>
      <c r="K626" s="2479">
        <v>251545.46</v>
      </c>
      <c r="L626" s="2480">
        <f>(K626 * G626)</f>
        <v>0</v>
      </c>
      <c r="M626" s="2481">
        <v>352163.64</v>
      </c>
      <c r="N626" s="2482">
        <f>(G626 * M626)</f>
        <v>0</v>
      </c>
      <c r="O626">
        <v>0</v>
      </c>
      <c r="P626">
        <v>0</v>
      </c>
      <c r="Q626">
        <f>IF(O626&gt;G626,(O626-G626),0)</f>
        <v>0</v>
      </c>
      <c r="R626">
        <v>1</v>
      </c>
      <c r="S626">
        <f>IF(Q626&gt;0,Int(P626/Q626),0)</f>
        <v>0</v>
      </c>
      <c r="T626">
        <f>207888.81</f>
        <v>207888.81</v>
      </c>
      <c r="U626" t="s">
        <v>2261</v>
      </c>
      <c r="V626">
        <v>251545.46</v>
      </c>
      <c r="W626" t="s">
        <v>75</v>
      </c>
      <c r="X626"/>
    </row>
    <row r="627" spans="1:27">
      <c r="A627" t="s">
        <v>35</v>
      </c>
      <c r="B627" t="s">
        <v>29</v>
      </c>
      <c r="C627" t="s">
        <v>2262</v>
      </c>
      <c r="D627" t="s">
        <v>2263</v>
      </c>
      <c r="E627" t="s">
        <v>2264</v>
      </c>
      <c r="F627" t="s">
        <v>33</v>
      </c>
      <c r="G627">
        <v>0</v>
      </c>
      <c r="H627">
        <f>((0/1000) * G627)</f>
        <v>0</v>
      </c>
      <c r="I627">
        <v>0</v>
      </c>
      <c r="J627">
        <v>0</v>
      </c>
      <c r="K627" s="2483">
        <v>195508.82</v>
      </c>
      <c r="L627" s="2484">
        <f>(K627 * G627)</f>
        <v>0</v>
      </c>
      <c r="M627" s="2485">
        <v>273712.35</v>
      </c>
      <c r="N627" s="2486">
        <f>(G627 * M627)</f>
        <v>0</v>
      </c>
      <c r="O627">
        <v>0</v>
      </c>
      <c r="P627">
        <v>0</v>
      </c>
      <c r="Q627">
        <f>IF(O627&gt;G627,(O627-G627),0)</f>
        <v>0</v>
      </c>
      <c r="R627">
        <v>1</v>
      </c>
      <c r="S627">
        <f>IF(Q627&gt;0,Int(P627/Q627),0)</f>
        <v>0</v>
      </c>
      <c r="T627">
        <f>206251.9</f>
        <v>206251.9</v>
      </c>
      <c r="U627" t="s">
        <v>2265</v>
      </c>
      <c r="V627">
        <v>195508.82</v>
      </c>
      <c r="W627" t="s">
        <v>182</v>
      </c>
      <c r="X627"/>
    </row>
    <row r="628" spans="1:27">
      <c r="A628" t="s">
        <v>35</v>
      </c>
      <c r="B628" t="s">
        <v>29</v>
      </c>
      <c r="C628" t="s">
        <v>2266</v>
      </c>
      <c r="D628" t="s">
        <v>2267</v>
      </c>
      <c r="E628" t="s">
        <v>2268</v>
      </c>
      <c r="F628" t="s">
        <v>41</v>
      </c>
      <c r="G628">
        <v>0</v>
      </c>
      <c r="H628">
        <f>((1/1000) * G628)</f>
        <v>0</v>
      </c>
      <c r="I628">
        <v>0</v>
      </c>
      <c r="J628">
        <v>0</v>
      </c>
      <c r="K628" s="2487">
        <v>190793.64</v>
      </c>
      <c r="L628" s="2488">
        <f>(K628 * G628)</f>
        <v>0</v>
      </c>
      <c r="M628" s="2489">
        <v>190793.64</v>
      </c>
      <c r="N628" s="2490">
        <f>(G628 * M628)</f>
        <v>0</v>
      </c>
      <c r="O628">
        <v>0</v>
      </c>
      <c r="P628">
        <v>0</v>
      </c>
      <c r="Q628">
        <f>IF(O628&gt;G628,(O628-G628),0)</f>
        <v>0</v>
      </c>
      <c r="R628">
        <v>1</v>
      </c>
      <c r="S628">
        <f>IF(Q628&gt;0,Int(P628/Q628),0)</f>
        <v>0</v>
      </c>
      <c r="T628">
        <f>149635.28</f>
        <v>149635.28</v>
      </c>
      <c r="U628" t="s">
        <v>2269</v>
      </c>
      <c r="V628">
        <v>190793.64</v>
      </c>
      <c r="W628" t="s">
        <v>43</v>
      </c>
      <c r="X628"/>
    </row>
    <row r="629" spans="1:27">
      <c r="A629" t="s">
        <v>35</v>
      </c>
      <c r="B629" t="s">
        <v>29</v>
      </c>
      <c r="C629" t="s">
        <v>2270</v>
      </c>
      <c r="D629" t="s">
        <v>2271</v>
      </c>
      <c r="E629" t="s">
        <v>2272</v>
      </c>
      <c r="F629" t="s">
        <v>41</v>
      </c>
      <c r="G629">
        <v>0</v>
      </c>
      <c r="H629">
        <f>((0/1000) * G629)</f>
        <v>0</v>
      </c>
      <c r="I629">
        <v>0</v>
      </c>
      <c r="J629">
        <v>0</v>
      </c>
      <c r="K629" s="2491">
        <v>187089.86</v>
      </c>
      <c r="L629" s="2492">
        <f>(K629 * G629)</f>
        <v>0</v>
      </c>
      <c r="M629" s="2493">
        <v>261925.8</v>
      </c>
      <c r="N629" s="2494">
        <f>(G629 * M629)</f>
        <v>0</v>
      </c>
      <c r="O629">
        <v>0</v>
      </c>
      <c r="P629">
        <v>0</v>
      </c>
      <c r="Q629">
        <f>IF(O629&gt;G629,(O629-G629),0)</f>
        <v>0</v>
      </c>
      <c r="R629">
        <v>1</v>
      </c>
      <c r="S629">
        <f>IF(Q629&gt;0,Int(P629/Q629),0)</f>
        <v>0</v>
      </c>
      <c r="T629">
        <f>165714.81</f>
        <v>165714.81</v>
      </c>
      <c r="U629" t="s">
        <v>2273</v>
      </c>
      <c r="V629">
        <v>187089.86</v>
      </c>
      <c r="W629" t="s">
        <v>182</v>
      </c>
      <c r="X629"/>
    </row>
    <row r="630" spans="1:27">
      <c r="A630" t="s">
        <v>28</v>
      </c>
      <c r="B630" t="s">
        <v>29</v>
      </c>
      <c r="C630" t="s">
        <v>2274</v>
      </c>
      <c r="D630" t="s">
        <v>2275</v>
      </c>
      <c r="E630" t="s">
        <v>2276</v>
      </c>
      <c r="F630" t="s">
        <v>33</v>
      </c>
      <c r="G630">
        <v>0</v>
      </c>
      <c r="H630">
        <f>((0/1000) * G630)</f>
        <v>0</v>
      </c>
      <c r="I630">
        <v>0</v>
      </c>
      <c r="J630">
        <v>0</v>
      </c>
      <c r="K630" s="2495">
        <v>95778.57</v>
      </c>
      <c r="L630" s="2496">
        <f>(K630 * G630)</f>
        <v>0</v>
      </c>
      <c r="M630" s="2497">
        <v>134090</v>
      </c>
      <c r="N630" s="2498">
        <f>(G630 * M630)</f>
        <v>0</v>
      </c>
      <c r="O630">
        <v>0</v>
      </c>
      <c r="P630">
        <v>0</v>
      </c>
      <c r="Q630">
        <f>IF(O630&gt;G630,(O630-G630),0)</f>
        <v>0</v>
      </c>
      <c r="R630">
        <v>1</v>
      </c>
      <c r="S630">
        <f>IF(Q630&gt;0,Int(P630/Q630),0)</f>
        <v>0</v>
      </c>
      <c r="T630">
        <f>0</f>
        <v>0</v>
      </c>
      <c r="U630"/>
      <c r="V630">
        <v>95778.57</v>
      </c>
      <c r="W630" t="s">
        <v>301</v>
      </c>
      <c r="X630"/>
    </row>
    <row r="631" spans="1:27">
      <c r="A631" t="s">
        <v>35</v>
      </c>
      <c r="B631" t="s">
        <v>29</v>
      </c>
      <c r="C631" t="s">
        <v>2277</v>
      </c>
      <c r="D631" t="s">
        <v>2278</v>
      </c>
      <c r="E631" t="s">
        <v>2279</v>
      </c>
      <c r="F631" t="s">
        <v>41</v>
      </c>
      <c r="G631">
        <v>1</v>
      </c>
      <c r="H631">
        <f>((0/1000) * G631)</f>
        <v>0</v>
      </c>
      <c r="I631">
        <v>0</v>
      </c>
      <c r="J631">
        <v>1</v>
      </c>
      <c r="K631" s="2499">
        <v>94735</v>
      </c>
      <c r="L631" s="2500">
        <f>(K631 * G631)</f>
        <v>94735</v>
      </c>
      <c r="M631" s="2501">
        <v>142102.5</v>
      </c>
      <c r="N631" s="2502">
        <f>(G631 * M631)</f>
        <v>142102.5</v>
      </c>
      <c r="O631">
        <v>0</v>
      </c>
      <c r="P631">
        <v>0</v>
      </c>
      <c r="Q631">
        <f>IF(O631&gt;G631,(O631-G631),0)</f>
        <v>0</v>
      </c>
      <c r="R631">
        <v>1</v>
      </c>
      <c r="S631">
        <f>IF(Q631&gt;0,Int(P631/Q631),0)</f>
        <v>0</v>
      </c>
      <c r="T631">
        <f>94735</f>
        <v>94735</v>
      </c>
      <c r="U631" t="s">
        <v>2280</v>
      </c>
      <c r="V631">
        <v>94735</v>
      </c>
      <c r="W631" t="s">
        <v>144</v>
      </c>
      <c r="X631"/>
    </row>
    <row r="632" spans="1:27">
      <c r="A632" t="s">
        <v>28</v>
      </c>
      <c r="B632" t="s">
        <v>29</v>
      </c>
      <c r="C632" t="s">
        <v>2281</v>
      </c>
      <c r="D632" t="s">
        <v>2282</v>
      </c>
      <c r="E632" t="s">
        <v>2283</v>
      </c>
      <c r="F632" t="s">
        <v>33</v>
      </c>
      <c r="G632">
        <v>0</v>
      </c>
      <c r="H632">
        <f>((0/1000) * G632)</f>
        <v>0</v>
      </c>
      <c r="I632">
        <v>0</v>
      </c>
      <c r="J632">
        <v>0</v>
      </c>
      <c r="K632" s="2503">
        <v>97564.97</v>
      </c>
      <c r="L632" s="2504">
        <f>(K632 * G632)</f>
        <v>0</v>
      </c>
      <c r="M632" s="2505">
        <v>136590.96</v>
      </c>
      <c r="N632" s="2506">
        <f>(G632 * M632)</f>
        <v>0</v>
      </c>
      <c r="O632">
        <v>0</v>
      </c>
      <c r="P632">
        <v>0</v>
      </c>
      <c r="Q632">
        <f>IF(O632&gt;G632,(O632-G632),0)</f>
        <v>0</v>
      </c>
      <c r="R632">
        <v>0</v>
      </c>
      <c r="S632">
        <f>IF(Q632&gt;0,Int(P632/Q632),0)</f>
        <v>0</v>
      </c>
      <c r="T632">
        <f>0</f>
        <v>0</v>
      </c>
      <c r="U632"/>
      <c r="V632">
        <v>97564.97</v>
      </c>
      <c r="W632" t="s">
        <v>148</v>
      </c>
      <c r="X632"/>
    </row>
    <row r="633" spans="1:27">
      <c r="A633" t="s">
        <v>35</v>
      </c>
      <c r="B633" t="s">
        <v>29</v>
      </c>
      <c r="C633" t="s">
        <v>2284</v>
      </c>
      <c r="D633" t="s">
        <v>2285</v>
      </c>
      <c r="E633" t="s">
        <v>2286</v>
      </c>
      <c r="F633" t="s">
        <v>41</v>
      </c>
      <c r="G633">
        <v>0</v>
      </c>
      <c r="H633">
        <f>((0/1000) * G633)</f>
        <v>0</v>
      </c>
      <c r="I633">
        <v>0</v>
      </c>
      <c r="J633">
        <v>0</v>
      </c>
      <c r="K633" s="2507">
        <v>105585</v>
      </c>
      <c r="L633" s="2508">
        <f>(K633 * G633)</f>
        <v>0</v>
      </c>
      <c r="M633" s="2509">
        <v>190053</v>
      </c>
      <c r="N633" s="2510">
        <f>(G633 * M633)</f>
        <v>0</v>
      </c>
      <c r="O633">
        <v>0</v>
      </c>
      <c r="P633">
        <v>0</v>
      </c>
      <c r="Q633">
        <f>IF(O633&gt;G633,(O633-G633),0)</f>
        <v>0</v>
      </c>
      <c r="R633">
        <v>1</v>
      </c>
      <c r="S633">
        <f>IF(Q633&gt;0,Int(P633/Q633),0)</f>
        <v>0</v>
      </c>
      <c r="T633">
        <f>105585</f>
        <v>105585</v>
      </c>
      <c r="U633" t="s">
        <v>422</v>
      </c>
      <c r="V633">
        <v>105585</v>
      </c>
      <c r="W633" t="s">
        <v>651</v>
      </c>
      <c r="X633"/>
    </row>
    <row r="634" spans="1:27">
      <c r="A634" t="s">
        <v>35</v>
      </c>
      <c r="B634" t="s">
        <v>29</v>
      </c>
      <c r="C634" t="s">
        <v>2287</v>
      </c>
      <c r="D634" t="s">
        <v>2288</v>
      </c>
      <c r="E634" t="s">
        <v>2289</v>
      </c>
      <c r="F634" t="s">
        <v>41</v>
      </c>
      <c r="G634">
        <v>0</v>
      </c>
      <c r="H634">
        <f>((0/1000) * G634)</f>
        <v>0</v>
      </c>
      <c r="I634">
        <v>0</v>
      </c>
      <c r="J634">
        <v>0</v>
      </c>
      <c r="K634" s="2511">
        <v>99173.55</v>
      </c>
      <c r="L634" s="2512">
        <f>(K634 * G634)</f>
        <v>0</v>
      </c>
      <c r="M634" s="2513">
        <v>109090.91</v>
      </c>
      <c r="N634" s="2514">
        <f>(G634 * M634)</f>
        <v>0</v>
      </c>
      <c r="O634">
        <v>0</v>
      </c>
      <c r="P634">
        <v>0</v>
      </c>
      <c r="Q634">
        <f>IF(O634&gt;G634,(O634-G634),0)</f>
        <v>0</v>
      </c>
      <c r="R634">
        <v>1</v>
      </c>
      <c r="S634">
        <f>IF(Q634&gt;0,Int(P634/Q634),0)</f>
        <v>0</v>
      </c>
      <c r="T634">
        <f>90157.77</f>
        <v>90157.77</v>
      </c>
      <c r="U634" t="s">
        <v>2290</v>
      </c>
      <c r="V634">
        <v>99173.55</v>
      </c>
      <c r="W634" t="s">
        <v>43</v>
      </c>
      <c r="X634"/>
    </row>
    <row r="635" spans="1:27">
      <c r="A635" t="s">
        <v>35</v>
      </c>
      <c r="B635" t="s">
        <v>29</v>
      </c>
      <c r="C635" t="s">
        <v>2291</v>
      </c>
      <c r="D635" t="s">
        <v>2292</v>
      </c>
      <c r="E635" t="s">
        <v>2293</v>
      </c>
      <c r="F635" t="s">
        <v>41</v>
      </c>
      <c r="G635">
        <v>0</v>
      </c>
      <c r="H635">
        <f>((0/1000) * G635)</f>
        <v>0</v>
      </c>
      <c r="I635">
        <v>0</v>
      </c>
      <c r="J635">
        <v>0</v>
      </c>
      <c r="K635" s="2515">
        <v>123966.94</v>
      </c>
      <c r="L635" s="2516">
        <f>(K635 * G635)</f>
        <v>0</v>
      </c>
      <c r="M635" s="2517">
        <v>136363.63</v>
      </c>
      <c r="N635" s="2518">
        <f>(G635 * M635)</f>
        <v>0</v>
      </c>
      <c r="O635">
        <v>0</v>
      </c>
      <c r="P635">
        <v>0</v>
      </c>
      <c r="Q635">
        <f>IF(O635&gt;G635,(O635-G635),0)</f>
        <v>0</v>
      </c>
      <c r="R635">
        <v>1</v>
      </c>
      <c r="S635">
        <f>IF(Q635&gt;0,Int(P635/Q635),0)</f>
        <v>0</v>
      </c>
      <c r="T635">
        <f>160105.18</f>
        <v>160105.18</v>
      </c>
      <c r="U635" t="s">
        <v>2294</v>
      </c>
      <c r="V635">
        <v>123966.94</v>
      </c>
      <c r="W635" t="s">
        <v>43</v>
      </c>
      <c r="X635"/>
    </row>
    <row r="636" spans="1:27">
      <c r="A636" t="s">
        <v>35</v>
      </c>
      <c r="B636" t="s">
        <v>29</v>
      </c>
      <c r="C636" t="s">
        <v>2295</v>
      </c>
      <c r="D636" t="s">
        <v>2296</v>
      </c>
      <c r="E636" t="s">
        <v>2297</v>
      </c>
      <c r="F636" t="s">
        <v>41</v>
      </c>
      <c r="G636">
        <v>0</v>
      </c>
      <c r="H636">
        <f>((0/1000) * G636)</f>
        <v>0</v>
      </c>
      <c r="I636">
        <v>0</v>
      </c>
      <c r="J636">
        <v>0</v>
      </c>
      <c r="K636" s="2519">
        <v>88925.1</v>
      </c>
      <c r="L636" s="2520">
        <f>(K636 * G636)</f>
        <v>0</v>
      </c>
      <c r="M636" s="2521">
        <v>124495.14</v>
      </c>
      <c r="N636" s="2522">
        <f>(G636 * M636)</f>
        <v>0</v>
      </c>
      <c r="O636">
        <v>0</v>
      </c>
      <c r="P636">
        <v>0</v>
      </c>
      <c r="Q636">
        <f>IF(O636&gt;G636,(O636-G636),0)</f>
        <v>0</v>
      </c>
      <c r="R636">
        <v>1</v>
      </c>
      <c r="S636">
        <f>IF(Q636&gt;0,Int(P636/Q636),0)</f>
        <v>0</v>
      </c>
      <c r="T636">
        <f>88925.1</f>
        <v>88925.1</v>
      </c>
      <c r="U636" t="s">
        <v>2298</v>
      </c>
      <c r="V636">
        <v>88925.1</v>
      </c>
      <c r="W636" t="s">
        <v>2299</v>
      </c>
      <c r="X636" t="s">
        <v>409</v>
      </c>
    </row>
    <row r="637" spans="1:27">
      <c r="A637" t="s">
        <v>35</v>
      </c>
      <c r="B637" t="s">
        <v>29</v>
      </c>
      <c r="C637" t="s">
        <v>2300</v>
      </c>
      <c r="D637" t="s">
        <v>2301</v>
      </c>
      <c r="E637" t="s">
        <v>2302</v>
      </c>
      <c r="F637" t="s">
        <v>33</v>
      </c>
      <c r="G637">
        <v>0</v>
      </c>
      <c r="H637">
        <f>((0/1000) * G637)</f>
        <v>0</v>
      </c>
      <c r="I637">
        <v>0</v>
      </c>
      <c r="J637">
        <v>0</v>
      </c>
      <c r="K637" s="2523">
        <v>155040.19</v>
      </c>
      <c r="L637" s="2524">
        <f>(K637 * G637)</f>
        <v>0</v>
      </c>
      <c r="M637" s="2525">
        <v>217056.27</v>
      </c>
      <c r="N637" s="2526">
        <f>(G637 * M637)</f>
        <v>0</v>
      </c>
      <c r="O637">
        <v>0</v>
      </c>
      <c r="P637">
        <v>0</v>
      </c>
      <c r="Q637">
        <f>IF(O637&gt;G637,(O637-G637),0)</f>
        <v>0</v>
      </c>
      <c r="R637">
        <v>1</v>
      </c>
      <c r="S637">
        <f>IF(Q637&gt;0,Int(P637/Q637),0)</f>
        <v>0</v>
      </c>
      <c r="T637">
        <f>140945.63</f>
        <v>140945.63</v>
      </c>
      <c r="U637" t="s">
        <v>2303</v>
      </c>
      <c r="V637">
        <v>155040.19</v>
      </c>
      <c r="W637" t="s">
        <v>75</v>
      </c>
      <c r="X637"/>
    </row>
    <row r="638" spans="1:27">
      <c r="A638" t="s">
        <v>35</v>
      </c>
      <c r="B638" t="s">
        <v>29</v>
      </c>
      <c r="C638" t="s">
        <v>2304</v>
      </c>
      <c r="D638" t="s">
        <v>2305</v>
      </c>
      <c r="E638" t="s">
        <v>2306</v>
      </c>
      <c r="F638" t="s">
        <v>41</v>
      </c>
      <c r="G638">
        <v>0</v>
      </c>
      <c r="H638">
        <f>((0/1000) * G638)</f>
        <v>0</v>
      </c>
      <c r="I638">
        <v>0</v>
      </c>
      <c r="J638">
        <v>0</v>
      </c>
      <c r="K638" s="2527">
        <v>91609</v>
      </c>
      <c r="L638" s="2528">
        <f>(K638 * G638)</f>
        <v>0</v>
      </c>
      <c r="M638" s="2529">
        <v>148760.33</v>
      </c>
      <c r="N638" s="2530">
        <f>(G638 * M638)</f>
        <v>0</v>
      </c>
      <c r="O638">
        <v>0</v>
      </c>
      <c r="P638">
        <v>0</v>
      </c>
      <c r="Q638">
        <f>IF(O638&gt;G638,(O638-G638),0)</f>
        <v>0</v>
      </c>
      <c r="R638">
        <v>1</v>
      </c>
      <c r="S638">
        <f>IF(Q638&gt;0,Int(P638/Q638),0)</f>
        <v>0</v>
      </c>
      <c r="T638">
        <f>91609</f>
        <v>91609</v>
      </c>
      <c r="U638" t="s">
        <v>2307</v>
      </c>
      <c r="V638">
        <v>91609</v>
      </c>
      <c r="W638" t="s">
        <v>123</v>
      </c>
      <c r="X638"/>
    </row>
    <row r="639" spans="1:27">
      <c r="A639" t="s">
        <v>35</v>
      </c>
      <c r="B639" t="s">
        <v>29</v>
      </c>
      <c r="C639" t="s">
        <v>2308</v>
      </c>
      <c r="D639" t="s">
        <v>2308</v>
      </c>
      <c r="E639" t="s">
        <v>2309</v>
      </c>
      <c r="F639" t="s">
        <v>33</v>
      </c>
      <c r="G639">
        <v>0</v>
      </c>
      <c r="H639">
        <f>((1/1000) * G639)</f>
        <v>0</v>
      </c>
      <c r="I639">
        <v>0</v>
      </c>
      <c r="J639">
        <v>0</v>
      </c>
      <c r="K639" s="2531">
        <v>0</v>
      </c>
      <c r="L639" s="2532">
        <f>(K639 * G639)</f>
        <v>0</v>
      </c>
      <c r="M639" s="2533">
        <v>0</v>
      </c>
      <c r="N639" s="2534">
        <f>(G639 * M639)</f>
        <v>0</v>
      </c>
      <c r="O639">
        <v>0</v>
      </c>
      <c r="P639">
        <v>0</v>
      </c>
      <c r="Q639">
        <f>IF(O639&gt;G639,(O639-G639),0)</f>
        <v>0</v>
      </c>
      <c r="R639">
        <v>0</v>
      </c>
      <c r="S639">
        <f>IF(Q639&gt;0,Int(P639/Q639),0)</f>
        <v>0</v>
      </c>
      <c r="T639">
        <f>74845</f>
        <v>74845</v>
      </c>
      <c r="U639" t="s">
        <v>2310</v>
      </c>
      <c r="V639">
        <v>0</v>
      </c>
      <c r="W639">
        <v>0</v>
      </c>
      <c r="X639"/>
    </row>
    <row r="640" spans="1:27">
      <c r="A640" t="s">
        <v>35</v>
      </c>
      <c r="B640" t="s">
        <v>29</v>
      </c>
      <c r="C640" t="s">
        <v>2311</v>
      </c>
      <c r="D640" t="s">
        <v>2311</v>
      </c>
      <c r="E640" t="s">
        <v>2312</v>
      </c>
      <c r="F640" t="s">
        <v>33</v>
      </c>
      <c r="G640">
        <v>0</v>
      </c>
      <c r="H640">
        <f>((1/1000) * G640)</f>
        <v>0</v>
      </c>
      <c r="I640">
        <v>0</v>
      </c>
      <c r="J640">
        <v>0</v>
      </c>
      <c r="K640" s="2535">
        <v>0</v>
      </c>
      <c r="L640" s="2536">
        <f>(K640 * G640)</f>
        <v>0</v>
      </c>
      <c r="M640" s="2537">
        <v>0</v>
      </c>
      <c r="N640" s="2538">
        <f>(G640 * M640)</f>
        <v>0</v>
      </c>
      <c r="O640">
        <v>0</v>
      </c>
      <c r="P640">
        <v>0</v>
      </c>
      <c r="Q640">
        <f>IF(O640&gt;G640,(O640-G640),0)</f>
        <v>0</v>
      </c>
      <c r="R640">
        <v>0</v>
      </c>
      <c r="S640">
        <f>IF(Q640&gt;0,Int(P640/Q640),0)</f>
        <v>0</v>
      </c>
      <c r="T640">
        <f>0</f>
        <v>0</v>
      </c>
      <c r="U640"/>
      <c r="V640">
        <v>0</v>
      </c>
      <c r="W640">
        <v>0</v>
      </c>
      <c r="X640"/>
    </row>
    <row r="641" spans="1:27">
      <c r="A641" t="s">
        <v>35</v>
      </c>
      <c r="B641" t="s">
        <v>29</v>
      </c>
      <c r="C641" t="s">
        <v>2313</v>
      </c>
      <c r="D641" t="s">
        <v>2313</v>
      </c>
      <c r="E641" t="s">
        <v>2314</v>
      </c>
      <c r="F641" t="s">
        <v>33</v>
      </c>
      <c r="G641">
        <v>0</v>
      </c>
      <c r="H641">
        <f>((1/1000) * G641)</f>
        <v>0</v>
      </c>
      <c r="I641">
        <v>0</v>
      </c>
      <c r="J641">
        <v>0</v>
      </c>
      <c r="K641" s="2539">
        <v>0</v>
      </c>
      <c r="L641" s="2540">
        <f>(K641 * G641)</f>
        <v>0</v>
      </c>
      <c r="M641" s="2541">
        <v>0</v>
      </c>
      <c r="N641" s="2542">
        <f>(G641 * M641)</f>
        <v>0</v>
      </c>
      <c r="O641">
        <v>0</v>
      </c>
      <c r="P641">
        <v>0</v>
      </c>
      <c r="Q641">
        <f>IF(O641&gt;G641,(O641-G641),0)</f>
        <v>0</v>
      </c>
      <c r="R641">
        <v>0</v>
      </c>
      <c r="S641">
        <f>IF(Q641&gt;0,Int(P641/Q641),0)</f>
        <v>0</v>
      </c>
      <c r="T641">
        <f>0</f>
        <v>0</v>
      </c>
      <c r="U641"/>
      <c r="V641">
        <v>0</v>
      </c>
      <c r="W641">
        <v>0</v>
      </c>
      <c r="X641"/>
    </row>
    <row r="642" spans="1:27">
      <c r="A642" t="s">
        <v>35</v>
      </c>
      <c r="B642" t="s">
        <v>29</v>
      </c>
      <c r="C642" t="s">
        <v>2315</v>
      </c>
      <c r="D642" t="s">
        <v>2316</v>
      </c>
      <c r="E642" t="s">
        <v>2317</v>
      </c>
      <c r="F642" t="s">
        <v>41</v>
      </c>
      <c r="G642">
        <v>14</v>
      </c>
      <c r="H642">
        <f>((0/1000) * G642)</f>
        <v>0</v>
      </c>
      <c r="I642">
        <v>0</v>
      </c>
      <c r="J642">
        <v>14</v>
      </c>
      <c r="K642" s="2543">
        <v>78526.8</v>
      </c>
      <c r="L642" s="2544">
        <f>(K642 * G642)</f>
        <v>1099375.2</v>
      </c>
      <c r="M642" s="2545">
        <v>134545.45</v>
      </c>
      <c r="N642" s="2546">
        <f>(G642 * M642)</f>
        <v>1883636.3</v>
      </c>
      <c r="O642">
        <v>0</v>
      </c>
      <c r="P642">
        <v>0</v>
      </c>
      <c r="Q642">
        <f>IF(O642&gt;G642,(O642-G642),0)</f>
        <v>0</v>
      </c>
      <c r="R642">
        <v>1</v>
      </c>
      <c r="S642">
        <f>IF(Q642&gt;0,Int(P642/Q642),0)</f>
        <v>0</v>
      </c>
      <c r="T642">
        <f>78526.8</f>
        <v>78526.8</v>
      </c>
      <c r="U642" t="s">
        <v>1828</v>
      </c>
      <c r="V642">
        <v>78526.8</v>
      </c>
      <c r="W642" t="s">
        <v>577</v>
      </c>
      <c r="X642" t="s">
        <v>2318</v>
      </c>
    </row>
    <row r="643" spans="1:27">
      <c r="A643" t="s">
        <v>28</v>
      </c>
      <c r="B643" t="s">
        <v>29</v>
      </c>
      <c r="C643" t="s">
        <v>2319</v>
      </c>
      <c r="D643" t="s">
        <v>2320</v>
      </c>
      <c r="E643" t="s">
        <v>2321</v>
      </c>
      <c r="F643" t="s">
        <v>33</v>
      </c>
      <c r="G643">
        <v>0</v>
      </c>
      <c r="H643">
        <f>((0/1000) * G643)</f>
        <v>0</v>
      </c>
      <c r="I643">
        <v>0</v>
      </c>
      <c r="J643">
        <v>0</v>
      </c>
      <c r="K643" s="2547">
        <v>90909.08</v>
      </c>
      <c r="L643" s="2548">
        <f>(K643 * G643)</f>
        <v>0</v>
      </c>
      <c r="M643" s="2549">
        <v>127272.72</v>
      </c>
      <c r="N643" s="2550">
        <f>(G643 * M643)</f>
        <v>0</v>
      </c>
      <c r="O643">
        <v>0</v>
      </c>
      <c r="P643">
        <v>0</v>
      </c>
      <c r="Q643">
        <f>IF(O643&gt;G643,(O643-G643),0)</f>
        <v>0</v>
      </c>
      <c r="R643">
        <v>1</v>
      </c>
      <c r="S643">
        <f>IF(Q643&gt;0,Int(P643/Q643),0)</f>
        <v>0</v>
      </c>
      <c r="T643">
        <f>105184.06</f>
        <v>105184.06</v>
      </c>
      <c r="U643" t="s">
        <v>2322</v>
      </c>
      <c r="V643">
        <v>90909.08</v>
      </c>
      <c r="W643" t="s">
        <v>75</v>
      </c>
      <c r="X643"/>
    </row>
    <row r="644" spans="1:27">
      <c r="A644" t="s">
        <v>28</v>
      </c>
      <c r="B644" t="s">
        <v>29</v>
      </c>
      <c r="C644" t="s">
        <v>2323</v>
      </c>
      <c r="D644" t="s">
        <v>2324</v>
      </c>
      <c r="E644" t="s">
        <v>2325</v>
      </c>
      <c r="F644" t="s">
        <v>33</v>
      </c>
      <c r="G644">
        <v>0</v>
      </c>
      <c r="H644">
        <f>((0/1000) * G644)</f>
        <v>0</v>
      </c>
      <c r="I644">
        <v>0</v>
      </c>
      <c r="J644">
        <v>0</v>
      </c>
      <c r="K644" s="2551">
        <v>117272.73</v>
      </c>
      <c r="L644" s="2552">
        <f>(K644 * G644)</f>
        <v>0</v>
      </c>
      <c r="M644" s="2553">
        <v>164181.82</v>
      </c>
      <c r="N644" s="2554">
        <f>(G644 * M644)</f>
        <v>0</v>
      </c>
      <c r="O644">
        <v>0</v>
      </c>
      <c r="P644">
        <v>0</v>
      </c>
      <c r="Q644">
        <f>IF(O644&gt;G644,(O644-G644),0)</f>
        <v>0</v>
      </c>
      <c r="R644">
        <v>1</v>
      </c>
      <c r="S644">
        <f>IF(Q644&gt;0,Int(P644/Q644),0)</f>
        <v>0</v>
      </c>
      <c r="T644">
        <f>0</f>
        <v>0</v>
      </c>
      <c r="U644"/>
      <c r="V644">
        <v>117272.73</v>
      </c>
      <c r="W644" t="s">
        <v>75</v>
      </c>
      <c r="X644"/>
    </row>
    <row r="645" spans="1:27">
      <c r="A645" t="s">
        <v>35</v>
      </c>
      <c r="B645" t="s">
        <v>29</v>
      </c>
      <c r="C645" t="s">
        <v>2326</v>
      </c>
      <c r="D645" t="s">
        <v>2327</v>
      </c>
      <c r="E645" t="s">
        <v>2328</v>
      </c>
      <c r="F645" t="s">
        <v>33</v>
      </c>
      <c r="G645">
        <v>0</v>
      </c>
      <c r="H645">
        <f>((0/1000) * G645)</f>
        <v>0</v>
      </c>
      <c r="I645">
        <v>0</v>
      </c>
      <c r="J645">
        <v>0</v>
      </c>
      <c r="K645" s="2555">
        <v>179747.66</v>
      </c>
      <c r="L645" s="2556">
        <f>(K645 * G645)</f>
        <v>0</v>
      </c>
      <c r="M645" s="2557">
        <v>197722.42</v>
      </c>
      <c r="N645" s="2558">
        <f>(G645 * M645)</f>
        <v>0</v>
      </c>
      <c r="O645">
        <v>0</v>
      </c>
      <c r="P645">
        <v>0</v>
      </c>
      <c r="Q645">
        <f>IF(O645&gt;G645,(O645-G645),0)</f>
        <v>0</v>
      </c>
      <c r="R645">
        <v>1</v>
      </c>
      <c r="S645">
        <f>IF(Q645&gt;0,Int(P645/Q645),0)</f>
        <v>0</v>
      </c>
      <c r="T645">
        <f>68444.78</f>
        <v>68444.78</v>
      </c>
      <c r="U645" t="s">
        <v>2329</v>
      </c>
      <c r="V645">
        <v>179747.66</v>
      </c>
      <c r="W645" t="s">
        <v>43</v>
      </c>
      <c r="X645"/>
    </row>
    <row r="646" spans="1:27">
      <c r="A646" t="s">
        <v>35</v>
      </c>
      <c r="B646" t="s">
        <v>29</v>
      </c>
      <c r="C646" t="s">
        <v>2330</v>
      </c>
      <c r="D646" t="s">
        <v>2331</v>
      </c>
      <c r="E646" t="s">
        <v>2332</v>
      </c>
      <c r="F646" t="s">
        <v>41</v>
      </c>
      <c r="G646">
        <v>0</v>
      </c>
      <c r="H646">
        <f>((0/1000) * G646)</f>
        <v>0</v>
      </c>
      <c r="I646">
        <v>0</v>
      </c>
      <c r="J646">
        <v>0</v>
      </c>
      <c r="K646" s="2559">
        <v>309545.46</v>
      </c>
      <c r="L646" s="2560">
        <f>(K646 * G646)</f>
        <v>0</v>
      </c>
      <c r="M646" s="2561">
        <v>433363.64</v>
      </c>
      <c r="N646" s="2562">
        <f>(G646 * M646)</f>
        <v>0</v>
      </c>
      <c r="O646">
        <v>0</v>
      </c>
      <c r="P646">
        <v>0</v>
      </c>
      <c r="Q646">
        <f>IF(O646&gt;G646,(O646-G646),0)</f>
        <v>0</v>
      </c>
      <c r="R646">
        <v>0</v>
      </c>
      <c r="S646">
        <f>IF(Q646&gt;0,Int(P646/Q646),0)</f>
        <v>0</v>
      </c>
      <c r="T646">
        <f>0</f>
        <v>0</v>
      </c>
      <c r="U646"/>
      <c r="V646">
        <v>309545.46</v>
      </c>
      <c r="W646" t="s">
        <v>75</v>
      </c>
      <c r="X646"/>
    </row>
    <row r="647" spans="1:27">
      <c r="A647" t="s">
        <v>35</v>
      </c>
      <c r="B647" t="s">
        <v>29</v>
      </c>
      <c r="C647" t="s">
        <v>2333</v>
      </c>
      <c r="D647" t="s">
        <v>2334</v>
      </c>
      <c r="E647" t="s">
        <v>2335</v>
      </c>
      <c r="F647" t="s">
        <v>41</v>
      </c>
      <c r="G647">
        <v>0</v>
      </c>
      <c r="H647">
        <f>((0/1000) * G647)</f>
        <v>0</v>
      </c>
      <c r="I647">
        <v>0</v>
      </c>
      <c r="J647">
        <v>0</v>
      </c>
      <c r="K647" s="2563">
        <v>200991.74</v>
      </c>
      <c r="L647" s="2564">
        <f>(K647 * G647)</f>
        <v>0</v>
      </c>
      <c r="M647" s="2565">
        <v>221090.91</v>
      </c>
      <c r="N647" s="2566">
        <f>(G647 * M647)</f>
        <v>0</v>
      </c>
      <c r="O647">
        <v>0</v>
      </c>
      <c r="P647">
        <v>0</v>
      </c>
      <c r="Q647">
        <f>IF(O647&gt;G647,(O647-G647),0)</f>
        <v>0</v>
      </c>
      <c r="R647">
        <v>1</v>
      </c>
      <c r="S647">
        <f>IF(Q647&gt;0,Int(P647/Q647),0)</f>
        <v>0</v>
      </c>
      <c r="T647">
        <f>73100</f>
        <v>73100</v>
      </c>
      <c r="U647" t="s">
        <v>1682</v>
      </c>
      <c r="V647">
        <v>200991.74</v>
      </c>
      <c r="W647" t="s">
        <v>43</v>
      </c>
      <c r="X647"/>
    </row>
    <row r="648" spans="1:27">
      <c r="A648" t="s">
        <v>35</v>
      </c>
      <c r="B648" t="s">
        <v>29</v>
      </c>
      <c r="C648" t="s">
        <v>2336</v>
      </c>
      <c r="D648" t="s">
        <v>2337</v>
      </c>
      <c r="E648" t="s">
        <v>2338</v>
      </c>
      <c r="F648" t="s">
        <v>33</v>
      </c>
      <c r="G648">
        <v>0</v>
      </c>
      <c r="H648">
        <f>((0/1000) * G648)</f>
        <v>0</v>
      </c>
      <c r="I648">
        <v>0</v>
      </c>
      <c r="J648">
        <v>0</v>
      </c>
      <c r="K648" s="2567">
        <v>161269.43</v>
      </c>
      <c r="L648" s="2568">
        <f>(K648 * G648)</f>
        <v>0</v>
      </c>
      <c r="M648" s="2569">
        <v>177396.36</v>
      </c>
      <c r="N648" s="2570">
        <f>(G648 * M648)</f>
        <v>0</v>
      </c>
      <c r="O648">
        <v>0</v>
      </c>
      <c r="P648">
        <v>0</v>
      </c>
      <c r="Q648">
        <f>IF(O648&gt;G648,(O648-G648),0)</f>
        <v>0</v>
      </c>
      <c r="R648">
        <v>1</v>
      </c>
      <c r="S648">
        <f>IF(Q648&gt;0,Int(P648/Q648),0)</f>
        <v>0</v>
      </c>
      <c r="T648">
        <f>0</f>
        <v>0</v>
      </c>
      <c r="U648" t="s">
        <v>2339</v>
      </c>
      <c r="V648">
        <v>161269.43</v>
      </c>
      <c r="W648" t="s">
        <v>43</v>
      </c>
      <c r="X648"/>
    </row>
    <row r="649" spans="1:27">
      <c r="A649" t="s">
        <v>35</v>
      </c>
      <c r="B649" t="s">
        <v>29</v>
      </c>
      <c r="C649" t="s">
        <v>2340</v>
      </c>
      <c r="D649" t="s">
        <v>2341</v>
      </c>
      <c r="E649" t="s">
        <v>2342</v>
      </c>
      <c r="F649" t="s">
        <v>33</v>
      </c>
      <c r="G649">
        <v>19</v>
      </c>
      <c r="H649">
        <f>((0/1000) * G649)</f>
        <v>0</v>
      </c>
      <c r="I649">
        <v>0</v>
      </c>
      <c r="J649">
        <v>19</v>
      </c>
      <c r="K649" s="2571">
        <v>85000</v>
      </c>
      <c r="L649" s="2572">
        <f>(K649 * G649)</f>
        <v>1615000</v>
      </c>
      <c r="M649" s="2573">
        <v>127500</v>
      </c>
      <c r="N649" s="2574">
        <f>(G649 * M649)</f>
        <v>2422500</v>
      </c>
      <c r="O649">
        <v>0</v>
      </c>
      <c r="P649">
        <v>0</v>
      </c>
      <c r="Q649">
        <f>IF(O649&gt;G649,(O649-G649),0)</f>
        <v>0</v>
      </c>
      <c r="R649">
        <v>1</v>
      </c>
      <c r="S649">
        <f>IF(Q649&gt;0,Int(P649/Q649),0)</f>
        <v>0</v>
      </c>
      <c r="T649">
        <f>119679.04</f>
        <v>119679.04</v>
      </c>
      <c r="U649" t="s">
        <v>2343</v>
      </c>
      <c r="V649">
        <v>85000</v>
      </c>
      <c r="W649" t="s">
        <v>1498</v>
      </c>
      <c r="X649" t="s">
        <v>81</v>
      </c>
    </row>
    <row r="650" spans="1:27">
      <c r="A650" t="s">
        <v>35</v>
      </c>
      <c r="B650" t="s">
        <v>29</v>
      </c>
      <c r="C650" t="s">
        <v>2344</v>
      </c>
      <c r="D650" t="s">
        <v>2345</v>
      </c>
      <c r="E650" t="s">
        <v>2346</v>
      </c>
      <c r="F650" t="s">
        <v>41</v>
      </c>
      <c r="G650">
        <v>0</v>
      </c>
      <c r="H650">
        <f>((0/1000) * G650)</f>
        <v>0</v>
      </c>
      <c r="I650">
        <v>0</v>
      </c>
      <c r="J650">
        <v>0</v>
      </c>
      <c r="K650" s="2575">
        <v>200413.22</v>
      </c>
      <c r="L650" s="2576">
        <f>(K650 * G650)</f>
        <v>0</v>
      </c>
      <c r="M650" s="2577">
        <v>220454.55</v>
      </c>
      <c r="N650" s="2578">
        <f>(G650 * M650)</f>
        <v>0</v>
      </c>
      <c r="O650">
        <v>0</v>
      </c>
      <c r="P650">
        <v>0</v>
      </c>
      <c r="Q650">
        <f>IF(O650&gt;G650,(O650-G650),0)</f>
        <v>0</v>
      </c>
      <c r="R650">
        <v>1</v>
      </c>
      <c r="S650">
        <f>IF(Q650&gt;0,Int(P650/Q650),0)</f>
        <v>0</v>
      </c>
      <c r="T650">
        <f>105498.58</f>
        <v>105498.58</v>
      </c>
      <c r="U650" t="s">
        <v>514</v>
      </c>
      <c r="V650">
        <v>200413.22</v>
      </c>
      <c r="W650" t="s">
        <v>43</v>
      </c>
      <c r="X650"/>
    </row>
    <row r="651" spans="1:27">
      <c r="A651" t="s">
        <v>35</v>
      </c>
      <c r="B651" t="s">
        <v>29</v>
      </c>
      <c r="C651" t="s">
        <v>2347</v>
      </c>
      <c r="D651" t="s">
        <v>2348</v>
      </c>
      <c r="E651" t="s">
        <v>2349</v>
      </c>
      <c r="F651" t="s">
        <v>33</v>
      </c>
      <c r="G651">
        <v>0</v>
      </c>
      <c r="H651">
        <f>((0/1000) * G651)</f>
        <v>0</v>
      </c>
      <c r="I651">
        <v>0</v>
      </c>
      <c r="J651">
        <v>0</v>
      </c>
      <c r="K651" s="2579">
        <v>170804.86</v>
      </c>
      <c r="L651" s="2580">
        <f>(K651 * G651)</f>
        <v>0</v>
      </c>
      <c r="M651" s="2581">
        <v>239126.8</v>
      </c>
      <c r="N651" s="2582">
        <f>(G651 * M651)</f>
        <v>0</v>
      </c>
      <c r="O651">
        <v>0</v>
      </c>
      <c r="P651">
        <v>0</v>
      </c>
      <c r="Q651">
        <f>IF(O651&gt;G651,(O651-G651),0)</f>
        <v>0</v>
      </c>
      <c r="R651">
        <v>0</v>
      </c>
      <c r="S651">
        <f>IF(Q651&gt;0,Int(P651/Q651),0)</f>
        <v>0</v>
      </c>
      <c r="T651">
        <f>0</f>
        <v>0</v>
      </c>
      <c r="U651"/>
      <c r="V651">
        <v>170804.86</v>
      </c>
      <c r="W651" t="s">
        <v>75</v>
      </c>
      <c r="X651"/>
    </row>
    <row r="652" spans="1:27">
      <c r="A652" t="s">
        <v>35</v>
      </c>
      <c r="B652" t="s">
        <v>29</v>
      </c>
      <c r="C652" t="s">
        <v>2350</v>
      </c>
      <c r="D652" t="s">
        <v>2351</v>
      </c>
      <c r="E652" t="s">
        <v>2352</v>
      </c>
      <c r="F652" t="s">
        <v>41</v>
      </c>
      <c r="G652">
        <v>0</v>
      </c>
      <c r="H652">
        <f>((0/1000) * G652)</f>
        <v>0</v>
      </c>
      <c r="I652">
        <v>0</v>
      </c>
      <c r="J652">
        <v>0</v>
      </c>
      <c r="K652" s="2583">
        <v>309636.36</v>
      </c>
      <c r="L652" s="2584">
        <f>(K652 * G652)</f>
        <v>0</v>
      </c>
      <c r="M652" s="2585">
        <v>433490.9</v>
      </c>
      <c r="N652" s="2586">
        <f>(G652 * M652)</f>
        <v>0</v>
      </c>
      <c r="O652">
        <v>0</v>
      </c>
      <c r="P652">
        <v>0</v>
      </c>
      <c r="Q652">
        <f>IF(O652&gt;G652,(O652-G652),0)</f>
        <v>0</v>
      </c>
      <c r="R652">
        <v>0</v>
      </c>
      <c r="S652">
        <f>IF(Q652&gt;0,Int(P652/Q652),0)</f>
        <v>0</v>
      </c>
      <c r="T652">
        <f>0</f>
        <v>0</v>
      </c>
      <c r="U652"/>
      <c r="V652">
        <v>309636.36</v>
      </c>
      <c r="W652" t="s">
        <v>75</v>
      </c>
      <c r="X652"/>
    </row>
    <row r="653" spans="1:27">
      <c r="A653" t="s">
        <v>28</v>
      </c>
      <c r="B653" t="s">
        <v>29</v>
      </c>
      <c r="C653" t="s">
        <v>2353</v>
      </c>
      <c r="D653" t="s">
        <v>2354</v>
      </c>
      <c r="E653" t="s">
        <v>2355</v>
      </c>
      <c r="F653" t="s">
        <v>33</v>
      </c>
      <c r="G653">
        <v>0</v>
      </c>
      <c r="H653">
        <f>((0/1000) * G653)</f>
        <v>0</v>
      </c>
      <c r="I653">
        <v>0</v>
      </c>
      <c r="J653">
        <v>0</v>
      </c>
      <c r="K653" s="2587">
        <v>218582.64</v>
      </c>
      <c r="L653" s="2588">
        <f>(K653 * G653)</f>
        <v>0</v>
      </c>
      <c r="M653" s="2589">
        <v>306015.7</v>
      </c>
      <c r="N653" s="2590">
        <f>(G653 * M653)</f>
        <v>0</v>
      </c>
      <c r="O653">
        <v>0</v>
      </c>
      <c r="P653">
        <v>0</v>
      </c>
      <c r="Q653">
        <f>IF(O653&gt;G653,(O653-G653),0)</f>
        <v>0</v>
      </c>
      <c r="R653">
        <v>0</v>
      </c>
      <c r="S653">
        <f>IF(Q653&gt;0,Int(P653/Q653),0)</f>
        <v>0</v>
      </c>
      <c r="T653">
        <f>0</f>
        <v>0</v>
      </c>
      <c r="U653"/>
      <c r="V653">
        <v>218582.64</v>
      </c>
      <c r="W653" t="s">
        <v>529</v>
      </c>
      <c r="X653"/>
    </row>
    <row r="654" spans="1:27">
      <c r="A654" t="s">
        <v>35</v>
      </c>
      <c r="B654" t="s">
        <v>29</v>
      </c>
      <c r="C654" t="s">
        <v>2356</v>
      </c>
      <c r="D654" t="s">
        <v>2357</v>
      </c>
      <c r="E654" t="s">
        <v>2358</v>
      </c>
      <c r="F654" t="s">
        <v>41</v>
      </c>
      <c r="G654">
        <v>2</v>
      </c>
      <c r="H654">
        <f>((0/1000) * G654)</f>
        <v>0</v>
      </c>
      <c r="I654">
        <v>0</v>
      </c>
      <c r="J654">
        <v>2</v>
      </c>
      <c r="K654" s="2591">
        <v>95788</v>
      </c>
      <c r="L654" s="2592">
        <f>(K654 * G654)</f>
        <v>191576</v>
      </c>
      <c r="M654" s="2593">
        <v>172418.4</v>
      </c>
      <c r="N654" s="2594">
        <f>(G654 * M654)</f>
        <v>344836.8</v>
      </c>
      <c r="O654">
        <v>0</v>
      </c>
      <c r="P654">
        <v>0</v>
      </c>
      <c r="Q654">
        <f>IF(O654&gt;G654,(O654-G654),0)</f>
        <v>0</v>
      </c>
      <c r="R654">
        <v>1</v>
      </c>
      <c r="S654">
        <f>IF(Q654&gt;0,Int(P654/Q654),0)</f>
        <v>0</v>
      </c>
      <c r="T654">
        <f>95788</f>
        <v>95788</v>
      </c>
      <c r="U654" t="s">
        <v>2359</v>
      </c>
      <c r="V654">
        <v>95788</v>
      </c>
      <c r="W654" t="s">
        <v>651</v>
      </c>
      <c r="X654"/>
    </row>
    <row r="655" spans="1:27">
      <c r="A655" t="s">
        <v>28</v>
      </c>
      <c r="B655" t="s">
        <v>29</v>
      </c>
      <c r="C655" t="s">
        <v>2360</v>
      </c>
      <c r="D655" t="s">
        <v>1794</v>
      </c>
      <c r="E655" t="s">
        <v>2361</v>
      </c>
      <c r="F655" t="s">
        <v>33</v>
      </c>
      <c r="G655">
        <v>0</v>
      </c>
      <c r="H655">
        <f>((0/1000) * G655)</f>
        <v>0</v>
      </c>
      <c r="I655">
        <v>0</v>
      </c>
      <c r="J655">
        <v>0</v>
      </c>
      <c r="K655" s="2595">
        <v>91434.83</v>
      </c>
      <c r="L655" s="2596">
        <f>(K655 * G655)</f>
        <v>0</v>
      </c>
      <c r="M655" s="2597">
        <v>128008.76</v>
      </c>
      <c r="N655" s="2598">
        <f>(G655 * M655)</f>
        <v>0</v>
      </c>
      <c r="O655">
        <v>0</v>
      </c>
      <c r="P655">
        <v>0</v>
      </c>
      <c r="Q655">
        <f>IF(O655&gt;G655,(O655-G655),0)</f>
        <v>0</v>
      </c>
      <c r="R655">
        <v>1</v>
      </c>
      <c r="S655">
        <f>IF(Q655&gt;0,Int(P655/Q655),0)</f>
        <v>0</v>
      </c>
      <c r="T655">
        <f>101041.57</f>
        <v>101041.57</v>
      </c>
      <c r="U655" t="s">
        <v>2362</v>
      </c>
      <c r="V655">
        <v>91434.83</v>
      </c>
      <c r="W655" t="s">
        <v>301</v>
      </c>
      <c r="X655"/>
    </row>
    <row r="656" spans="1:27">
      <c r="A656" t="s">
        <v>35</v>
      </c>
      <c r="B656" t="s">
        <v>29</v>
      </c>
      <c r="C656" t="s">
        <v>1392</v>
      </c>
      <c r="D656" t="s">
        <v>2363</v>
      </c>
      <c r="E656" t="s">
        <v>2364</v>
      </c>
      <c r="F656" t="s">
        <v>33</v>
      </c>
      <c r="G656">
        <v>4</v>
      </c>
      <c r="H656">
        <f>((0/1000) * G656)</f>
        <v>0</v>
      </c>
      <c r="I656">
        <v>0</v>
      </c>
      <c r="J656">
        <v>4</v>
      </c>
      <c r="K656" s="2599">
        <v>104998.35</v>
      </c>
      <c r="L656" s="2600">
        <f>(K656 * G656)</f>
        <v>419993.4</v>
      </c>
      <c r="M656" s="2601">
        <v>167997.36</v>
      </c>
      <c r="N656" s="2602">
        <f>(G656 * M656)</f>
        <v>671989.44</v>
      </c>
      <c r="O656">
        <v>0</v>
      </c>
      <c r="P656">
        <v>0</v>
      </c>
      <c r="Q656">
        <f>IF(O656&gt;G656,(O656-G656),0)</f>
        <v>0</v>
      </c>
      <c r="R656">
        <v>0</v>
      </c>
      <c r="S656">
        <f>IF(Q656&gt;0,Int(P656/Q656),0)</f>
        <v>0</v>
      </c>
      <c r="T656">
        <f>104998.35</f>
        <v>104998.35</v>
      </c>
      <c r="U656" t="s">
        <v>2365</v>
      </c>
      <c r="V656">
        <v>104998.35</v>
      </c>
      <c r="W656" t="s">
        <v>2366</v>
      </c>
      <c r="X656"/>
    </row>
    <row r="657" spans="1:27">
      <c r="A657" t="s">
        <v>28</v>
      </c>
      <c r="B657" t="s">
        <v>29</v>
      </c>
      <c r="C657" t="s">
        <v>2367</v>
      </c>
      <c r="D657" t="s">
        <v>2368</v>
      </c>
      <c r="E657" t="s">
        <v>2369</v>
      </c>
      <c r="F657" t="s">
        <v>33</v>
      </c>
      <c r="G657">
        <v>0</v>
      </c>
      <c r="H657">
        <f>((0/1000) * G657)</f>
        <v>0</v>
      </c>
      <c r="I657">
        <v>0</v>
      </c>
      <c r="J657">
        <v>0</v>
      </c>
      <c r="K657" s="2603">
        <v>257319.41</v>
      </c>
      <c r="L657" s="2604">
        <f>(K657 * G657)</f>
        <v>0</v>
      </c>
      <c r="M657" s="2605">
        <v>360247.17</v>
      </c>
      <c r="N657" s="2606">
        <f>(G657 * M657)</f>
        <v>0</v>
      </c>
      <c r="O657">
        <v>0</v>
      </c>
      <c r="P657">
        <v>0</v>
      </c>
      <c r="Q657">
        <f>IF(O657&gt;G657,(O657-G657),0)</f>
        <v>0</v>
      </c>
      <c r="R657">
        <v>1</v>
      </c>
      <c r="S657">
        <f>IF(Q657&gt;0,Int(P657/Q657),0)</f>
        <v>0</v>
      </c>
      <c r="T657">
        <f>238954.7</f>
        <v>238954.7</v>
      </c>
      <c r="U657" t="s">
        <v>2370</v>
      </c>
      <c r="V657">
        <v>257319.41</v>
      </c>
      <c r="W657" t="s">
        <v>182</v>
      </c>
      <c r="X657"/>
    </row>
    <row r="658" spans="1:27">
      <c r="A658" t="s">
        <v>28</v>
      </c>
      <c r="B658" t="s">
        <v>29</v>
      </c>
      <c r="C658" t="s">
        <v>2371</v>
      </c>
      <c r="D658" t="s">
        <v>2372</v>
      </c>
      <c r="E658" t="s">
        <v>2373</v>
      </c>
      <c r="F658" t="s">
        <v>33</v>
      </c>
      <c r="G658">
        <v>0</v>
      </c>
      <c r="H658">
        <f>((0/1000) * G658)</f>
        <v>0</v>
      </c>
      <c r="I658">
        <v>0</v>
      </c>
      <c r="J658">
        <v>0</v>
      </c>
      <c r="K658" s="2607">
        <v>0</v>
      </c>
      <c r="L658" s="2608">
        <f>(K658 * G658)</f>
        <v>0</v>
      </c>
      <c r="M658" s="2609">
        <v>0</v>
      </c>
      <c r="N658" s="2610">
        <f>(G658 * M658)</f>
        <v>0</v>
      </c>
      <c r="O658">
        <v>0</v>
      </c>
      <c r="P658">
        <v>0</v>
      </c>
      <c r="Q658">
        <f>IF(O658&gt;G658,(O658-G658),0)</f>
        <v>0</v>
      </c>
      <c r="R658">
        <v>1</v>
      </c>
      <c r="S658">
        <f>IF(Q658&gt;0,Int(P658/Q658),0)</f>
        <v>0</v>
      </c>
      <c r="T658">
        <f>0</f>
        <v>0</v>
      </c>
      <c r="U658" t="s">
        <v>2374</v>
      </c>
      <c r="V658">
        <v>0</v>
      </c>
      <c r="W658">
        <v>0</v>
      </c>
      <c r="X658"/>
    </row>
    <row r="659" spans="1:27">
      <c r="A659" t="s">
        <v>35</v>
      </c>
      <c r="B659" t="s">
        <v>29</v>
      </c>
      <c r="C659" t="s">
        <v>2375</v>
      </c>
      <c r="D659" t="s">
        <v>2375</v>
      </c>
      <c r="E659" t="s">
        <v>2376</v>
      </c>
      <c r="F659" t="s">
        <v>41</v>
      </c>
      <c r="G659">
        <v>0</v>
      </c>
      <c r="H659">
        <f>((0/1000) * G659)</f>
        <v>0</v>
      </c>
      <c r="I659">
        <v>0</v>
      </c>
      <c r="J659">
        <v>0</v>
      </c>
      <c r="K659" s="2611">
        <v>121245.11</v>
      </c>
      <c r="L659" s="2612">
        <f>(K659 * G659)</f>
        <v>0</v>
      </c>
      <c r="M659" s="2613">
        <v>169743.15</v>
      </c>
      <c r="N659" s="2614">
        <f>(G659 * M659)</f>
        <v>0</v>
      </c>
      <c r="O659">
        <v>0</v>
      </c>
      <c r="P659">
        <v>0</v>
      </c>
      <c r="Q659">
        <f>IF(O659&gt;G659,(O659-G659),0)</f>
        <v>0</v>
      </c>
      <c r="R659">
        <v>1</v>
      </c>
      <c r="S659">
        <f>IF(Q659&gt;0,Int(P659/Q659),0)</f>
        <v>0</v>
      </c>
      <c r="T659">
        <f>110222.83</f>
        <v>110222.83</v>
      </c>
      <c r="U659" t="s">
        <v>2377</v>
      </c>
      <c r="V659">
        <v>121245.11</v>
      </c>
      <c r="W659" t="s">
        <v>75</v>
      </c>
      <c r="X659"/>
    </row>
    <row r="660" spans="1:27">
      <c r="A660" t="s">
        <v>35</v>
      </c>
      <c r="B660" t="s">
        <v>29</v>
      </c>
      <c r="C660" t="s">
        <v>2378</v>
      </c>
      <c r="D660" t="s">
        <v>29</v>
      </c>
      <c r="E660" t="s">
        <v>2379</v>
      </c>
      <c r="F660" t="s">
        <v>41</v>
      </c>
      <c r="G660">
        <v>0</v>
      </c>
      <c r="H660">
        <f>((0/1000) * G660)</f>
        <v>0</v>
      </c>
      <c r="I660">
        <v>0</v>
      </c>
      <c r="J660">
        <v>0</v>
      </c>
      <c r="K660" s="2615">
        <v>95041</v>
      </c>
      <c r="L660" s="2616">
        <f>(K660 * G660)</f>
        <v>0</v>
      </c>
      <c r="M660" s="2617">
        <v>165000</v>
      </c>
      <c r="N660" s="2618">
        <f>(G660 * M660)</f>
        <v>0</v>
      </c>
      <c r="O660">
        <v>0</v>
      </c>
      <c r="P660">
        <v>0</v>
      </c>
      <c r="Q660">
        <f>IF(O660&gt;G660,(O660-G660),0)</f>
        <v>0</v>
      </c>
      <c r="R660">
        <v>0</v>
      </c>
      <c r="S660">
        <f>IF(Q660&gt;0,Int(P660/Q660),0)</f>
        <v>0</v>
      </c>
      <c r="T660">
        <f>0</f>
        <v>0</v>
      </c>
      <c r="U660"/>
      <c r="V660">
        <v>95041</v>
      </c>
      <c r="W660" t="s">
        <v>54</v>
      </c>
      <c r="X660"/>
    </row>
    <row r="661" spans="1:27">
      <c r="A661" t="s">
        <v>35</v>
      </c>
      <c r="B661" t="s">
        <v>29</v>
      </c>
      <c r="C661" t="s">
        <v>2380</v>
      </c>
      <c r="D661" t="s">
        <v>2381</v>
      </c>
      <c r="E661" t="s">
        <v>2382</v>
      </c>
      <c r="F661" t="s">
        <v>33</v>
      </c>
      <c r="G661">
        <v>3</v>
      </c>
      <c r="H661">
        <f>((0/1000) * G661)</f>
        <v>0</v>
      </c>
      <c r="I661">
        <v>0</v>
      </c>
      <c r="J661">
        <v>3</v>
      </c>
      <c r="K661" s="2619">
        <v>173003.48</v>
      </c>
      <c r="L661" s="2620">
        <f>(K661 * G661)</f>
        <v>519010.44</v>
      </c>
      <c r="M661" s="2621">
        <v>276805.57</v>
      </c>
      <c r="N661" s="2622">
        <f>(G661 * M661)</f>
        <v>830416.71</v>
      </c>
      <c r="O661">
        <v>0</v>
      </c>
      <c r="P661">
        <v>0</v>
      </c>
      <c r="Q661">
        <f>IF(O661&gt;G661,(O661-G661),0)</f>
        <v>0</v>
      </c>
      <c r="R661">
        <v>0</v>
      </c>
      <c r="S661">
        <f>IF(Q661&gt;0,Int(P661/Q661),0)</f>
        <v>0</v>
      </c>
      <c r="T661">
        <f>173003.48</f>
        <v>173003.48</v>
      </c>
      <c r="U661" t="s">
        <v>135</v>
      </c>
      <c r="V661">
        <v>173003.48</v>
      </c>
      <c r="W661" t="s">
        <v>898</v>
      </c>
      <c r="X661"/>
    </row>
    <row r="662" spans="1:27">
      <c r="A662" t="s">
        <v>28</v>
      </c>
      <c r="B662" t="s">
        <v>29</v>
      </c>
      <c r="C662" t="s">
        <v>2383</v>
      </c>
      <c r="D662" t="s">
        <v>2384</v>
      </c>
      <c r="E662" t="s">
        <v>2385</v>
      </c>
      <c r="F662" t="s">
        <v>41</v>
      </c>
      <c r="G662">
        <v>0</v>
      </c>
      <c r="H662">
        <f>((0/1000) * G662)</f>
        <v>0</v>
      </c>
      <c r="I662">
        <v>0</v>
      </c>
      <c r="J662">
        <v>0</v>
      </c>
      <c r="K662" s="2623">
        <v>26743.02</v>
      </c>
      <c r="L662" s="2624">
        <f>(K662 * G662)</f>
        <v>0</v>
      </c>
      <c r="M662" s="2625">
        <v>29417.32</v>
      </c>
      <c r="N662" s="2626">
        <f>(G662 * M662)</f>
        <v>0</v>
      </c>
      <c r="O662">
        <v>0</v>
      </c>
      <c r="P662">
        <v>0</v>
      </c>
      <c r="Q662">
        <f>IF(O662&gt;G662,(O662-G662),0)</f>
        <v>0</v>
      </c>
      <c r="R662">
        <v>1</v>
      </c>
      <c r="S662">
        <f>IF(Q662&gt;0,Int(P662/Q662),0)</f>
        <v>0</v>
      </c>
      <c r="T662">
        <f>0</f>
        <v>0</v>
      </c>
      <c r="U662"/>
      <c r="V662">
        <v>26743.02</v>
      </c>
      <c r="W662" t="s">
        <v>43</v>
      </c>
      <c r="X662"/>
    </row>
    <row r="663" spans="1:27">
      <c r="A663" t="s">
        <v>28</v>
      </c>
      <c r="B663" t="s">
        <v>29</v>
      </c>
      <c r="C663" t="s">
        <v>2386</v>
      </c>
      <c r="D663" t="s">
        <v>2387</v>
      </c>
      <c r="E663" t="s">
        <v>2388</v>
      </c>
      <c r="F663" t="s">
        <v>33</v>
      </c>
      <c r="G663">
        <v>0</v>
      </c>
      <c r="H663">
        <f>((0/1000) * G663)</f>
        <v>0</v>
      </c>
      <c r="I663">
        <v>0</v>
      </c>
      <c r="J663">
        <v>0</v>
      </c>
      <c r="K663" s="2627">
        <v>289361.83</v>
      </c>
      <c r="L663" s="2628">
        <f>(K663 * G663)</f>
        <v>0</v>
      </c>
      <c r="M663" s="2629">
        <v>405106.57</v>
      </c>
      <c r="N663" s="2630">
        <f>(G663 * M663)</f>
        <v>0</v>
      </c>
      <c r="O663">
        <v>0</v>
      </c>
      <c r="P663">
        <v>0</v>
      </c>
      <c r="Q663">
        <f>IF(O663&gt;G663,(O663-G663),0)</f>
        <v>0</v>
      </c>
      <c r="R663">
        <v>1</v>
      </c>
      <c r="S663">
        <f>IF(Q663&gt;0,Int(P663/Q663),0)</f>
        <v>0</v>
      </c>
      <c r="T663">
        <f>375403.91</f>
        <v>375403.91</v>
      </c>
      <c r="U663" t="s">
        <v>2389</v>
      </c>
      <c r="V663">
        <v>289361.83</v>
      </c>
      <c r="W663" t="s">
        <v>182</v>
      </c>
      <c r="X663"/>
    </row>
    <row r="664" spans="1:27">
      <c r="A664" t="s">
        <v>28</v>
      </c>
      <c r="B664" t="s">
        <v>29</v>
      </c>
      <c r="C664" t="s">
        <v>2390</v>
      </c>
      <c r="D664" t="s">
        <v>2391</v>
      </c>
      <c r="E664" t="s">
        <v>2392</v>
      </c>
      <c r="F664" t="s">
        <v>33</v>
      </c>
      <c r="G664">
        <v>0</v>
      </c>
      <c r="H664">
        <f>((0/1000) * G664)</f>
        <v>0</v>
      </c>
      <c r="I664">
        <v>0</v>
      </c>
      <c r="J664">
        <v>0</v>
      </c>
      <c r="K664" s="2631">
        <v>151096.08</v>
      </c>
      <c r="L664" s="2632">
        <f>(K664 * G664)</f>
        <v>0</v>
      </c>
      <c r="M664" s="2633">
        <v>211534.51</v>
      </c>
      <c r="N664" s="2634">
        <f>(G664 * M664)</f>
        <v>0</v>
      </c>
      <c r="O664">
        <v>0</v>
      </c>
      <c r="P664">
        <v>0</v>
      </c>
      <c r="Q664">
        <f>IF(O664&gt;G664,(O664-G664),0)</f>
        <v>0</v>
      </c>
      <c r="R664">
        <v>0</v>
      </c>
      <c r="S664">
        <f>IF(Q664&gt;0,Int(P664/Q664),0)</f>
        <v>0</v>
      </c>
      <c r="T664">
        <f>0</f>
        <v>0</v>
      </c>
      <c r="U664"/>
      <c r="V664">
        <v>151096.08</v>
      </c>
      <c r="W664" t="s">
        <v>292</v>
      </c>
      <c r="X664"/>
    </row>
    <row r="665" spans="1:27">
      <c r="A665" t="s">
        <v>28</v>
      </c>
      <c r="B665" t="s">
        <v>29</v>
      </c>
      <c r="C665" t="s">
        <v>2393</v>
      </c>
      <c r="D665" t="s">
        <v>2394</v>
      </c>
      <c r="E665" t="s">
        <v>2395</v>
      </c>
      <c r="F665" t="s">
        <v>41</v>
      </c>
      <c r="G665">
        <v>5</v>
      </c>
      <c r="H665">
        <f>((0/1000) * G665)</f>
        <v>0</v>
      </c>
      <c r="I665">
        <v>0</v>
      </c>
      <c r="J665">
        <v>5</v>
      </c>
      <c r="K665" s="2635">
        <v>115000</v>
      </c>
      <c r="L665" s="2636">
        <f>(K665 * G665)</f>
        <v>575000</v>
      </c>
      <c r="M665" s="2637">
        <v>195041.32</v>
      </c>
      <c r="N665" s="2638">
        <f>(G665 * M665)</f>
        <v>975206.6</v>
      </c>
      <c r="O665">
        <v>0</v>
      </c>
      <c r="P665">
        <v>0</v>
      </c>
      <c r="Q665">
        <f>IF(O665&gt;G665,(O665-G665),0)</f>
        <v>0</v>
      </c>
      <c r="R665">
        <v>1</v>
      </c>
      <c r="S665">
        <f>IF(Q665&gt;0,Int(P665/Q665),0)</f>
        <v>0</v>
      </c>
      <c r="T665">
        <f>115000</f>
        <v>115000</v>
      </c>
      <c r="U665" t="s">
        <v>993</v>
      </c>
      <c r="V665">
        <v>115000</v>
      </c>
      <c r="W665" t="s">
        <v>123</v>
      </c>
      <c r="X665" t="s">
        <v>2396</v>
      </c>
    </row>
    <row r="666" spans="1:27">
      <c r="A666" t="s">
        <v>28</v>
      </c>
      <c r="B666" t="s">
        <v>29</v>
      </c>
      <c r="C666" t="s">
        <v>2397</v>
      </c>
      <c r="D666" t="s">
        <v>2398</v>
      </c>
      <c r="E666" t="s">
        <v>2399</v>
      </c>
      <c r="F666" t="s">
        <v>41</v>
      </c>
      <c r="G666">
        <v>15</v>
      </c>
      <c r="H666">
        <f>((0/1000) * G666)</f>
        <v>0</v>
      </c>
      <c r="I666">
        <v>0</v>
      </c>
      <c r="J666">
        <v>15</v>
      </c>
      <c r="K666" s="2639">
        <v>173889</v>
      </c>
      <c r="L666" s="2640">
        <f>(K666 * G666)</f>
        <v>2608335</v>
      </c>
      <c r="M666" s="2641">
        <v>226055.7</v>
      </c>
      <c r="N666" s="2642">
        <f>(G666 * M666)</f>
        <v>3390835.5</v>
      </c>
      <c r="O666">
        <v>0</v>
      </c>
      <c r="P666">
        <v>0</v>
      </c>
      <c r="Q666">
        <f>IF(O666&gt;G666,(O666-G666),0)</f>
        <v>0</v>
      </c>
      <c r="R666">
        <v>1</v>
      </c>
      <c r="S666">
        <f>IF(Q666&gt;0,Int(P666/Q666),0)</f>
        <v>0</v>
      </c>
      <c r="T666">
        <f>128926.6</f>
        <v>128926.6</v>
      </c>
      <c r="U666" t="s">
        <v>2400</v>
      </c>
      <c r="V666">
        <v>173889</v>
      </c>
      <c r="W666" t="s">
        <v>1467</v>
      </c>
      <c r="X666" t="s">
        <v>209</v>
      </c>
    </row>
    <row r="667" spans="1:27">
      <c r="A667" t="s">
        <v>28</v>
      </c>
      <c r="B667" t="s">
        <v>29</v>
      </c>
      <c r="C667" t="s">
        <v>2401</v>
      </c>
      <c r="D667" t="s">
        <v>2402</v>
      </c>
      <c r="E667" t="s">
        <v>2403</v>
      </c>
      <c r="F667" t="s">
        <v>41</v>
      </c>
      <c r="G667">
        <v>0</v>
      </c>
      <c r="H667">
        <f>((0/1000) * G667)</f>
        <v>0</v>
      </c>
      <c r="I667">
        <v>0</v>
      </c>
      <c r="J667">
        <v>0</v>
      </c>
      <c r="K667" s="2643">
        <v>128925.62</v>
      </c>
      <c r="L667" s="2644">
        <f>(K667 * G667)</f>
        <v>0</v>
      </c>
      <c r="M667" s="2645">
        <v>141818.18</v>
      </c>
      <c r="N667" s="2646">
        <f>(G667 * M667)</f>
        <v>0</v>
      </c>
      <c r="O667">
        <v>0</v>
      </c>
      <c r="P667">
        <v>0</v>
      </c>
      <c r="Q667">
        <f>IF(O667&gt;G667,(O667-G667),0)</f>
        <v>0</v>
      </c>
      <c r="R667">
        <v>1</v>
      </c>
      <c r="S667">
        <f>IF(Q667&gt;0,Int(P667/Q667),0)</f>
        <v>0</v>
      </c>
      <c r="T667">
        <f>181442.52</f>
        <v>181442.52</v>
      </c>
      <c r="U667" t="s">
        <v>2404</v>
      </c>
      <c r="V667">
        <v>128925.62</v>
      </c>
      <c r="W667" t="s">
        <v>197</v>
      </c>
      <c r="X667" t="s">
        <v>136</v>
      </c>
    </row>
    <row r="668" spans="1:27">
      <c r="A668" t="s">
        <v>35</v>
      </c>
      <c r="B668" t="s">
        <v>29</v>
      </c>
      <c r="C668" t="s">
        <v>2405</v>
      </c>
      <c r="D668" t="s">
        <v>2406</v>
      </c>
      <c r="E668" t="s">
        <v>2407</v>
      </c>
      <c r="F668" t="s">
        <v>33</v>
      </c>
      <c r="G668">
        <v>0</v>
      </c>
      <c r="H668">
        <f>((0/1000) * G668)</f>
        <v>0</v>
      </c>
      <c r="I668">
        <v>0</v>
      </c>
      <c r="J668">
        <v>0</v>
      </c>
      <c r="K668" s="2647">
        <v>148028.57</v>
      </c>
      <c r="L668" s="2648">
        <f>(K668 * G668)</f>
        <v>0</v>
      </c>
      <c r="M668" s="2649">
        <v>207240</v>
      </c>
      <c r="N668" s="2650">
        <f>(G668 * M668)</f>
        <v>0</v>
      </c>
      <c r="O668">
        <v>0</v>
      </c>
      <c r="P668">
        <v>0</v>
      </c>
      <c r="Q668">
        <f>IF(O668&gt;G668,(O668-G668),0)</f>
        <v>0</v>
      </c>
      <c r="R668">
        <v>1</v>
      </c>
      <c r="S668">
        <f>IF(Q668&gt;0,Int(P668/Q668),0)</f>
        <v>0</v>
      </c>
      <c r="T668">
        <f>0</f>
        <v>0</v>
      </c>
      <c r="U668"/>
      <c r="V668">
        <v>148028.57</v>
      </c>
      <c r="W668" t="s">
        <v>75</v>
      </c>
      <c r="X668"/>
    </row>
    <row r="669" spans="1:27">
      <c r="A669" t="s">
        <v>35</v>
      </c>
      <c r="B669" t="s">
        <v>29</v>
      </c>
      <c r="C669" t="s">
        <v>2408</v>
      </c>
      <c r="D669" t="s">
        <v>2409</v>
      </c>
      <c r="E669" t="s">
        <v>2410</v>
      </c>
      <c r="F669" t="s">
        <v>33</v>
      </c>
      <c r="G669">
        <v>0</v>
      </c>
      <c r="H669">
        <f>((0/1000) * G669)</f>
        <v>0</v>
      </c>
      <c r="I669">
        <v>0</v>
      </c>
      <c r="J669">
        <v>0</v>
      </c>
      <c r="K669" s="2651">
        <v>100500.4</v>
      </c>
      <c r="L669" s="2652">
        <f>(K669 * G669)</f>
        <v>0</v>
      </c>
      <c r="M669" s="2653">
        <v>145454.55</v>
      </c>
      <c r="N669" s="2654">
        <f>(G669 * M669)</f>
        <v>0</v>
      </c>
      <c r="O669">
        <v>0</v>
      </c>
      <c r="P669">
        <v>0</v>
      </c>
      <c r="Q669">
        <f>IF(O669&gt;G669,(O669-G669),0)</f>
        <v>0</v>
      </c>
      <c r="R669">
        <v>0</v>
      </c>
      <c r="S669">
        <f>IF(Q669&gt;0,Int(P669/Q669),0)</f>
        <v>0</v>
      </c>
      <c r="T669">
        <f>91364</f>
        <v>91364</v>
      </c>
      <c r="U669" t="s">
        <v>2411</v>
      </c>
      <c r="V669">
        <v>100500.4</v>
      </c>
      <c r="W669" t="s">
        <v>2412</v>
      </c>
      <c r="X669" t="s">
        <v>280</v>
      </c>
    </row>
    <row r="670" spans="1:27">
      <c r="A670" t="s">
        <v>28</v>
      </c>
      <c r="B670" t="s">
        <v>29</v>
      </c>
      <c r="C670" t="s">
        <v>2413</v>
      </c>
      <c r="D670" t="s">
        <v>2380</v>
      </c>
      <c r="E670" t="s">
        <v>2414</v>
      </c>
      <c r="F670" t="s">
        <v>33</v>
      </c>
      <c r="G670">
        <v>0</v>
      </c>
      <c r="H670">
        <f>((0/1000) * G670)</f>
        <v>0</v>
      </c>
      <c r="I670">
        <v>0</v>
      </c>
      <c r="J670">
        <v>0</v>
      </c>
      <c r="K670" s="2655">
        <v>271594.16</v>
      </c>
      <c r="L670" s="2656">
        <f>(K670 * G670)</f>
        <v>0</v>
      </c>
      <c r="M670" s="2657">
        <v>380231.82</v>
      </c>
      <c r="N670" s="2658">
        <f>(G670 * M670)</f>
        <v>0</v>
      </c>
      <c r="O670">
        <v>0</v>
      </c>
      <c r="P670">
        <v>0</v>
      </c>
      <c r="Q670">
        <f>IF(O670&gt;G670,(O670-G670),0)</f>
        <v>0</v>
      </c>
      <c r="R670">
        <v>0</v>
      </c>
      <c r="S670">
        <f>IF(Q670&gt;0,Int(P670/Q670),0)</f>
        <v>0</v>
      </c>
      <c r="T670">
        <f>0</f>
        <v>0</v>
      </c>
      <c r="U670"/>
      <c r="V670">
        <v>271594.16</v>
      </c>
      <c r="W670" t="s">
        <v>292</v>
      </c>
      <c r="X670"/>
    </row>
    <row r="671" spans="1:27">
      <c r="A671" t="s">
        <v>28</v>
      </c>
      <c r="B671" t="s">
        <v>29</v>
      </c>
      <c r="C671" t="s">
        <v>2415</v>
      </c>
      <c r="D671" t="s">
        <v>2416</v>
      </c>
      <c r="E671" t="s">
        <v>2417</v>
      </c>
      <c r="F671" t="s">
        <v>41</v>
      </c>
      <c r="G671">
        <v>0</v>
      </c>
      <c r="H671">
        <f>((0/1000) * G671)</f>
        <v>0</v>
      </c>
      <c r="I671">
        <v>0</v>
      </c>
      <c r="J671">
        <v>0</v>
      </c>
      <c r="K671" s="2659">
        <v>203305.78</v>
      </c>
      <c r="L671" s="2660">
        <f>(K671 * G671)</f>
        <v>0</v>
      </c>
      <c r="M671" s="2661">
        <v>223636.36</v>
      </c>
      <c r="N671" s="2662">
        <f>(G671 * M671)</f>
        <v>0</v>
      </c>
      <c r="O671">
        <v>0</v>
      </c>
      <c r="P671">
        <v>0</v>
      </c>
      <c r="Q671">
        <f>IF(O671&gt;G671,(O671-G671),0)</f>
        <v>0</v>
      </c>
      <c r="R671">
        <v>1</v>
      </c>
      <c r="S671">
        <f>IF(Q671&gt;0,Int(P671/Q671),0)</f>
        <v>0</v>
      </c>
      <c r="T671">
        <f>203305.78</f>
        <v>203305.78</v>
      </c>
      <c r="U671" t="s">
        <v>2418</v>
      </c>
      <c r="V671">
        <v>203305.78</v>
      </c>
      <c r="W671" t="s">
        <v>43</v>
      </c>
      <c r="X671" t="s">
        <v>2419</v>
      </c>
    </row>
    <row r="672" spans="1:27">
      <c r="A672" t="s">
        <v>35</v>
      </c>
      <c r="B672" t="s">
        <v>29</v>
      </c>
      <c r="C672" t="s">
        <v>2420</v>
      </c>
      <c r="D672" t="s">
        <v>2420</v>
      </c>
      <c r="E672" t="s">
        <v>2421</v>
      </c>
      <c r="F672" t="s">
        <v>41</v>
      </c>
      <c r="G672">
        <v>3</v>
      </c>
      <c r="H672">
        <f>((0/1000) * G672)</f>
        <v>0</v>
      </c>
      <c r="I672">
        <v>0</v>
      </c>
      <c r="J672">
        <v>3</v>
      </c>
      <c r="K672" s="2663">
        <v>97340.1</v>
      </c>
      <c r="L672" s="2664">
        <f>(K672 * G672)</f>
        <v>292020.3</v>
      </c>
      <c r="M672" s="2665">
        <v>150000</v>
      </c>
      <c r="N672" s="2666">
        <f>(G672 * M672)</f>
        <v>450000</v>
      </c>
      <c r="O672">
        <v>0</v>
      </c>
      <c r="P672">
        <v>0</v>
      </c>
      <c r="Q672">
        <f>IF(O672&gt;G672,(O672-G672),0)</f>
        <v>0</v>
      </c>
      <c r="R672">
        <v>0</v>
      </c>
      <c r="S672">
        <f>IF(Q672&gt;0,Int(P672/Q672),0)</f>
        <v>0</v>
      </c>
      <c r="T672">
        <f>88491</f>
        <v>88491</v>
      </c>
      <c r="U672" t="s">
        <v>1147</v>
      </c>
      <c r="V672">
        <v>97340.1</v>
      </c>
      <c r="W672" t="s">
        <v>279</v>
      </c>
      <c r="X672" t="s">
        <v>2422</v>
      </c>
    </row>
    <row r="673" spans="1:27">
      <c r="A673" t="s">
        <v>35</v>
      </c>
      <c r="B673" t="s">
        <v>29</v>
      </c>
      <c r="C673" t="s">
        <v>2423</v>
      </c>
      <c r="D673" t="s">
        <v>2423</v>
      </c>
      <c r="E673" t="s">
        <v>2424</v>
      </c>
      <c r="F673" t="s">
        <v>33</v>
      </c>
      <c r="G673">
        <v>0</v>
      </c>
      <c r="H673">
        <f>((1/1000) * G673)</f>
        <v>0</v>
      </c>
      <c r="I673">
        <v>0</v>
      </c>
      <c r="J673">
        <v>0</v>
      </c>
      <c r="K673" s="2667">
        <v>0</v>
      </c>
      <c r="L673" s="2668">
        <f>(K673 * G673)</f>
        <v>0</v>
      </c>
      <c r="M673" s="2669">
        <v>0</v>
      </c>
      <c r="N673" s="2670">
        <f>(G673 * M673)</f>
        <v>0</v>
      </c>
      <c r="O673">
        <v>0</v>
      </c>
      <c r="P673">
        <v>0</v>
      </c>
      <c r="Q673">
        <f>IF(O673&gt;G673,(O673-G673),0)</f>
        <v>0</v>
      </c>
      <c r="R673">
        <v>0</v>
      </c>
      <c r="S673">
        <f>IF(Q673&gt;0,Int(P673/Q673),0)</f>
        <v>0</v>
      </c>
      <c r="T673">
        <f>0</f>
        <v>0</v>
      </c>
      <c r="U673"/>
      <c r="V673">
        <v>0</v>
      </c>
      <c r="W673">
        <v>0</v>
      </c>
      <c r="X673"/>
    </row>
    <row r="674" spans="1:27">
      <c r="A674" t="s">
        <v>35</v>
      </c>
      <c r="B674" t="s">
        <v>29</v>
      </c>
      <c r="C674" t="s">
        <v>2425</v>
      </c>
      <c r="D674" t="s">
        <v>2425</v>
      </c>
      <c r="E674" t="s">
        <v>2426</v>
      </c>
      <c r="F674" t="s">
        <v>33</v>
      </c>
      <c r="G674">
        <v>0</v>
      </c>
      <c r="H674">
        <f>((1/1000) * G674)</f>
        <v>0</v>
      </c>
      <c r="I674">
        <v>0</v>
      </c>
      <c r="J674">
        <v>0</v>
      </c>
      <c r="K674" s="2671">
        <v>0</v>
      </c>
      <c r="L674" s="2672">
        <f>(K674 * G674)</f>
        <v>0</v>
      </c>
      <c r="M674" s="2673">
        <v>0</v>
      </c>
      <c r="N674" s="2674">
        <f>(G674 * M674)</f>
        <v>0</v>
      </c>
      <c r="O674">
        <v>0</v>
      </c>
      <c r="P674">
        <v>0</v>
      </c>
      <c r="Q674">
        <f>IF(O674&gt;G674,(O674-G674),0)</f>
        <v>0</v>
      </c>
      <c r="R674">
        <v>0</v>
      </c>
      <c r="S674">
        <f>IF(Q674&gt;0,Int(P674/Q674),0)</f>
        <v>0</v>
      </c>
      <c r="T674">
        <f>0</f>
        <v>0</v>
      </c>
      <c r="U674"/>
      <c r="V674">
        <v>0</v>
      </c>
      <c r="W674">
        <v>0</v>
      </c>
      <c r="X674"/>
    </row>
    <row r="675" spans="1:27">
      <c r="A675" t="s">
        <v>28</v>
      </c>
      <c r="B675" t="s">
        <v>29</v>
      </c>
      <c r="C675" t="s">
        <v>2427</v>
      </c>
      <c r="D675" t="s">
        <v>2428</v>
      </c>
      <c r="E675" t="s">
        <v>2429</v>
      </c>
      <c r="F675" t="s">
        <v>33</v>
      </c>
      <c r="G675">
        <v>0</v>
      </c>
      <c r="H675">
        <f>((0/1000) * G675)</f>
        <v>0</v>
      </c>
      <c r="I675">
        <v>0</v>
      </c>
      <c r="J675">
        <v>0</v>
      </c>
      <c r="K675" s="2675">
        <v>104545.45</v>
      </c>
      <c r="L675" s="2676">
        <f>(K675 * G675)</f>
        <v>0</v>
      </c>
      <c r="M675" s="2677">
        <v>146363.64</v>
      </c>
      <c r="N675" s="2678">
        <f>(G675 * M675)</f>
        <v>0</v>
      </c>
      <c r="O675">
        <v>0</v>
      </c>
      <c r="P675">
        <v>0</v>
      </c>
      <c r="Q675">
        <f>IF(O675&gt;G675,(O675-G675),0)</f>
        <v>0</v>
      </c>
      <c r="R675">
        <v>1</v>
      </c>
      <c r="S675">
        <f>IF(Q675&gt;0,Int(P675/Q675),0)</f>
        <v>0</v>
      </c>
      <c r="T675">
        <f>0</f>
        <v>0</v>
      </c>
      <c r="U675"/>
      <c r="V675">
        <v>104545.45</v>
      </c>
      <c r="W675" t="s">
        <v>75</v>
      </c>
      <c r="X675"/>
    </row>
    <row r="676" spans="1:27">
      <c r="A676" t="s">
        <v>35</v>
      </c>
      <c r="B676" t="s">
        <v>29</v>
      </c>
      <c r="C676" t="s">
        <v>2430</v>
      </c>
      <c r="D676" t="s">
        <v>2431</v>
      </c>
      <c r="E676" t="s">
        <v>2432</v>
      </c>
      <c r="F676" t="s">
        <v>33</v>
      </c>
      <c r="G676">
        <v>0</v>
      </c>
      <c r="H676">
        <f>((0/1000) * G676)</f>
        <v>0</v>
      </c>
      <c r="I676">
        <v>0</v>
      </c>
      <c r="J676">
        <v>0</v>
      </c>
      <c r="K676" s="2679">
        <v>44160.55</v>
      </c>
      <c r="L676" s="2680">
        <f>(K676 * G676)</f>
        <v>0</v>
      </c>
      <c r="M676" s="2681">
        <v>61824.78</v>
      </c>
      <c r="N676" s="2682">
        <f>(G676 * M676)</f>
        <v>0</v>
      </c>
      <c r="O676">
        <v>0</v>
      </c>
      <c r="P676">
        <v>0</v>
      </c>
      <c r="Q676">
        <f>IF(O676&gt;G676,(O676-G676),0)</f>
        <v>0</v>
      </c>
      <c r="R676">
        <v>1</v>
      </c>
      <c r="S676">
        <f>IF(Q676&gt;0,Int(P676/Q676),0)</f>
        <v>0</v>
      </c>
      <c r="T676">
        <f>0</f>
        <v>0</v>
      </c>
      <c r="U676"/>
      <c r="V676">
        <v>44160.55</v>
      </c>
      <c r="W676" t="s">
        <v>75</v>
      </c>
      <c r="X676"/>
    </row>
    <row r="677" spans="1:27">
      <c r="A677" t="s">
        <v>35</v>
      </c>
      <c r="B677" t="s">
        <v>29</v>
      </c>
      <c r="C677" t="s">
        <v>2433</v>
      </c>
      <c r="D677" t="s">
        <v>2434</v>
      </c>
      <c r="E677" t="s">
        <v>2435</v>
      </c>
      <c r="F677" t="s">
        <v>41</v>
      </c>
      <c r="G677">
        <v>0</v>
      </c>
      <c r="H677">
        <f>((0/1000) * G677)</f>
        <v>0</v>
      </c>
      <c r="I677">
        <v>0</v>
      </c>
      <c r="J677">
        <v>0</v>
      </c>
      <c r="K677" s="2683">
        <v>249384.13</v>
      </c>
      <c r="L677" s="2684">
        <f>(K677 * G677)</f>
        <v>0</v>
      </c>
      <c r="M677" s="2685">
        <v>349137.78</v>
      </c>
      <c r="N677" s="2686">
        <f>(G677 * M677)</f>
        <v>0</v>
      </c>
      <c r="O677">
        <v>0</v>
      </c>
      <c r="P677">
        <v>0</v>
      </c>
      <c r="Q677">
        <f>IF(O677&gt;G677,(O677-G677),0)</f>
        <v>0</v>
      </c>
      <c r="R677">
        <v>1</v>
      </c>
      <c r="S677">
        <f>IF(Q677&gt;0,Int(P677/Q677),0)</f>
        <v>0</v>
      </c>
      <c r="T677">
        <f>204279.12</f>
        <v>204279.12</v>
      </c>
      <c r="U677" t="s">
        <v>2436</v>
      </c>
      <c r="V677">
        <v>249384.13</v>
      </c>
      <c r="W677" t="s">
        <v>274</v>
      </c>
      <c r="X677"/>
    </row>
    <row r="678" spans="1:27">
      <c r="A678" t="s">
        <v>35</v>
      </c>
      <c r="B678" t="s">
        <v>29</v>
      </c>
      <c r="C678" t="s">
        <v>2437</v>
      </c>
      <c r="D678" t="s">
        <v>2438</v>
      </c>
      <c r="E678" t="s">
        <v>2439</v>
      </c>
      <c r="F678" t="s">
        <v>33</v>
      </c>
      <c r="G678">
        <v>0</v>
      </c>
      <c r="H678">
        <f>((0/1000) * G678)</f>
        <v>0</v>
      </c>
      <c r="I678">
        <v>0</v>
      </c>
      <c r="J678">
        <v>0</v>
      </c>
      <c r="K678" s="2687">
        <v>218352.73</v>
      </c>
      <c r="L678" s="2688">
        <f>(K678 * G678)</f>
        <v>0</v>
      </c>
      <c r="M678" s="2689">
        <v>305693.82</v>
      </c>
      <c r="N678" s="2690">
        <f>(G678 * M678)</f>
        <v>0</v>
      </c>
      <c r="O678">
        <v>0</v>
      </c>
      <c r="P678">
        <v>0</v>
      </c>
      <c r="Q678">
        <f>IF(O678&gt;G678,(O678-G678),0)</f>
        <v>0</v>
      </c>
      <c r="R678">
        <v>1</v>
      </c>
      <c r="S678">
        <f>IF(Q678&gt;0,Int(P678/Q678),0)</f>
        <v>0</v>
      </c>
      <c r="T678">
        <f>40550</f>
        <v>40550</v>
      </c>
      <c r="U678" t="s">
        <v>2440</v>
      </c>
      <c r="V678">
        <v>218352.73</v>
      </c>
      <c r="W678" t="s">
        <v>75</v>
      </c>
      <c r="X678"/>
    </row>
    <row r="679" spans="1:27">
      <c r="A679" t="s">
        <v>28</v>
      </c>
      <c r="B679" t="s">
        <v>29</v>
      </c>
      <c r="C679" t="s">
        <v>2441</v>
      </c>
      <c r="D679" t="s">
        <v>2442</v>
      </c>
      <c r="E679" t="s">
        <v>2443</v>
      </c>
      <c r="F679" t="s">
        <v>41</v>
      </c>
      <c r="G679">
        <v>0</v>
      </c>
      <c r="H679">
        <f>((0/1000) * G679)</f>
        <v>0</v>
      </c>
      <c r="I679">
        <v>0</v>
      </c>
      <c r="J679">
        <v>0</v>
      </c>
      <c r="K679" s="2691">
        <v>466307.09</v>
      </c>
      <c r="L679" s="2692">
        <f>(K679 * G679)</f>
        <v>0</v>
      </c>
      <c r="M679" s="2693">
        <v>652829.93</v>
      </c>
      <c r="N679" s="2694">
        <f>(G679 * M679)</f>
        <v>0</v>
      </c>
      <c r="O679">
        <v>0</v>
      </c>
      <c r="P679">
        <v>0</v>
      </c>
      <c r="Q679">
        <f>IF(O679&gt;G679,(O679-G679),0)</f>
        <v>0</v>
      </c>
      <c r="R679">
        <v>1</v>
      </c>
      <c r="S679">
        <f>IF(Q679&gt;0,Int(P679/Q679),0)</f>
        <v>0</v>
      </c>
      <c r="T679">
        <f>77520.66</f>
        <v>77520.66</v>
      </c>
      <c r="U679" t="s">
        <v>2444</v>
      </c>
      <c r="V679">
        <v>466307.09</v>
      </c>
      <c r="W679" t="s">
        <v>75</v>
      </c>
      <c r="X679"/>
    </row>
    <row r="680" spans="1:27">
      <c r="A680" t="s">
        <v>28</v>
      </c>
      <c r="B680" t="s">
        <v>29</v>
      </c>
      <c r="C680" t="s">
        <v>2445</v>
      </c>
      <c r="D680" t="s">
        <v>2446</v>
      </c>
      <c r="E680" t="s">
        <v>2447</v>
      </c>
      <c r="F680" t="s">
        <v>33</v>
      </c>
      <c r="G680">
        <v>0</v>
      </c>
      <c r="H680">
        <f>((0/1000) * G680)</f>
        <v>0</v>
      </c>
      <c r="I680">
        <v>0</v>
      </c>
      <c r="J680">
        <v>0</v>
      </c>
      <c r="K680" s="2695">
        <v>273394.36</v>
      </c>
      <c r="L680" s="2696">
        <f>(K680 * G680)</f>
        <v>0</v>
      </c>
      <c r="M680" s="2697">
        <v>382752.11</v>
      </c>
      <c r="N680" s="2698">
        <f>(G680 * M680)</f>
        <v>0</v>
      </c>
      <c r="O680">
        <v>0</v>
      </c>
      <c r="P680">
        <v>0</v>
      </c>
      <c r="Q680">
        <f>IF(O680&gt;G680,(O680-G680),0)</f>
        <v>0</v>
      </c>
      <c r="R680">
        <v>1</v>
      </c>
      <c r="S680">
        <f>IF(Q680&gt;0,Int(P680/Q680),0)</f>
        <v>0</v>
      </c>
      <c r="T680">
        <f>309438.34</f>
        <v>309438.34</v>
      </c>
      <c r="U680" t="s">
        <v>2448</v>
      </c>
      <c r="V680">
        <v>273394.36</v>
      </c>
      <c r="W680" t="s">
        <v>182</v>
      </c>
      <c r="X680"/>
    </row>
    <row r="681" spans="1:27">
      <c r="A681" t="s">
        <v>28</v>
      </c>
      <c r="B681" t="s">
        <v>29</v>
      </c>
      <c r="C681" t="s">
        <v>2449</v>
      </c>
      <c r="D681" t="s">
        <v>2450</v>
      </c>
      <c r="E681" t="s">
        <v>2451</v>
      </c>
      <c r="F681" t="s">
        <v>33</v>
      </c>
      <c r="G681">
        <v>0</v>
      </c>
      <c r="H681">
        <f>((0/1000) * G681)</f>
        <v>0</v>
      </c>
      <c r="I681">
        <v>0</v>
      </c>
      <c r="J681">
        <v>0</v>
      </c>
      <c r="K681" s="2699">
        <v>263666.65</v>
      </c>
      <c r="L681" s="2700">
        <f>(K681 * G681)</f>
        <v>0</v>
      </c>
      <c r="M681" s="2701">
        <v>369133.31</v>
      </c>
      <c r="N681" s="2702">
        <f>(G681 * M681)</f>
        <v>0</v>
      </c>
      <c r="O681">
        <v>0</v>
      </c>
      <c r="P681">
        <v>0</v>
      </c>
      <c r="Q681">
        <f>IF(O681&gt;G681,(O681-G681),0)</f>
        <v>0</v>
      </c>
      <c r="R681">
        <v>1</v>
      </c>
      <c r="S681">
        <f>IF(Q681&gt;0,Int(P681/Q681),0)</f>
        <v>0</v>
      </c>
      <c r="T681">
        <f>245372.56</f>
        <v>245372.56</v>
      </c>
      <c r="U681" t="s">
        <v>2452</v>
      </c>
      <c r="V681">
        <v>263666.65</v>
      </c>
      <c r="W681" t="s">
        <v>182</v>
      </c>
      <c r="X681"/>
    </row>
    <row r="682" spans="1:27">
      <c r="A682" t="s">
        <v>28</v>
      </c>
      <c r="B682" t="s">
        <v>29</v>
      </c>
      <c r="C682" t="s">
        <v>2453</v>
      </c>
      <c r="D682" t="s">
        <v>2454</v>
      </c>
      <c r="E682" t="s">
        <v>2455</v>
      </c>
      <c r="F682" t="s">
        <v>33</v>
      </c>
      <c r="G682">
        <v>0</v>
      </c>
      <c r="H682">
        <f>((0/1000) * G682)</f>
        <v>0</v>
      </c>
      <c r="I682">
        <v>0</v>
      </c>
      <c r="J682">
        <v>0</v>
      </c>
      <c r="K682" s="2703">
        <v>207792.21</v>
      </c>
      <c r="L682" s="2704">
        <f>(K682 * G682)</f>
        <v>0</v>
      </c>
      <c r="M682" s="2705">
        <v>290909.09</v>
      </c>
      <c r="N682" s="2706">
        <f>(G682 * M682)</f>
        <v>0</v>
      </c>
      <c r="O682">
        <v>0</v>
      </c>
      <c r="P682">
        <v>0</v>
      </c>
      <c r="Q682">
        <f>IF(O682&gt;G682,(O682-G682),0)</f>
        <v>0</v>
      </c>
      <c r="R682">
        <v>1</v>
      </c>
      <c r="S682">
        <f>IF(Q682&gt;0,Int(P682/Q682),0)</f>
        <v>0</v>
      </c>
      <c r="T682">
        <f>264195.93</f>
        <v>264195.93</v>
      </c>
      <c r="U682" t="s">
        <v>2456</v>
      </c>
      <c r="V682">
        <v>207792.21</v>
      </c>
      <c r="W682" t="s">
        <v>182</v>
      </c>
      <c r="X682"/>
    </row>
    <row r="683" spans="1:27">
      <c r="A683" t="s">
        <v>28</v>
      </c>
      <c r="B683" t="s">
        <v>29</v>
      </c>
      <c r="C683" t="s">
        <v>2457</v>
      </c>
      <c r="D683" t="s">
        <v>2458</v>
      </c>
      <c r="E683" t="s">
        <v>2459</v>
      </c>
      <c r="F683" t="s">
        <v>33</v>
      </c>
      <c r="G683">
        <v>0</v>
      </c>
      <c r="H683">
        <f>((0/1000) * G683)</f>
        <v>0</v>
      </c>
      <c r="I683">
        <v>0</v>
      </c>
      <c r="J683">
        <v>0</v>
      </c>
      <c r="K683" s="2707">
        <v>207792.21</v>
      </c>
      <c r="L683" s="2708">
        <f>(K683 * G683)</f>
        <v>0</v>
      </c>
      <c r="M683" s="2709">
        <v>290909.09</v>
      </c>
      <c r="N683" s="2710">
        <f>(G683 * M683)</f>
        <v>0</v>
      </c>
      <c r="O683">
        <v>0</v>
      </c>
      <c r="P683">
        <v>0</v>
      </c>
      <c r="Q683">
        <f>IF(O683&gt;G683,(O683-G683),0)</f>
        <v>0</v>
      </c>
      <c r="R683">
        <v>1</v>
      </c>
      <c r="S683">
        <f>IF(Q683&gt;0,Int(P683/Q683),0)</f>
        <v>0</v>
      </c>
      <c r="T683">
        <f>267841.35</f>
        <v>267841.35</v>
      </c>
      <c r="U683" t="s">
        <v>2460</v>
      </c>
      <c r="V683">
        <v>207792.21</v>
      </c>
      <c r="W683" t="s">
        <v>182</v>
      </c>
      <c r="X683"/>
    </row>
    <row r="684" spans="1:27">
      <c r="A684" t="s">
        <v>28</v>
      </c>
      <c r="B684" t="s">
        <v>29</v>
      </c>
      <c r="C684" t="s">
        <v>2461</v>
      </c>
      <c r="D684" t="s">
        <v>2462</v>
      </c>
      <c r="E684" t="s">
        <v>2463</v>
      </c>
      <c r="F684" t="s">
        <v>41</v>
      </c>
      <c r="G684">
        <v>-2</v>
      </c>
      <c r="H684">
        <f>((0/1000) * G684)</f>
        <v>-0</v>
      </c>
      <c r="I684">
        <v>0</v>
      </c>
      <c r="J684">
        <v>-2</v>
      </c>
      <c r="K684" s="2711">
        <v>107101</v>
      </c>
      <c r="L684" s="2712">
        <f>(K684 * G684)</f>
        <v>-214202</v>
      </c>
      <c r="M684" s="2713">
        <v>182071.7</v>
      </c>
      <c r="N684" s="2714">
        <f>(G684 * M684)</f>
        <v>-364143.4</v>
      </c>
      <c r="O684">
        <v>0</v>
      </c>
      <c r="P684">
        <v>0</v>
      </c>
      <c r="Q684">
        <f>IF(O684&gt;G684,(O684-G684),0)</f>
        <v>2</v>
      </c>
      <c r="R684">
        <v>1</v>
      </c>
      <c r="S684">
        <f>IF(Q684&gt;0,Int(P684/Q684),0)</f>
        <v>0</v>
      </c>
      <c r="T684">
        <f>107101</f>
        <v>107101</v>
      </c>
      <c r="U684" t="s">
        <v>2464</v>
      </c>
      <c r="V684">
        <v>107101</v>
      </c>
      <c r="W684" t="s">
        <v>144</v>
      </c>
      <c r="X684" t="s">
        <v>198</v>
      </c>
    </row>
    <row r="685" spans="1:27">
      <c r="A685" t="s">
        <v>28</v>
      </c>
      <c r="B685" t="s">
        <v>29</v>
      </c>
      <c r="C685" t="s">
        <v>2465</v>
      </c>
      <c r="D685" t="s">
        <v>2466</v>
      </c>
      <c r="E685" t="s">
        <v>2467</v>
      </c>
      <c r="F685" t="s">
        <v>33</v>
      </c>
      <c r="G685">
        <v>0</v>
      </c>
      <c r="H685">
        <f>((0/1000) * G685)</f>
        <v>0</v>
      </c>
      <c r="I685">
        <v>0</v>
      </c>
      <c r="J685">
        <v>0</v>
      </c>
      <c r="K685" s="2715">
        <v>116178.23</v>
      </c>
      <c r="L685" s="2716">
        <f>(K685 * G685)</f>
        <v>0</v>
      </c>
      <c r="M685" s="2717">
        <v>162649.52</v>
      </c>
      <c r="N685" s="2718">
        <f>(G685 * M685)</f>
        <v>0</v>
      </c>
      <c r="O685">
        <v>0</v>
      </c>
      <c r="P685">
        <v>0</v>
      </c>
      <c r="Q685">
        <f>IF(O685&gt;G685,(O685-G685),0)</f>
        <v>0</v>
      </c>
      <c r="R685">
        <v>1</v>
      </c>
      <c r="S685">
        <f>IF(Q685&gt;0,Int(P685/Q685),0)</f>
        <v>0</v>
      </c>
      <c r="T685">
        <f>119008.26</f>
        <v>119008.26</v>
      </c>
      <c r="U685" t="s">
        <v>2468</v>
      </c>
      <c r="V685">
        <v>116178.23</v>
      </c>
      <c r="W685" t="s">
        <v>301</v>
      </c>
      <c r="X685"/>
    </row>
    <row r="686" spans="1:27">
      <c r="A686" t="s">
        <v>28</v>
      </c>
      <c r="B686" t="s">
        <v>29</v>
      </c>
      <c r="C686" t="s">
        <v>2469</v>
      </c>
      <c r="D686" t="s">
        <v>2470</v>
      </c>
      <c r="E686" t="s">
        <v>2471</v>
      </c>
      <c r="F686" t="s">
        <v>33</v>
      </c>
      <c r="G686">
        <v>0</v>
      </c>
      <c r="H686">
        <f>((0/1000) * G686)</f>
        <v>0</v>
      </c>
      <c r="I686">
        <v>0</v>
      </c>
      <c r="J686">
        <v>0</v>
      </c>
      <c r="K686" s="2719">
        <v>195946.93</v>
      </c>
      <c r="L686" s="2720">
        <f>(K686 * G686)</f>
        <v>0</v>
      </c>
      <c r="M686" s="2721">
        <v>274325.7</v>
      </c>
      <c r="N686" s="2722">
        <f>(G686 * M686)</f>
        <v>0</v>
      </c>
      <c r="O686">
        <v>0</v>
      </c>
      <c r="P686">
        <v>0</v>
      </c>
      <c r="Q686">
        <f>IF(O686&gt;G686,(O686-G686),0)</f>
        <v>0</v>
      </c>
      <c r="R686">
        <v>1</v>
      </c>
      <c r="S686">
        <f>IF(Q686&gt;0,Int(P686/Q686),0)</f>
        <v>0</v>
      </c>
      <c r="T686">
        <f>0</f>
        <v>0</v>
      </c>
      <c r="U686"/>
      <c r="V686">
        <v>195946.93</v>
      </c>
      <c r="W686" t="s">
        <v>301</v>
      </c>
      <c r="X686"/>
    </row>
    <row r="687" spans="1:27">
      <c r="A687" t="s">
        <v>35</v>
      </c>
      <c r="B687" t="s">
        <v>29</v>
      </c>
      <c r="C687" t="s">
        <v>2472</v>
      </c>
      <c r="D687" t="s">
        <v>2473</v>
      </c>
      <c r="E687" t="s">
        <v>2474</v>
      </c>
      <c r="F687" t="s">
        <v>33</v>
      </c>
      <c r="G687">
        <v>0</v>
      </c>
      <c r="H687">
        <f>((0/1000) * G687)</f>
        <v>0</v>
      </c>
      <c r="I687">
        <v>0</v>
      </c>
      <c r="J687">
        <v>0</v>
      </c>
      <c r="K687" s="2723">
        <v>164915.94</v>
      </c>
      <c r="L687" s="2724">
        <f>(K687 * G687)</f>
        <v>0</v>
      </c>
      <c r="M687" s="2725">
        <v>181407.53</v>
      </c>
      <c r="N687" s="2726">
        <f>(G687 * M687)</f>
        <v>0</v>
      </c>
      <c r="O687">
        <v>0</v>
      </c>
      <c r="P687">
        <v>0</v>
      </c>
      <c r="Q687">
        <f>IF(O687&gt;G687,(O687-G687),0)</f>
        <v>0</v>
      </c>
      <c r="R687">
        <v>1</v>
      </c>
      <c r="S687">
        <f>IF(Q687&gt;0,Int(P687/Q687),0)</f>
        <v>0</v>
      </c>
      <c r="T687">
        <f>149923.58</f>
        <v>149923.58</v>
      </c>
      <c r="U687" t="s">
        <v>2475</v>
      </c>
      <c r="V687">
        <v>164915.94</v>
      </c>
      <c r="W687" t="s">
        <v>43</v>
      </c>
      <c r="X687"/>
    </row>
    <row r="688" spans="1:27">
      <c r="A688" t="s">
        <v>28</v>
      </c>
      <c r="B688" t="s">
        <v>29</v>
      </c>
      <c r="C688" t="s">
        <v>2476</v>
      </c>
      <c r="D688" t="s">
        <v>2477</v>
      </c>
      <c r="E688" t="s">
        <v>2478</v>
      </c>
      <c r="F688" t="s">
        <v>41</v>
      </c>
      <c r="G688">
        <v>0</v>
      </c>
      <c r="H688">
        <f>((0/1000) * G688)</f>
        <v>0</v>
      </c>
      <c r="I688">
        <v>0</v>
      </c>
      <c r="J688">
        <v>0</v>
      </c>
      <c r="K688" s="2727">
        <v>0</v>
      </c>
      <c r="L688" s="2728">
        <f>(K688 * G688)</f>
        <v>0</v>
      </c>
      <c r="M688" s="2729">
        <v>0</v>
      </c>
      <c r="N688" s="2730">
        <f>(G688 * M688)</f>
        <v>0</v>
      </c>
      <c r="O688">
        <v>0</v>
      </c>
      <c r="P688">
        <v>0</v>
      </c>
      <c r="Q688">
        <f>IF(O688&gt;G688,(O688-G688),0)</f>
        <v>0</v>
      </c>
      <c r="R688">
        <v>1</v>
      </c>
      <c r="S688">
        <f>IF(Q688&gt;0,Int(P688/Q688),0)</f>
        <v>0</v>
      </c>
      <c r="T688">
        <f>141893.31</f>
        <v>141893.31</v>
      </c>
      <c r="U688" t="s">
        <v>2479</v>
      </c>
      <c r="V688">
        <v>0</v>
      </c>
      <c r="W688">
        <v>0</v>
      </c>
      <c r="X688"/>
    </row>
    <row r="689" spans="1:27">
      <c r="A689" t="s">
        <v>28</v>
      </c>
      <c r="B689" t="s">
        <v>29</v>
      </c>
      <c r="C689" t="s">
        <v>2480</v>
      </c>
      <c r="D689" t="s">
        <v>2481</v>
      </c>
      <c r="E689" t="s">
        <v>2482</v>
      </c>
      <c r="F689" t="s">
        <v>41</v>
      </c>
      <c r="G689">
        <v>0</v>
      </c>
      <c r="H689">
        <f>((0/1000) * G689)</f>
        <v>0</v>
      </c>
      <c r="I689">
        <v>0</v>
      </c>
      <c r="J689">
        <v>0</v>
      </c>
      <c r="K689" s="2731">
        <v>212892.56</v>
      </c>
      <c r="L689" s="2732">
        <f>(K689 * G689)</f>
        <v>0</v>
      </c>
      <c r="M689" s="2733">
        <v>234181.82</v>
      </c>
      <c r="N689" s="2734">
        <f>(G689 * M689)</f>
        <v>0</v>
      </c>
      <c r="O689">
        <v>0</v>
      </c>
      <c r="P689">
        <v>0</v>
      </c>
      <c r="Q689">
        <f>IF(O689&gt;G689,(O689-G689),0)</f>
        <v>0</v>
      </c>
      <c r="R689">
        <v>1</v>
      </c>
      <c r="S689">
        <f>IF(Q689&gt;0,Int(P689/Q689),0)</f>
        <v>0</v>
      </c>
      <c r="T689">
        <f>241773.1</f>
        <v>241773.1</v>
      </c>
      <c r="U689" t="s">
        <v>2483</v>
      </c>
      <c r="V689">
        <v>212892.56</v>
      </c>
      <c r="W689" t="s">
        <v>43</v>
      </c>
      <c r="X689"/>
    </row>
    <row r="690" spans="1:27">
      <c r="A690" t="s">
        <v>28</v>
      </c>
      <c r="B690" t="s">
        <v>29</v>
      </c>
      <c r="C690" t="s">
        <v>2484</v>
      </c>
      <c r="D690" t="s">
        <v>2485</v>
      </c>
      <c r="E690" t="s">
        <v>2486</v>
      </c>
      <c r="F690" t="s">
        <v>33</v>
      </c>
      <c r="G690">
        <v>0</v>
      </c>
      <c r="H690">
        <f>((0/1000) * G690)</f>
        <v>0</v>
      </c>
      <c r="I690">
        <v>0</v>
      </c>
      <c r="J690">
        <v>0</v>
      </c>
      <c r="K690" s="2735">
        <v>263666.65</v>
      </c>
      <c r="L690" s="2736">
        <f>(K690 * G690)</f>
        <v>0</v>
      </c>
      <c r="M690" s="2737">
        <v>369133.31</v>
      </c>
      <c r="N690" s="2738">
        <f>(G690 * M690)</f>
        <v>0</v>
      </c>
      <c r="O690">
        <v>0</v>
      </c>
      <c r="P690">
        <v>0</v>
      </c>
      <c r="Q690">
        <f>IF(O690&gt;G690,(O690-G690),0)</f>
        <v>0</v>
      </c>
      <c r="R690">
        <v>1</v>
      </c>
      <c r="S690">
        <f>IF(Q690&gt;0,Int(P690/Q690),0)</f>
        <v>0</v>
      </c>
      <c r="T690">
        <f>0</f>
        <v>0</v>
      </c>
      <c r="U690"/>
      <c r="V690">
        <v>263666.65</v>
      </c>
      <c r="W690" t="s">
        <v>182</v>
      </c>
      <c r="X690"/>
    </row>
    <row r="691" spans="1:27">
      <c r="A691" t="s">
        <v>28</v>
      </c>
      <c r="B691" t="s">
        <v>29</v>
      </c>
      <c r="C691" t="s">
        <v>2487</v>
      </c>
      <c r="D691" t="s">
        <v>2488</v>
      </c>
      <c r="E691" t="s">
        <v>2489</v>
      </c>
      <c r="F691" t="s">
        <v>33</v>
      </c>
      <c r="G691">
        <v>0</v>
      </c>
      <c r="H691">
        <f>((0/1000) * G691)</f>
        <v>0</v>
      </c>
      <c r="I691">
        <v>0</v>
      </c>
      <c r="J691">
        <v>0</v>
      </c>
      <c r="K691" s="2739">
        <v>107570.84</v>
      </c>
      <c r="L691" s="2740">
        <f>(K691 * G691)</f>
        <v>0</v>
      </c>
      <c r="M691" s="2741">
        <v>150599.17</v>
      </c>
      <c r="N691" s="2742">
        <f>(G691 * M691)</f>
        <v>0</v>
      </c>
      <c r="O691">
        <v>0</v>
      </c>
      <c r="P691">
        <v>0</v>
      </c>
      <c r="Q691">
        <f>IF(O691&gt;G691,(O691-G691),0)</f>
        <v>0</v>
      </c>
      <c r="R691">
        <v>0</v>
      </c>
      <c r="S691">
        <f>IF(Q691&gt;0,Int(P691/Q691),0)</f>
        <v>0</v>
      </c>
      <c r="T691">
        <f>0</f>
        <v>0</v>
      </c>
      <c r="U691"/>
      <c r="V691">
        <v>107570.84</v>
      </c>
      <c r="W691" t="s">
        <v>529</v>
      </c>
      <c r="X691"/>
    </row>
    <row r="692" spans="1:27">
      <c r="A692" t="s">
        <v>28</v>
      </c>
      <c r="B692" t="s">
        <v>29</v>
      </c>
      <c r="C692" t="s">
        <v>2490</v>
      </c>
      <c r="D692" t="s">
        <v>2491</v>
      </c>
      <c r="E692" t="s">
        <v>2492</v>
      </c>
      <c r="F692" t="s">
        <v>41</v>
      </c>
      <c r="G692">
        <v>1</v>
      </c>
      <c r="H692">
        <f>((0/1000) * G692)</f>
        <v>0</v>
      </c>
      <c r="I692">
        <v>0</v>
      </c>
      <c r="J692">
        <v>1</v>
      </c>
      <c r="K692" s="2743">
        <v>109224</v>
      </c>
      <c r="L692" s="2744">
        <f>(K692 * G692)</f>
        <v>109224</v>
      </c>
      <c r="M692" s="2745">
        <v>174758.4</v>
      </c>
      <c r="N692" s="2746">
        <f>(G692 * M692)</f>
        <v>174758.4</v>
      </c>
      <c r="O692">
        <v>0</v>
      </c>
      <c r="P692">
        <v>0</v>
      </c>
      <c r="Q692">
        <f>IF(O692&gt;G692,(O692-G692),0)</f>
        <v>0</v>
      </c>
      <c r="R692">
        <v>1</v>
      </c>
      <c r="S692">
        <f>IF(Q692&gt;0,Int(P692/Q692),0)</f>
        <v>0</v>
      </c>
      <c r="T692">
        <f>89876.37</f>
        <v>89876.37</v>
      </c>
      <c r="U692" t="s">
        <v>2493</v>
      </c>
      <c r="V692">
        <v>109224</v>
      </c>
      <c r="W692" t="s">
        <v>238</v>
      </c>
      <c r="X692" t="s">
        <v>239</v>
      </c>
    </row>
    <row r="693" spans="1:27">
      <c r="A693" t="s">
        <v>35</v>
      </c>
      <c r="B693" t="s">
        <v>29</v>
      </c>
      <c r="C693" t="s">
        <v>2494</v>
      </c>
      <c r="D693" t="s">
        <v>2495</v>
      </c>
      <c r="E693" t="s">
        <v>2496</v>
      </c>
      <c r="F693" t="s">
        <v>33</v>
      </c>
      <c r="G693">
        <v>0</v>
      </c>
      <c r="H693">
        <f>((0/1000) * G693)</f>
        <v>0</v>
      </c>
      <c r="I693">
        <v>0</v>
      </c>
      <c r="J693">
        <v>0</v>
      </c>
      <c r="K693" s="2747">
        <v>59116.75</v>
      </c>
      <c r="L693" s="2748">
        <f>(K693 * G693)</f>
        <v>0</v>
      </c>
      <c r="M693" s="2749">
        <v>82763.45</v>
      </c>
      <c r="N693" s="2750">
        <f>(G693 * M693)</f>
        <v>0</v>
      </c>
      <c r="O693">
        <v>0</v>
      </c>
      <c r="P693">
        <v>0</v>
      </c>
      <c r="Q693">
        <f>IF(O693&gt;G693,(O693-G693),0)</f>
        <v>0</v>
      </c>
      <c r="R693">
        <v>1</v>
      </c>
      <c r="S693">
        <f>IF(Q693&gt;0,Int(P693/Q693),0)</f>
        <v>0</v>
      </c>
      <c r="T693">
        <f>0</f>
        <v>0</v>
      </c>
      <c r="U693"/>
      <c r="V693">
        <v>59116.75</v>
      </c>
      <c r="W693" t="s">
        <v>75</v>
      </c>
      <c r="X693"/>
    </row>
    <row r="694" spans="1:27">
      <c r="A694" t="s">
        <v>35</v>
      </c>
      <c r="B694" t="s">
        <v>29</v>
      </c>
      <c r="C694" t="s">
        <v>2497</v>
      </c>
      <c r="D694" t="s">
        <v>2498</v>
      </c>
      <c r="E694" t="s">
        <v>2499</v>
      </c>
      <c r="F694" t="s">
        <v>33</v>
      </c>
      <c r="G694">
        <v>0</v>
      </c>
      <c r="H694">
        <f>((0/1000) * G694)</f>
        <v>0</v>
      </c>
      <c r="I694">
        <v>0</v>
      </c>
      <c r="J694">
        <v>0</v>
      </c>
      <c r="K694" s="2751">
        <v>0</v>
      </c>
      <c r="L694" s="2752">
        <f>(K694 * G694)</f>
        <v>0</v>
      </c>
      <c r="M694" s="2753">
        <v>0</v>
      </c>
      <c r="N694" s="2754">
        <f>(G694 * M694)</f>
        <v>0</v>
      </c>
      <c r="O694">
        <v>0</v>
      </c>
      <c r="P694">
        <v>0</v>
      </c>
      <c r="Q694">
        <f>IF(O694&gt;G694,(O694-G694),0)</f>
        <v>0</v>
      </c>
      <c r="R694">
        <v>1</v>
      </c>
      <c r="S694">
        <f>IF(Q694&gt;0,Int(P694/Q694),0)</f>
        <v>0</v>
      </c>
      <c r="T694">
        <f>117703.6</f>
        <v>117703.6</v>
      </c>
      <c r="U694" t="s">
        <v>2500</v>
      </c>
      <c r="V694">
        <v>0</v>
      </c>
      <c r="W694">
        <v>0</v>
      </c>
      <c r="X694"/>
    </row>
    <row r="695" spans="1:27">
      <c r="A695" t="s">
        <v>35</v>
      </c>
      <c r="B695" t="s">
        <v>29</v>
      </c>
      <c r="C695" t="s">
        <v>2501</v>
      </c>
      <c r="D695" t="s">
        <v>2502</v>
      </c>
      <c r="E695" t="s">
        <v>2503</v>
      </c>
      <c r="F695" t="s">
        <v>41</v>
      </c>
      <c r="G695">
        <v>15</v>
      </c>
      <c r="H695">
        <f>((0/1000) * G695)</f>
        <v>0</v>
      </c>
      <c r="I695">
        <v>0</v>
      </c>
      <c r="J695">
        <v>15</v>
      </c>
      <c r="K695" s="2755">
        <v>85292</v>
      </c>
      <c r="L695" s="2756">
        <f>(K695 * G695)</f>
        <v>1279380</v>
      </c>
      <c r="M695" s="2757">
        <v>144996.4</v>
      </c>
      <c r="N695" s="2758">
        <f>(G695 * M695)</f>
        <v>2174946</v>
      </c>
      <c r="O695">
        <v>0</v>
      </c>
      <c r="P695">
        <v>0</v>
      </c>
      <c r="Q695">
        <f>IF(O695&gt;G695,(O695-G695),0)</f>
        <v>0</v>
      </c>
      <c r="R695">
        <v>1</v>
      </c>
      <c r="S695">
        <f>IF(Q695&gt;0,Int(P695/Q695),0)</f>
        <v>0</v>
      </c>
      <c r="T695">
        <f>85292</f>
        <v>85292</v>
      </c>
      <c r="U695" t="s">
        <v>691</v>
      </c>
      <c r="V695">
        <v>85292</v>
      </c>
      <c r="W695" t="s">
        <v>144</v>
      </c>
      <c r="X695" t="s">
        <v>136</v>
      </c>
    </row>
    <row r="696" spans="1:27">
      <c r="A696" t="s">
        <v>35</v>
      </c>
      <c r="B696" t="s">
        <v>29</v>
      </c>
      <c r="C696" t="s">
        <v>2504</v>
      </c>
      <c r="D696" t="s">
        <v>2504</v>
      </c>
      <c r="E696" t="s">
        <v>2505</v>
      </c>
      <c r="F696" t="s">
        <v>33</v>
      </c>
      <c r="G696">
        <v>0</v>
      </c>
      <c r="H696">
        <f>((1/1000) * G696)</f>
        <v>0</v>
      </c>
      <c r="I696">
        <v>0</v>
      </c>
      <c r="J696">
        <v>0</v>
      </c>
      <c r="K696" s="2759">
        <v>0</v>
      </c>
      <c r="L696" s="2760">
        <f>(K696 * G696)</f>
        <v>0</v>
      </c>
      <c r="M696" s="2761">
        <v>0</v>
      </c>
      <c r="N696" s="2762">
        <f>(G696 * M696)</f>
        <v>0</v>
      </c>
      <c r="O696">
        <v>0</v>
      </c>
      <c r="P696">
        <v>0</v>
      </c>
      <c r="Q696">
        <f>IF(O696&gt;G696,(O696-G696),0)</f>
        <v>0</v>
      </c>
      <c r="R696">
        <v>0</v>
      </c>
      <c r="S696">
        <f>IF(Q696&gt;0,Int(P696/Q696),0)</f>
        <v>0</v>
      </c>
      <c r="T696">
        <f>0</f>
        <v>0</v>
      </c>
      <c r="U696"/>
      <c r="V696">
        <v>0</v>
      </c>
      <c r="W696">
        <v>0</v>
      </c>
      <c r="X696"/>
    </row>
    <row r="697" spans="1:27">
      <c r="A697" t="s">
        <v>35</v>
      </c>
      <c r="B697" t="s">
        <v>29</v>
      </c>
      <c r="C697" t="s">
        <v>2506</v>
      </c>
      <c r="D697" t="s">
        <v>2506</v>
      </c>
      <c r="E697" t="s">
        <v>2507</v>
      </c>
      <c r="F697" t="s">
        <v>33</v>
      </c>
      <c r="G697">
        <v>0</v>
      </c>
      <c r="H697">
        <f>((1/1000) * G697)</f>
        <v>0</v>
      </c>
      <c r="I697">
        <v>0</v>
      </c>
      <c r="J697">
        <v>0</v>
      </c>
      <c r="K697" s="2763">
        <v>0</v>
      </c>
      <c r="L697" s="2764">
        <f>(K697 * G697)</f>
        <v>0</v>
      </c>
      <c r="M697" s="2765">
        <v>0</v>
      </c>
      <c r="N697" s="2766">
        <f>(G697 * M697)</f>
        <v>0</v>
      </c>
      <c r="O697">
        <v>0</v>
      </c>
      <c r="P697">
        <v>0</v>
      </c>
      <c r="Q697">
        <f>IF(O697&gt;G697,(O697-G697),0)</f>
        <v>0</v>
      </c>
      <c r="R697">
        <v>0</v>
      </c>
      <c r="S697">
        <f>IF(Q697&gt;0,Int(P697/Q697),0)</f>
        <v>0</v>
      </c>
      <c r="T697">
        <f>0</f>
        <v>0</v>
      </c>
      <c r="U697"/>
      <c r="V697">
        <v>0</v>
      </c>
      <c r="W697">
        <v>0</v>
      </c>
      <c r="X697"/>
    </row>
    <row r="698" spans="1:27">
      <c r="A698" t="s">
        <v>28</v>
      </c>
      <c r="B698" t="s">
        <v>29</v>
      </c>
      <c r="C698" t="s">
        <v>2508</v>
      </c>
      <c r="D698" t="s">
        <v>2509</v>
      </c>
      <c r="E698" t="s">
        <v>2510</v>
      </c>
      <c r="F698" t="s">
        <v>33</v>
      </c>
      <c r="G698">
        <v>0</v>
      </c>
      <c r="H698">
        <f>((0/1000) * G698)</f>
        <v>0</v>
      </c>
      <c r="I698">
        <v>0</v>
      </c>
      <c r="J698">
        <v>0</v>
      </c>
      <c r="K698" s="2767">
        <v>98539.42</v>
      </c>
      <c r="L698" s="2768">
        <f>(K698 * G698)</f>
        <v>0</v>
      </c>
      <c r="M698" s="2769">
        <v>137955.18</v>
      </c>
      <c r="N698" s="2770">
        <f>(G698 * M698)</f>
        <v>0</v>
      </c>
      <c r="O698">
        <v>0</v>
      </c>
      <c r="P698">
        <v>0</v>
      </c>
      <c r="Q698">
        <f>IF(O698&gt;G698,(O698-G698),0)</f>
        <v>0</v>
      </c>
      <c r="R698">
        <v>0</v>
      </c>
      <c r="S698">
        <f>IF(Q698&gt;0,Int(P698/Q698),0)</f>
        <v>0</v>
      </c>
      <c r="T698">
        <f>0</f>
        <v>0</v>
      </c>
      <c r="U698"/>
      <c r="V698">
        <v>98539.42</v>
      </c>
      <c r="W698" t="s">
        <v>75</v>
      </c>
      <c r="X698"/>
    </row>
    <row r="699" spans="1:27">
      <c r="A699" t="s">
        <v>35</v>
      </c>
      <c r="B699" t="s">
        <v>29</v>
      </c>
      <c r="C699" t="s">
        <v>2511</v>
      </c>
      <c r="D699" t="s">
        <v>2512</v>
      </c>
      <c r="E699" t="s">
        <v>2513</v>
      </c>
      <c r="F699" t="s">
        <v>41</v>
      </c>
      <c r="G699">
        <v>0</v>
      </c>
      <c r="H699">
        <f>((0/1000) * G699)</f>
        <v>0</v>
      </c>
      <c r="I699">
        <v>0</v>
      </c>
      <c r="J699">
        <v>0</v>
      </c>
      <c r="K699" s="2771">
        <v>237190.09</v>
      </c>
      <c r="L699" s="2772">
        <f>(K699 * G699)</f>
        <v>0</v>
      </c>
      <c r="M699" s="2773">
        <v>260909.09</v>
      </c>
      <c r="N699" s="2774">
        <f>(G699 * M699)</f>
        <v>0</v>
      </c>
      <c r="O699">
        <v>0</v>
      </c>
      <c r="P699">
        <v>0</v>
      </c>
      <c r="Q699">
        <f>IF(O699&gt;G699,(O699-G699),0)</f>
        <v>0</v>
      </c>
      <c r="R699">
        <v>1</v>
      </c>
      <c r="S699">
        <f>IF(Q699&gt;0,Int(P699/Q699),0)</f>
        <v>0</v>
      </c>
      <c r="T699">
        <f>0</f>
        <v>0</v>
      </c>
      <c r="U699"/>
      <c r="V699">
        <v>237190.09</v>
      </c>
      <c r="W699" t="s">
        <v>43</v>
      </c>
      <c r="X699"/>
    </row>
    <row r="700" spans="1:27">
      <c r="A700" t="s">
        <v>35</v>
      </c>
      <c r="B700" t="s">
        <v>29</v>
      </c>
      <c r="C700" t="s">
        <v>2514</v>
      </c>
      <c r="D700" t="s">
        <v>2515</v>
      </c>
      <c r="E700" t="s">
        <v>2516</v>
      </c>
      <c r="F700" t="s">
        <v>41</v>
      </c>
      <c r="G700">
        <v>0</v>
      </c>
      <c r="H700">
        <f>((1/1000) * G700)</f>
        <v>0</v>
      </c>
      <c r="I700">
        <v>0</v>
      </c>
      <c r="J700">
        <v>0</v>
      </c>
      <c r="K700" s="2775">
        <v>201116.97</v>
      </c>
      <c r="L700" s="2776">
        <f>(K700 * G700)</f>
        <v>0</v>
      </c>
      <c r="M700" s="2777">
        <v>221228.67</v>
      </c>
      <c r="N700" s="2778">
        <f>(G700 * M700)</f>
        <v>0</v>
      </c>
      <c r="O700">
        <v>0</v>
      </c>
      <c r="P700">
        <v>0</v>
      </c>
      <c r="Q700">
        <f>IF(O700&gt;G700,(O700-G700),0)</f>
        <v>0</v>
      </c>
      <c r="R700">
        <v>1</v>
      </c>
      <c r="S700">
        <f>IF(Q700&gt;0,Int(P700/Q700),0)</f>
        <v>0</v>
      </c>
      <c r="T700">
        <f>182833.61</f>
        <v>182833.61</v>
      </c>
      <c r="U700" t="s">
        <v>2517</v>
      </c>
      <c r="V700">
        <v>201116.97</v>
      </c>
      <c r="W700" t="s">
        <v>43</v>
      </c>
      <c r="X700"/>
    </row>
    <row r="701" spans="1:27">
      <c r="A701" t="s">
        <v>28</v>
      </c>
      <c r="B701" t="s">
        <v>29</v>
      </c>
      <c r="C701" t="s">
        <v>2518</v>
      </c>
      <c r="D701" t="s">
        <v>2519</v>
      </c>
      <c r="E701" t="s">
        <v>2520</v>
      </c>
      <c r="F701" t="s">
        <v>33</v>
      </c>
      <c r="G701">
        <v>0</v>
      </c>
      <c r="H701">
        <f>((0/1000) * G701)</f>
        <v>0</v>
      </c>
      <c r="I701">
        <v>0</v>
      </c>
      <c r="J701">
        <v>0</v>
      </c>
      <c r="K701" s="2779">
        <v>241159.46</v>
      </c>
      <c r="L701" s="2780">
        <f>(K701 * G701)</f>
        <v>0</v>
      </c>
      <c r="M701" s="2781">
        <v>337623.25</v>
      </c>
      <c r="N701" s="2782">
        <f>(G701 * M701)</f>
        <v>0</v>
      </c>
      <c r="O701">
        <v>0</v>
      </c>
      <c r="P701">
        <v>0</v>
      </c>
      <c r="Q701">
        <f>IF(O701&gt;G701,(O701-G701),0)</f>
        <v>0</v>
      </c>
      <c r="R701">
        <v>1</v>
      </c>
      <c r="S701">
        <f>IF(Q701&gt;0,Int(P701/Q701),0)</f>
        <v>0</v>
      </c>
      <c r="T701">
        <f>287839.04</f>
        <v>287839.04</v>
      </c>
      <c r="U701" t="s">
        <v>2521</v>
      </c>
      <c r="V701">
        <v>241159.46</v>
      </c>
      <c r="W701" t="s">
        <v>182</v>
      </c>
      <c r="X701"/>
    </row>
    <row r="702" spans="1:27">
      <c r="A702" t="s">
        <v>28</v>
      </c>
      <c r="B702" t="s">
        <v>29</v>
      </c>
      <c r="C702" t="s">
        <v>2522</v>
      </c>
      <c r="D702" t="s">
        <v>2523</v>
      </c>
      <c r="E702" t="s">
        <v>2524</v>
      </c>
      <c r="F702" t="s">
        <v>41</v>
      </c>
      <c r="G702">
        <v>0</v>
      </c>
      <c r="H702">
        <f>((0/1000) * G702)</f>
        <v>0</v>
      </c>
      <c r="I702">
        <v>0</v>
      </c>
      <c r="J702">
        <v>0</v>
      </c>
      <c r="K702" s="2783">
        <v>263252.73</v>
      </c>
      <c r="L702" s="2784">
        <f>(K702 * G702)</f>
        <v>0</v>
      </c>
      <c r="M702" s="2785">
        <v>368553.82</v>
      </c>
      <c r="N702" s="2786">
        <f>(G702 * M702)</f>
        <v>0</v>
      </c>
      <c r="O702">
        <v>0</v>
      </c>
      <c r="P702">
        <v>0</v>
      </c>
      <c r="Q702">
        <f>IF(O702&gt;G702,(O702-G702),0)</f>
        <v>0</v>
      </c>
      <c r="R702">
        <v>1</v>
      </c>
      <c r="S702">
        <f>IF(Q702&gt;0,Int(P702/Q702),0)</f>
        <v>0</v>
      </c>
      <c r="T702">
        <f>85424.49</f>
        <v>85424.49</v>
      </c>
      <c r="U702" t="s">
        <v>2525</v>
      </c>
      <c r="V702">
        <v>263252.73</v>
      </c>
      <c r="W702" t="s">
        <v>75</v>
      </c>
      <c r="X702"/>
    </row>
    <row r="703" spans="1:27">
      <c r="A703" t="s">
        <v>35</v>
      </c>
      <c r="B703" t="s">
        <v>29</v>
      </c>
      <c r="C703" t="s">
        <v>2526</v>
      </c>
      <c r="D703" t="s">
        <v>1100</v>
      </c>
      <c r="E703" t="s">
        <v>2527</v>
      </c>
      <c r="F703" t="s">
        <v>33</v>
      </c>
      <c r="G703">
        <v>0</v>
      </c>
      <c r="H703">
        <f>((0/1000) * G703)</f>
        <v>0</v>
      </c>
      <c r="I703">
        <v>0</v>
      </c>
      <c r="J703">
        <v>0</v>
      </c>
      <c r="K703" s="2787">
        <v>89354.55</v>
      </c>
      <c r="L703" s="2788">
        <f>(K703 * G703)</f>
        <v>0</v>
      </c>
      <c r="M703" s="2789">
        <v>125096.37</v>
      </c>
      <c r="N703" s="2790">
        <f>(G703 * M703)</f>
        <v>0</v>
      </c>
      <c r="O703">
        <v>0</v>
      </c>
      <c r="P703">
        <v>0</v>
      </c>
      <c r="Q703">
        <f>IF(O703&gt;G703,(O703-G703),0)</f>
        <v>0</v>
      </c>
      <c r="R703">
        <v>0</v>
      </c>
      <c r="S703">
        <f>IF(Q703&gt;0,Int(P703/Q703),0)</f>
        <v>0</v>
      </c>
      <c r="T703">
        <f>0</f>
        <v>0</v>
      </c>
      <c r="U703"/>
      <c r="V703">
        <v>89354.55</v>
      </c>
      <c r="W703" t="s">
        <v>75</v>
      </c>
      <c r="X703"/>
    </row>
    <row r="704" spans="1:27">
      <c r="A704" t="s">
        <v>28</v>
      </c>
      <c r="B704" t="s">
        <v>29</v>
      </c>
      <c r="C704" t="s">
        <v>2528</v>
      </c>
      <c r="D704" t="s">
        <v>2529</v>
      </c>
      <c r="E704" t="s">
        <v>2530</v>
      </c>
      <c r="F704" t="s">
        <v>33</v>
      </c>
      <c r="G704">
        <v>0</v>
      </c>
      <c r="H704">
        <f>((0/1000) * G704)</f>
        <v>0</v>
      </c>
      <c r="I704">
        <v>0</v>
      </c>
      <c r="J704">
        <v>0</v>
      </c>
      <c r="K704" s="2791">
        <v>210897.4</v>
      </c>
      <c r="L704" s="2792">
        <f>(K704 * G704)</f>
        <v>0</v>
      </c>
      <c r="M704" s="2793">
        <v>295256.36</v>
      </c>
      <c r="N704" s="2794">
        <f>(G704 * M704)</f>
        <v>0</v>
      </c>
      <c r="O704">
        <v>0</v>
      </c>
      <c r="P704">
        <v>0</v>
      </c>
      <c r="Q704">
        <f>IF(O704&gt;G704,(O704-G704),0)</f>
        <v>0</v>
      </c>
      <c r="R704">
        <v>1</v>
      </c>
      <c r="S704">
        <f>IF(Q704&gt;0,Int(P704/Q704),0)</f>
        <v>0</v>
      </c>
      <c r="T704">
        <f>243365.11</f>
        <v>243365.11</v>
      </c>
      <c r="U704" t="s">
        <v>2531</v>
      </c>
      <c r="V704">
        <v>210897.4</v>
      </c>
      <c r="W704" t="s">
        <v>301</v>
      </c>
      <c r="X704"/>
    </row>
    <row r="705" spans="1:27">
      <c r="A705" t="s">
        <v>28</v>
      </c>
      <c r="B705" t="s">
        <v>29</v>
      </c>
      <c r="C705" t="s">
        <v>2532</v>
      </c>
      <c r="D705" t="s">
        <v>2533</v>
      </c>
      <c r="E705" t="s">
        <v>2534</v>
      </c>
      <c r="F705" t="s">
        <v>41</v>
      </c>
      <c r="G705">
        <v>0</v>
      </c>
      <c r="H705">
        <f>((0/1000) * G705)</f>
        <v>0</v>
      </c>
      <c r="I705">
        <v>0</v>
      </c>
      <c r="J705">
        <v>0</v>
      </c>
      <c r="K705" s="2795">
        <v>215123.97</v>
      </c>
      <c r="L705" s="2796">
        <f>(K705 * G705)</f>
        <v>0</v>
      </c>
      <c r="M705" s="2797">
        <v>236636.36</v>
      </c>
      <c r="N705" s="2798">
        <f>(G705 * M705)</f>
        <v>0</v>
      </c>
      <c r="O705">
        <v>0</v>
      </c>
      <c r="P705">
        <v>0</v>
      </c>
      <c r="Q705">
        <f>IF(O705&gt;G705,(O705-G705),0)</f>
        <v>0</v>
      </c>
      <c r="R705">
        <v>1</v>
      </c>
      <c r="S705">
        <f>IF(Q705&gt;0,Int(P705/Q705),0)</f>
        <v>0</v>
      </c>
      <c r="T705">
        <f>216679.19</f>
        <v>216679.19</v>
      </c>
      <c r="U705" t="s">
        <v>2535</v>
      </c>
      <c r="V705">
        <v>215123.97</v>
      </c>
      <c r="W705" t="s">
        <v>43</v>
      </c>
      <c r="X705"/>
    </row>
    <row r="706" spans="1:27">
      <c r="A706" t="s">
        <v>35</v>
      </c>
      <c r="B706" t="s">
        <v>29</v>
      </c>
      <c r="C706" t="s">
        <v>2536</v>
      </c>
      <c r="D706" t="s">
        <v>2537</v>
      </c>
      <c r="E706" t="s">
        <v>2538</v>
      </c>
      <c r="F706" t="s">
        <v>33</v>
      </c>
      <c r="G706">
        <v>1</v>
      </c>
      <c r="H706">
        <f>((0/1000) * G706)</f>
        <v>0</v>
      </c>
      <c r="I706">
        <v>0</v>
      </c>
      <c r="J706">
        <v>1</v>
      </c>
      <c r="K706" s="2799">
        <v>138016.53</v>
      </c>
      <c r="L706" s="2800">
        <f>(K706 * G706)</f>
        <v>138016.53</v>
      </c>
      <c r="M706" s="2801">
        <v>151818.18</v>
      </c>
      <c r="N706" s="2802">
        <f>(G706 * M706)</f>
        <v>151818.18</v>
      </c>
      <c r="O706">
        <v>0</v>
      </c>
      <c r="P706">
        <v>0</v>
      </c>
      <c r="Q706">
        <f>IF(O706&gt;G706,(O706-G706),0)</f>
        <v>0</v>
      </c>
      <c r="R706">
        <v>1</v>
      </c>
      <c r="S706">
        <f>IF(Q706&gt;0,Int(P706/Q706),0)</f>
        <v>0</v>
      </c>
      <c r="T706">
        <f>166115.71</f>
        <v>166115.71</v>
      </c>
      <c r="U706" t="s">
        <v>2539</v>
      </c>
      <c r="V706">
        <v>138016.53</v>
      </c>
      <c r="W706" t="s">
        <v>43</v>
      </c>
      <c r="X706" t="s">
        <v>2540</v>
      </c>
    </row>
    <row r="707" spans="1:27">
      <c r="A707" t="s">
        <v>28</v>
      </c>
      <c r="B707" t="s">
        <v>29</v>
      </c>
      <c r="C707" t="s">
        <v>2541</v>
      </c>
      <c r="D707" t="s">
        <v>2541</v>
      </c>
      <c r="E707" t="s">
        <v>2542</v>
      </c>
      <c r="F707" t="s">
        <v>33</v>
      </c>
      <c r="G707">
        <v>0</v>
      </c>
      <c r="H707">
        <f>((0/1000) * G707)</f>
        <v>0</v>
      </c>
      <c r="I707">
        <v>0</v>
      </c>
      <c r="J707">
        <v>0</v>
      </c>
      <c r="K707" s="2803">
        <v>99990</v>
      </c>
      <c r="L707" s="2804">
        <f>(K707 * G707)</f>
        <v>0</v>
      </c>
      <c r="M707" s="2805">
        <v>99990</v>
      </c>
      <c r="N707" s="2806">
        <f>(G707 * M707)</f>
        <v>0</v>
      </c>
      <c r="O707">
        <v>0</v>
      </c>
      <c r="P707">
        <v>0</v>
      </c>
      <c r="Q707">
        <f>IF(O707&gt;G707,(O707-G707),0)</f>
        <v>0</v>
      </c>
      <c r="R707">
        <v>1</v>
      </c>
      <c r="S707">
        <f>IF(Q707&gt;0,Int(P707/Q707),0)</f>
        <v>0</v>
      </c>
      <c r="T707">
        <f>28200</f>
        <v>28200</v>
      </c>
      <c r="U707" t="s">
        <v>2543</v>
      </c>
      <c r="V707">
        <v>99990</v>
      </c>
      <c r="W707" t="s">
        <v>43</v>
      </c>
      <c r="X707"/>
    </row>
    <row r="708" spans="1:27">
      <c r="A708" t="s">
        <v>35</v>
      </c>
      <c r="B708" t="s">
        <v>29</v>
      </c>
      <c r="C708" t="s">
        <v>2544</v>
      </c>
      <c r="D708" t="s">
        <v>2545</v>
      </c>
      <c r="E708" t="s">
        <v>2546</v>
      </c>
      <c r="F708" t="s">
        <v>33</v>
      </c>
      <c r="G708">
        <v>0</v>
      </c>
      <c r="H708">
        <f>((0/1000) * G708)</f>
        <v>0</v>
      </c>
      <c r="I708">
        <v>0</v>
      </c>
      <c r="J708">
        <v>0</v>
      </c>
      <c r="K708" s="2807">
        <v>75635.38</v>
      </c>
      <c r="L708" s="2808">
        <f>(K708 * G708)</f>
        <v>0</v>
      </c>
      <c r="M708" s="2809">
        <v>83198.92</v>
      </c>
      <c r="N708" s="2810">
        <f>(G708 * M708)</f>
        <v>0</v>
      </c>
      <c r="O708">
        <v>0</v>
      </c>
      <c r="P708">
        <v>0</v>
      </c>
      <c r="Q708">
        <f>IF(O708&gt;G708,(O708-G708),0)</f>
        <v>0</v>
      </c>
      <c r="R708">
        <v>1</v>
      </c>
      <c r="S708">
        <f>IF(Q708&gt;0,Int(P708/Q708),0)</f>
        <v>0</v>
      </c>
      <c r="T708">
        <f>68759.44</f>
        <v>68759.44</v>
      </c>
      <c r="U708" t="s">
        <v>2547</v>
      </c>
      <c r="V708">
        <v>75635.38</v>
      </c>
      <c r="W708" t="s">
        <v>43</v>
      </c>
      <c r="X708"/>
    </row>
    <row r="709" spans="1:27">
      <c r="A709" t="s">
        <v>28</v>
      </c>
      <c r="B709" t="s">
        <v>29</v>
      </c>
      <c r="C709" t="s">
        <v>2548</v>
      </c>
      <c r="D709" t="s">
        <v>2549</v>
      </c>
      <c r="E709" t="s">
        <v>2550</v>
      </c>
      <c r="F709" t="s">
        <v>41</v>
      </c>
      <c r="G709">
        <v>0</v>
      </c>
      <c r="H709">
        <f>((0/1000) * G709)</f>
        <v>0</v>
      </c>
      <c r="I709">
        <v>0</v>
      </c>
      <c r="J709">
        <v>0</v>
      </c>
      <c r="K709" s="2811">
        <v>77272.72</v>
      </c>
      <c r="L709" s="2812">
        <f>(K709 * G709)</f>
        <v>0</v>
      </c>
      <c r="M709" s="2813">
        <v>85000</v>
      </c>
      <c r="N709" s="2814">
        <f>(G709 * M709)</f>
        <v>0</v>
      </c>
      <c r="O709">
        <v>0</v>
      </c>
      <c r="P709">
        <v>0</v>
      </c>
      <c r="Q709">
        <f>IF(O709&gt;G709,(O709-G709),0)</f>
        <v>0</v>
      </c>
      <c r="R709">
        <v>1</v>
      </c>
      <c r="S709">
        <f>IF(Q709&gt;0,Int(P709/Q709),0)</f>
        <v>0</v>
      </c>
      <c r="T709">
        <f>0</f>
        <v>0</v>
      </c>
      <c r="U709"/>
      <c r="V709">
        <v>77272.72</v>
      </c>
      <c r="W709" t="s">
        <v>43</v>
      </c>
      <c r="X709"/>
    </row>
    <row r="710" spans="1:27">
      <c r="A710" t="s">
        <v>35</v>
      </c>
      <c r="B710" t="s">
        <v>29</v>
      </c>
      <c r="C710" t="s">
        <v>2551</v>
      </c>
      <c r="D710" t="s">
        <v>2552</v>
      </c>
      <c r="E710" t="s">
        <v>2553</v>
      </c>
      <c r="F710" t="s">
        <v>33</v>
      </c>
      <c r="G710">
        <v>1</v>
      </c>
      <c r="H710">
        <f>((0/1000) * G710)</f>
        <v>0</v>
      </c>
      <c r="I710">
        <v>0</v>
      </c>
      <c r="J710">
        <v>1</v>
      </c>
      <c r="K710" s="2815">
        <v>103090</v>
      </c>
      <c r="L710" s="2816">
        <f>(K710 * G710)</f>
        <v>103090</v>
      </c>
      <c r="M710" s="2817">
        <v>170098.5</v>
      </c>
      <c r="N710" s="2818">
        <f>(G710 * M710)</f>
        <v>170098.5</v>
      </c>
      <c r="O710">
        <v>0</v>
      </c>
      <c r="P710">
        <v>0</v>
      </c>
      <c r="Q710">
        <f>IF(O710&gt;G710,(O710-G710),0)</f>
        <v>0</v>
      </c>
      <c r="R710">
        <v>1</v>
      </c>
      <c r="S710">
        <f>IF(Q710&gt;0,Int(P710/Q710),0)</f>
        <v>0</v>
      </c>
      <c r="T710">
        <f>103090</f>
        <v>103090</v>
      </c>
      <c r="U710" t="s">
        <v>2554</v>
      </c>
      <c r="V710">
        <v>103090</v>
      </c>
      <c r="W710" t="s">
        <v>144</v>
      </c>
      <c r="X710" t="s">
        <v>2555</v>
      </c>
    </row>
    <row r="711" spans="1:27">
      <c r="A711" t="s">
        <v>28</v>
      </c>
      <c r="B711" t="s">
        <v>29</v>
      </c>
      <c r="C711" t="s">
        <v>2556</v>
      </c>
      <c r="D711" t="s">
        <v>2557</v>
      </c>
      <c r="E711" t="s">
        <v>2558</v>
      </c>
      <c r="F711" t="s">
        <v>41</v>
      </c>
      <c r="G711">
        <v>0</v>
      </c>
      <c r="H711">
        <f>((0/1000) * G711)</f>
        <v>0</v>
      </c>
      <c r="I711">
        <v>0</v>
      </c>
      <c r="J711">
        <v>0</v>
      </c>
      <c r="K711" s="2819">
        <v>132892.56</v>
      </c>
      <c r="L711" s="2820">
        <f>(K711 * G711)</f>
        <v>0</v>
      </c>
      <c r="M711" s="2821">
        <v>146181.82</v>
      </c>
      <c r="N711" s="2822">
        <f>(G711 * M711)</f>
        <v>0</v>
      </c>
      <c r="O711">
        <v>0</v>
      </c>
      <c r="P711">
        <v>0</v>
      </c>
      <c r="Q711">
        <f>IF(O711&gt;G711,(O711-G711),0)</f>
        <v>0</v>
      </c>
      <c r="R711">
        <v>1</v>
      </c>
      <c r="S711">
        <f>IF(Q711&gt;0,Int(P711/Q711),0)</f>
        <v>0</v>
      </c>
      <c r="T711">
        <f>146356.12</f>
        <v>146356.12</v>
      </c>
      <c r="U711" t="s">
        <v>2559</v>
      </c>
      <c r="V711">
        <v>132892.56</v>
      </c>
      <c r="W711" t="s">
        <v>43</v>
      </c>
      <c r="X711"/>
    </row>
    <row r="712" spans="1:27">
      <c r="A712" t="s">
        <v>28</v>
      </c>
      <c r="B712" t="s">
        <v>29</v>
      </c>
      <c r="C712" t="s">
        <v>2560</v>
      </c>
      <c r="D712" t="s">
        <v>2561</v>
      </c>
      <c r="E712" t="s">
        <v>2562</v>
      </c>
      <c r="F712" t="s">
        <v>33</v>
      </c>
      <c r="G712">
        <v>0</v>
      </c>
      <c r="H712">
        <f>((0/1000) * G712)</f>
        <v>0</v>
      </c>
      <c r="I712">
        <v>0</v>
      </c>
      <c r="J712">
        <v>0</v>
      </c>
      <c r="K712" s="2823">
        <v>114304.77</v>
      </c>
      <c r="L712" s="2824">
        <f>(K712 * G712)</f>
        <v>0</v>
      </c>
      <c r="M712" s="2825">
        <v>160026.68</v>
      </c>
      <c r="N712" s="2826">
        <f>(G712 * M712)</f>
        <v>0</v>
      </c>
      <c r="O712">
        <v>0</v>
      </c>
      <c r="P712">
        <v>0</v>
      </c>
      <c r="Q712">
        <f>IF(O712&gt;G712,(O712-G712),0)</f>
        <v>0</v>
      </c>
      <c r="R712">
        <v>1</v>
      </c>
      <c r="S712">
        <f>IF(Q712&gt;0,Int(P712/Q712),0)</f>
        <v>0</v>
      </c>
      <c r="T712">
        <f>114304.77</f>
        <v>114304.77</v>
      </c>
      <c r="U712" t="s">
        <v>2563</v>
      </c>
      <c r="V712">
        <v>114304.77</v>
      </c>
      <c r="W712" t="s">
        <v>301</v>
      </c>
      <c r="X712"/>
    </row>
    <row r="713" spans="1:27">
      <c r="A713" t="s">
        <v>35</v>
      </c>
      <c r="B713" t="s">
        <v>29</v>
      </c>
      <c r="C713" t="s">
        <v>2564</v>
      </c>
      <c r="D713" t="s">
        <v>2565</v>
      </c>
      <c r="E713" t="s">
        <v>2566</v>
      </c>
      <c r="F713" t="s">
        <v>33</v>
      </c>
      <c r="G713">
        <v>0</v>
      </c>
      <c r="H713">
        <f>((0/1000) * G713)</f>
        <v>0</v>
      </c>
      <c r="I713">
        <v>0</v>
      </c>
      <c r="J713">
        <v>0</v>
      </c>
      <c r="K713" s="2827">
        <v>98921.43</v>
      </c>
      <c r="L713" s="2828">
        <f>(K713 * G713)</f>
        <v>0</v>
      </c>
      <c r="M713" s="2829">
        <v>138490</v>
      </c>
      <c r="N713" s="2830">
        <f>(G713 * M713)</f>
        <v>0</v>
      </c>
      <c r="O713">
        <v>0</v>
      </c>
      <c r="P713">
        <v>0</v>
      </c>
      <c r="Q713">
        <f>IF(O713&gt;G713,(O713-G713),0)</f>
        <v>0</v>
      </c>
      <c r="R713">
        <v>1</v>
      </c>
      <c r="S713">
        <f>IF(Q713&gt;0,Int(P713/Q713),0)</f>
        <v>0</v>
      </c>
      <c r="T713">
        <f>89928.57</f>
        <v>89928.57</v>
      </c>
      <c r="U713" t="s">
        <v>2567</v>
      </c>
      <c r="V713">
        <v>98921.43</v>
      </c>
      <c r="W713" t="s">
        <v>75</v>
      </c>
      <c r="X713"/>
    </row>
    <row r="714" spans="1:27">
      <c r="A714" t="s">
        <v>35</v>
      </c>
      <c r="B714" t="s">
        <v>29</v>
      </c>
      <c r="C714" t="s">
        <v>2568</v>
      </c>
      <c r="D714" t="s">
        <v>2569</v>
      </c>
      <c r="E714" t="s">
        <v>2570</v>
      </c>
      <c r="F714" t="s">
        <v>41</v>
      </c>
      <c r="G714">
        <v>30</v>
      </c>
      <c r="H714">
        <f>((0/1000) * G714)</f>
        <v>0</v>
      </c>
      <c r="I714">
        <v>0</v>
      </c>
      <c r="J714">
        <v>30</v>
      </c>
      <c r="K714" s="2831">
        <v>88438</v>
      </c>
      <c r="L714" s="2832">
        <f>(K714 * G714)</f>
        <v>2653140</v>
      </c>
      <c r="M714" s="2833">
        <v>132231.4</v>
      </c>
      <c r="N714" s="2834">
        <f>(G714 * M714)</f>
        <v>3966942</v>
      </c>
      <c r="O714">
        <v>0</v>
      </c>
      <c r="P714">
        <v>0</v>
      </c>
      <c r="Q714">
        <f>IF(O714&gt;G714,(O714-G714),0)</f>
        <v>0</v>
      </c>
      <c r="R714">
        <v>1</v>
      </c>
      <c r="S714">
        <f>IF(Q714&gt;0,Int(P714/Q714),0)</f>
        <v>0</v>
      </c>
      <c r="T714">
        <f>88438</f>
        <v>88438</v>
      </c>
      <c r="U714" t="s">
        <v>408</v>
      </c>
      <c r="V714">
        <v>88438</v>
      </c>
      <c r="W714" t="s">
        <v>2571</v>
      </c>
      <c r="X714"/>
    </row>
    <row r="715" spans="1:27">
      <c r="A715" t="s">
        <v>35</v>
      </c>
      <c r="B715" t="s">
        <v>29</v>
      </c>
      <c r="C715" t="s">
        <v>2572</v>
      </c>
      <c r="D715" t="s">
        <v>2573</v>
      </c>
      <c r="E715" t="s">
        <v>2574</v>
      </c>
      <c r="F715" t="s">
        <v>33</v>
      </c>
      <c r="G715">
        <v>0</v>
      </c>
      <c r="H715">
        <f>((0/1000) * G715)</f>
        <v>0</v>
      </c>
      <c r="I715">
        <v>0</v>
      </c>
      <c r="J715">
        <v>0</v>
      </c>
      <c r="K715" s="2835">
        <v>97913.12</v>
      </c>
      <c r="L715" s="2836">
        <f>(K715 * G715)</f>
        <v>0</v>
      </c>
      <c r="M715" s="2837">
        <v>137078.37</v>
      </c>
      <c r="N715" s="2838">
        <f>(G715 * M715)</f>
        <v>0</v>
      </c>
      <c r="O715">
        <v>0</v>
      </c>
      <c r="P715">
        <v>0</v>
      </c>
      <c r="Q715">
        <f>IF(O715&gt;G715,(O715-G715),0)</f>
        <v>0</v>
      </c>
      <c r="R715">
        <v>1</v>
      </c>
      <c r="S715">
        <f>IF(Q715&gt;0,Int(P715/Q715),0)</f>
        <v>0</v>
      </c>
      <c r="T715">
        <f>97913.12</f>
        <v>97913.12</v>
      </c>
      <c r="U715" t="s">
        <v>2575</v>
      </c>
      <c r="V715">
        <v>97913.12</v>
      </c>
      <c r="W715" t="s">
        <v>75</v>
      </c>
      <c r="X715"/>
    </row>
    <row r="716" spans="1:27">
      <c r="A716" t="s">
        <v>28</v>
      </c>
      <c r="B716" t="s">
        <v>29</v>
      </c>
      <c r="C716" t="s">
        <v>2576</v>
      </c>
      <c r="D716" t="s">
        <v>2576</v>
      </c>
      <c r="E716" t="s">
        <v>2577</v>
      </c>
      <c r="F716" t="s">
        <v>41</v>
      </c>
      <c r="G716">
        <v>2</v>
      </c>
      <c r="H716">
        <f>((0/1000) * G716)</f>
        <v>0</v>
      </c>
      <c r="I716">
        <v>2</v>
      </c>
      <c r="J716">
        <v>0</v>
      </c>
      <c r="K716" s="2839">
        <v>40909</v>
      </c>
      <c r="L716" s="2840">
        <f>(K716 * G716)</f>
        <v>81818</v>
      </c>
      <c r="M716" s="2841">
        <v>44999.9</v>
      </c>
      <c r="N716" s="2842">
        <f>(G716 * M716)</f>
        <v>89999.8</v>
      </c>
      <c r="O716">
        <v>0</v>
      </c>
      <c r="P716">
        <v>0</v>
      </c>
      <c r="Q716">
        <f>IF(O716&gt;G716,(O716-G716),0)</f>
        <v>0</v>
      </c>
      <c r="R716">
        <v>1</v>
      </c>
      <c r="S716">
        <f>IF(Q716&gt;0,Int(P716/Q716),0)</f>
        <v>0</v>
      </c>
      <c r="T716">
        <f>22980</f>
        <v>22980</v>
      </c>
      <c r="U716" t="s">
        <v>2578</v>
      </c>
      <c r="V716">
        <v>40909</v>
      </c>
      <c r="W716" t="s">
        <v>43</v>
      </c>
      <c r="X716"/>
    </row>
    <row r="717" spans="1:27">
      <c r="A717" t="s">
        <v>35</v>
      </c>
      <c r="B717" t="s">
        <v>29</v>
      </c>
      <c r="C717" t="s">
        <v>2579</v>
      </c>
      <c r="D717" t="s">
        <v>2579</v>
      </c>
      <c r="E717" t="s">
        <v>2580</v>
      </c>
      <c r="F717" t="s">
        <v>41</v>
      </c>
      <c r="G717">
        <v>0</v>
      </c>
      <c r="H717">
        <f>((0/1000) * G717)</f>
        <v>0</v>
      </c>
      <c r="I717">
        <v>0</v>
      </c>
      <c r="J717">
        <v>0</v>
      </c>
      <c r="K717" s="2843">
        <v>15400</v>
      </c>
      <c r="L717" s="2844">
        <f>(K717 * G717)</f>
        <v>0</v>
      </c>
      <c r="M717" s="2845">
        <v>16940</v>
      </c>
      <c r="N717" s="2846">
        <f>(G717 * M717)</f>
        <v>0</v>
      </c>
      <c r="O717">
        <v>0</v>
      </c>
      <c r="P717">
        <v>0</v>
      </c>
      <c r="Q717">
        <f>IF(O717&gt;G717,(O717-G717),0)</f>
        <v>0</v>
      </c>
      <c r="R717">
        <v>1</v>
      </c>
      <c r="S717">
        <f>IF(Q717&gt;0,Int(P717/Q717),0)</f>
        <v>0</v>
      </c>
      <c r="T717">
        <f>0</f>
        <v>0</v>
      </c>
      <c r="U717"/>
      <c r="V717">
        <v>15400</v>
      </c>
      <c r="W717" t="s">
        <v>43</v>
      </c>
      <c r="X717"/>
    </row>
    <row r="718" spans="1:27">
      <c r="A718" t="s">
        <v>28</v>
      </c>
      <c r="B718" t="s">
        <v>29</v>
      </c>
      <c r="C718" t="s">
        <v>2581</v>
      </c>
      <c r="D718" t="s">
        <v>2582</v>
      </c>
      <c r="E718" t="s">
        <v>2583</v>
      </c>
      <c r="F718" t="s">
        <v>33</v>
      </c>
      <c r="G718">
        <v>0</v>
      </c>
      <c r="H718">
        <f>((0/1000) * G718)</f>
        <v>0</v>
      </c>
      <c r="I718">
        <v>0</v>
      </c>
      <c r="J718">
        <v>0</v>
      </c>
      <c r="K718" s="2847">
        <v>59818.18</v>
      </c>
      <c r="L718" s="2848">
        <f>(K718 * G718)</f>
        <v>0</v>
      </c>
      <c r="M718" s="2849">
        <v>65800</v>
      </c>
      <c r="N718" s="2850">
        <f>(G718 * M718)</f>
        <v>0</v>
      </c>
      <c r="O718">
        <v>0</v>
      </c>
      <c r="P718">
        <v>0</v>
      </c>
      <c r="Q718">
        <f>IF(O718&gt;G718,(O718-G718),0)</f>
        <v>0</v>
      </c>
      <c r="R718">
        <v>1</v>
      </c>
      <c r="S718">
        <f>IF(Q718&gt;0,Int(P718/Q718),0)</f>
        <v>0</v>
      </c>
      <c r="T718">
        <f>54380.16</f>
        <v>54380.16</v>
      </c>
      <c r="U718" t="s">
        <v>2584</v>
      </c>
      <c r="V718">
        <v>59818.18</v>
      </c>
      <c r="W718" t="s">
        <v>43</v>
      </c>
      <c r="X718"/>
    </row>
    <row r="719" spans="1:27">
      <c r="A719" t="s">
        <v>28</v>
      </c>
      <c r="B719" t="s">
        <v>29</v>
      </c>
      <c r="C719" t="s">
        <v>2585</v>
      </c>
      <c r="D719" t="s">
        <v>2576</v>
      </c>
      <c r="E719" t="s">
        <v>2586</v>
      </c>
      <c r="F719" t="s">
        <v>33</v>
      </c>
      <c r="G719">
        <v>0</v>
      </c>
      <c r="H719">
        <f>((0/1000) * G719)</f>
        <v>0</v>
      </c>
      <c r="I719">
        <v>0</v>
      </c>
      <c r="J719">
        <v>0</v>
      </c>
      <c r="K719" s="2851">
        <v>0</v>
      </c>
      <c r="L719" s="2852">
        <f>(K719 * G719)</f>
        <v>0</v>
      </c>
      <c r="M719" s="2853">
        <v>0</v>
      </c>
      <c r="N719" s="2854">
        <f>(G719 * M719)</f>
        <v>0</v>
      </c>
      <c r="O719">
        <v>0</v>
      </c>
      <c r="P719">
        <v>0</v>
      </c>
      <c r="Q719">
        <f>IF(O719&gt;G719,(O719-G719),0)</f>
        <v>0</v>
      </c>
      <c r="R719">
        <v>1</v>
      </c>
      <c r="S719">
        <f>IF(Q719&gt;0,Int(P719/Q719),0)</f>
        <v>0</v>
      </c>
      <c r="T719">
        <f>0</f>
        <v>0</v>
      </c>
      <c r="U719"/>
      <c r="V719">
        <v>0</v>
      </c>
      <c r="W719">
        <v>0</v>
      </c>
      <c r="X719"/>
    </row>
    <row r="720" spans="1:27">
      <c r="A720" t="s">
        <v>35</v>
      </c>
      <c r="B720" t="s">
        <v>29</v>
      </c>
      <c r="C720" t="s">
        <v>2587</v>
      </c>
      <c r="D720" t="s">
        <v>2588</v>
      </c>
      <c r="E720" t="s">
        <v>2589</v>
      </c>
      <c r="F720" t="s">
        <v>41</v>
      </c>
      <c r="G720">
        <v>0</v>
      </c>
      <c r="H720">
        <f>((0/1000) * G720)</f>
        <v>0</v>
      </c>
      <c r="I720">
        <v>0</v>
      </c>
      <c r="J720">
        <v>0</v>
      </c>
      <c r="K720" s="2855">
        <v>73547</v>
      </c>
      <c r="L720" s="2856">
        <f>(K720 * G720)</f>
        <v>0</v>
      </c>
      <c r="M720" s="2857">
        <v>125029.9</v>
      </c>
      <c r="N720" s="2858">
        <f>(G720 * M720)</f>
        <v>0</v>
      </c>
      <c r="O720">
        <v>0</v>
      </c>
      <c r="P720">
        <v>0</v>
      </c>
      <c r="Q720">
        <f>IF(O720&gt;G720,(O720-G720),0)</f>
        <v>0</v>
      </c>
      <c r="R720">
        <v>0</v>
      </c>
      <c r="S720">
        <f>IF(Q720&gt;0,Int(P720/Q720),0)</f>
        <v>0</v>
      </c>
      <c r="T720">
        <f>73547</f>
        <v>73547</v>
      </c>
      <c r="U720" t="s">
        <v>2209</v>
      </c>
      <c r="V720">
        <v>73547</v>
      </c>
      <c r="W720" t="s">
        <v>144</v>
      </c>
      <c r="X720" t="s">
        <v>239</v>
      </c>
    </row>
    <row r="721" spans="1:27">
      <c r="A721" t="s">
        <v>28</v>
      </c>
      <c r="B721" t="s">
        <v>29</v>
      </c>
      <c r="C721" t="s">
        <v>2590</v>
      </c>
      <c r="D721" t="s">
        <v>2591</v>
      </c>
      <c r="E721" t="s">
        <v>2592</v>
      </c>
      <c r="F721" t="s">
        <v>33</v>
      </c>
      <c r="G721">
        <v>0</v>
      </c>
      <c r="H721">
        <f>((0/1000) * G721)</f>
        <v>0</v>
      </c>
      <c r="I721">
        <v>0</v>
      </c>
      <c r="J721">
        <v>0</v>
      </c>
      <c r="K721" s="2859">
        <v>88000</v>
      </c>
      <c r="L721" s="2860">
        <f>(K721 * G721)</f>
        <v>0</v>
      </c>
      <c r="M721" s="2861">
        <v>123200</v>
      </c>
      <c r="N721" s="2862">
        <f>(G721 * M721)</f>
        <v>0</v>
      </c>
      <c r="O721">
        <v>0</v>
      </c>
      <c r="P721">
        <v>0</v>
      </c>
      <c r="Q721">
        <f>IF(O721&gt;G721,(O721-G721),0)</f>
        <v>0</v>
      </c>
      <c r="R721">
        <v>1</v>
      </c>
      <c r="S721">
        <f>IF(Q721&gt;0,Int(P721/Q721),0)</f>
        <v>0</v>
      </c>
      <c r="T721">
        <f>80000</f>
        <v>80000</v>
      </c>
      <c r="U721" t="s">
        <v>2593</v>
      </c>
      <c r="V721">
        <v>88000</v>
      </c>
      <c r="W721" t="s">
        <v>43</v>
      </c>
      <c r="X721" t="s">
        <v>275</v>
      </c>
    </row>
    <row r="722" spans="1:27">
      <c r="A722" t="s">
        <v>28</v>
      </c>
      <c r="B722" t="s">
        <v>29</v>
      </c>
      <c r="C722" t="s">
        <v>2594</v>
      </c>
      <c r="D722" t="s">
        <v>2595</v>
      </c>
      <c r="E722" t="s">
        <v>2596</v>
      </c>
      <c r="F722" t="s">
        <v>33</v>
      </c>
      <c r="G722">
        <v>0</v>
      </c>
      <c r="H722">
        <f>((0/1000) * G722)</f>
        <v>0</v>
      </c>
      <c r="I722">
        <v>0</v>
      </c>
      <c r="J722">
        <v>0</v>
      </c>
      <c r="K722" s="2863">
        <v>204106.84</v>
      </c>
      <c r="L722" s="2864">
        <f>(K722 * G722)</f>
        <v>0</v>
      </c>
      <c r="M722" s="2865">
        <v>285749.58</v>
      </c>
      <c r="N722" s="2866">
        <f>(G722 * M722)</f>
        <v>0</v>
      </c>
      <c r="O722">
        <v>0</v>
      </c>
      <c r="P722">
        <v>0</v>
      </c>
      <c r="Q722">
        <f>IF(O722&gt;G722,(O722-G722),0)</f>
        <v>0</v>
      </c>
      <c r="R722">
        <v>0</v>
      </c>
      <c r="S722">
        <f>IF(Q722&gt;0,Int(P722/Q722),0)</f>
        <v>0</v>
      </c>
      <c r="T722">
        <f>161120.63</f>
        <v>161120.63</v>
      </c>
      <c r="U722" t="s">
        <v>2597</v>
      </c>
      <c r="V722">
        <v>204106.84</v>
      </c>
      <c r="W722" t="s">
        <v>182</v>
      </c>
      <c r="X722"/>
    </row>
    <row r="723" spans="1:27">
      <c r="A723" t="s">
        <v>28</v>
      </c>
      <c r="B723" t="s">
        <v>29</v>
      </c>
      <c r="C723" t="s">
        <v>2598</v>
      </c>
      <c r="D723" t="s">
        <v>2599</v>
      </c>
      <c r="E723" t="s">
        <v>2600</v>
      </c>
      <c r="F723" t="s">
        <v>41</v>
      </c>
      <c r="G723">
        <v>0</v>
      </c>
      <c r="H723">
        <f>((0/1000) * G723)</f>
        <v>0</v>
      </c>
      <c r="I723">
        <v>0</v>
      </c>
      <c r="J723">
        <v>0</v>
      </c>
      <c r="K723" s="2867">
        <v>333679.32</v>
      </c>
      <c r="L723" s="2868">
        <f>(K723 * G723)</f>
        <v>0</v>
      </c>
      <c r="M723" s="2869">
        <v>467151.04</v>
      </c>
      <c r="N723" s="2870">
        <f>(G723 * M723)</f>
        <v>0</v>
      </c>
      <c r="O723">
        <v>0</v>
      </c>
      <c r="P723">
        <v>0</v>
      </c>
      <c r="Q723">
        <f>IF(O723&gt;G723,(O723-G723),0)</f>
        <v>0</v>
      </c>
      <c r="R723">
        <v>1</v>
      </c>
      <c r="S723">
        <f>IF(Q723&gt;0,Int(P723/Q723),0)</f>
        <v>0</v>
      </c>
      <c r="T723">
        <f>326870.74</f>
        <v>326870.74</v>
      </c>
      <c r="U723" t="s">
        <v>2601</v>
      </c>
      <c r="V723">
        <v>333679.32</v>
      </c>
      <c r="W723" t="s">
        <v>182</v>
      </c>
      <c r="X723"/>
    </row>
    <row r="724" spans="1:27">
      <c r="A724" t="s">
        <v>28</v>
      </c>
      <c r="B724" t="s">
        <v>29</v>
      </c>
      <c r="C724" t="s">
        <v>2602</v>
      </c>
      <c r="D724" t="s">
        <v>2603</v>
      </c>
      <c r="E724" t="s">
        <v>2604</v>
      </c>
      <c r="F724" t="s">
        <v>41</v>
      </c>
      <c r="G724">
        <v>2</v>
      </c>
      <c r="H724">
        <f>((0/1000) * G724)</f>
        <v>0</v>
      </c>
      <c r="I724">
        <v>2</v>
      </c>
      <c r="J724">
        <v>0</v>
      </c>
      <c r="K724" s="2871">
        <v>319310.48</v>
      </c>
      <c r="L724" s="2872">
        <f>(K724 * G724)</f>
        <v>638620.96</v>
      </c>
      <c r="M724" s="2873">
        <v>447034.67</v>
      </c>
      <c r="N724" s="2874">
        <f>(G724 * M724)</f>
        <v>894069.34</v>
      </c>
      <c r="O724">
        <v>0</v>
      </c>
      <c r="P724">
        <v>0</v>
      </c>
      <c r="Q724">
        <f>IF(O724&gt;G724,(O724-G724),0)</f>
        <v>0</v>
      </c>
      <c r="R724">
        <v>1</v>
      </c>
      <c r="S724">
        <f>IF(Q724&gt;0,Int(P724/Q724),0)</f>
        <v>0</v>
      </c>
      <c r="T724">
        <f>224868.52</f>
        <v>224868.52</v>
      </c>
      <c r="U724" t="s">
        <v>2605</v>
      </c>
      <c r="V724">
        <v>319310.48</v>
      </c>
      <c r="W724" t="s">
        <v>182</v>
      </c>
      <c r="X724"/>
    </row>
    <row r="725" spans="1:27">
      <c r="A725" t="s">
        <v>35</v>
      </c>
      <c r="B725" t="s">
        <v>29</v>
      </c>
      <c r="C725" t="s">
        <v>2606</v>
      </c>
      <c r="D725" t="s">
        <v>2607</v>
      </c>
      <c r="E725" t="s">
        <v>2608</v>
      </c>
      <c r="F725" t="s">
        <v>41</v>
      </c>
      <c r="G725">
        <v>0</v>
      </c>
      <c r="H725">
        <f>((1/1000) * G725)</f>
        <v>0</v>
      </c>
      <c r="I725">
        <v>0</v>
      </c>
      <c r="J725">
        <v>0</v>
      </c>
      <c r="K725" s="2875">
        <v>218181.81</v>
      </c>
      <c r="L725" s="2876">
        <f>(K725 * G725)</f>
        <v>0</v>
      </c>
      <c r="M725" s="2877">
        <v>218181.81</v>
      </c>
      <c r="N725" s="2878">
        <f>(G725 * M725)</f>
        <v>0</v>
      </c>
      <c r="O725">
        <v>0</v>
      </c>
      <c r="P725">
        <v>0</v>
      </c>
      <c r="Q725">
        <f>IF(O725&gt;G725,(O725-G725),0)</f>
        <v>0</v>
      </c>
      <c r="R725">
        <v>1</v>
      </c>
      <c r="S725">
        <f>IF(Q725&gt;0,Int(P725/Q725),0)</f>
        <v>0</v>
      </c>
      <c r="T725">
        <f>198347.1</f>
        <v>198347.1</v>
      </c>
      <c r="U725" t="s">
        <v>2609</v>
      </c>
      <c r="V725">
        <v>218181.81</v>
      </c>
      <c r="W725" t="s">
        <v>43</v>
      </c>
      <c r="X725"/>
    </row>
    <row r="726" spans="1:27">
      <c r="A726" t="s">
        <v>35</v>
      </c>
      <c r="B726" t="s">
        <v>29</v>
      </c>
      <c r="C726" t="s">
        <v>2610</v>
      </c>
      <c r="D726" t="s">
        <v>2610</v>
      </c>
      <c r="E726" t="s">
        <v>2611</v>
      </c>
      <c r="F726" t="s">
        <v>33</v>
      </c>
      <c r="G726">
        <v>0</v>
      </c>
      <c r="H726">
        <f>((1/1000) * G726)</f>
        <v>0</v>
      </c>
      <c r="I726">
        <v>0</v>
      </c>
      <c r="J726">
        <v>0</v>
      </c>
      <c r="K726" s="2879">
        <v>0</v>
      </c>
      <c r="L726" s="2880">
        <f>(K726 * G726)</f>
        <v>0</v>
      </c>
      <c r="M726" s="2881">
        <v>0</v>
      </c>
      <c r="N726" s="2882">
        <f>(G726 * M726)</f>
        <v>0</v>
      </c>
      <c r="O726">
        <v>0</v>
      </c>
      <c r="P726">
        <v>0</v>
      </c>
      <c r="Q726">
        <f>IF(O726&gt;G726,(O726-G726),0)</f>
        <v>0</v>
      </c>
      <c r="R726">
        <v>0</v>
      </c>
      <c r="S726">
        <f>IF(Q726&gt;0,Int(P726/Q726),0)</f>
        <v>0</v>
      </c>
      <c r="T726">
        <f>0</f>
        <v>0</v>
      </c>
      <c r="U726"/>
      <c r="V726">
        <v>0</v>
      </c>
      <c r="W726">
        <v>0</v>
      </c>
      <c r="X726"/>
    </row>
    <row r="727" spans="1:27">
      <c r="A727" t="s">
        <v>35</v>
      </c>
      <c r="B727" t="s">
        <v>29</v>
      </c>
      <c r="C727" t="s">
        <v>2612</v>
      </c>
      <c r="D727" t="s">
        <v>2612</v>
      </c>
      <c r="E727" t="s">
        <v>2613</v>
      </c>
      <c r="F727" t="s">
        <v>33</v>
      </c>
      <c r="G727">
        <v>0</v>
      </c>
      <c r="H727">
        <f>((1/1000) * G727)</f>
        <v>0</v>
      </c>
      <c r="I727">
        <v>0</v>
      </c>
      <c r="J727">
        <v>0</v>
      </c>
      <c r="K727" s="2883">
        <v>0</v>
      </c>
      <c r="L727" s="2884">
        <f>(K727 * G727)</f>
        <v>0</v>
      </c>
      <c r="M727" s="2885">
        <v>0</v>
      </c>
      <c r="N727" s="2886">
        <f>(G727 * M727)</f>
        <v>0</v>
      </c>
      <c r="O727">
        <v>0</v>
      </c>
      <c r="P727">
        <v>0</v>
      </c>
      <c r="Q727">
        <f>IF(O727&gt;G727,(O727-G727),0)</f>
        <v>0</v>
      </c>
      <c r="R727">
        <v>0</v>
      </c>
      <c r="S727">
        <f>IF(Q727&gt;0,Int(P727/Q727),0)</f>
        <v>0</v>
      </c>
      <c r="T727">
        <f>0</f>
        <v>0</v>
      </c>
      <c r="U727"/>
      <c r="V727">
        <v>0</v>
      </c>
      <c r="W727">
        <v>0</v>
      </c>
      <c r="X727"/>
    </row>
    <row r="728" spans="1:27">
      <c r="A728" t="s">
        <v>28</v>
      </c>
      <c r="B728" t="s">
        <v>29</v>
      </c>
      <c r="C728" t="s">
        <v>2614</v>
      </c>
      <c r="D728" t="s">
        <v>2614</v>
      </c>
      <c r="E728" t="s">
        <v>2615</v>
      </c>
      <c r="F728" t="s">
        <v>41</v>
      </c>
      <c r="G728">
        <v>16</v>
      </c>
      <c r="H728">
        <f>((0/1000) * G728)</f>
        <v>0</v>
      </c>
      <c r="I728">
        <v>0</v>
      </c>
      <c r="J728">
        <v>16</v>
      </c>
      <c r="K728" s="2887">
        <v>91000</v>
      </c>
      <c r="L728" s="2888">
        <f>(K728 * G728)</f>
        <v>1456000</v>
      </c>
      <c r="M728" s="2889">
        <v>136500</v>
      </c>
      <c r="N728" s="2890">
        <f>(G728 * M728)</f>
        <v>2184000</v>
      </c>
      <c r="O728">
        <v>0</v>
      </c>
      <c r="P728">
        <v>0</v>
      </c>
      <c r="Q728">
        <f>IF(O728&gt;G728,(O728-G728),0)</f>
        <v>0</v>
      </c>
      <c r="R728">
        <v>0</v>
      </c>
      <c r="S728">
        <f>IF(Q728&gt;0,Int(P728/Q728),0)</f>
        <v>0</v>
      </c>
      <c r="T728">
        <f>108933</f>
        <v>108933</v>
      </c>
      <c r="U728" t="s">
        <v>2616</v>
      </c>
      <c r="V728">
        <v>91000</v>
      </c>
      <c r="W728" t="s">
        <v>80</v>
      </c>
      <c r="X728" t="s">
        <v>2617</v>
      </c>
    </row>
    <row r="729" spans="1:27">
      <c r="A729" t="s">
        <v>35</v>
      </c>
      <c r="B729" t="s">
        <v>29</v>
      </c>
      <c r="C729" t="s">
        <v>2618</v>
      </c>
      <c r="D729" t="s">
        <v>2619</v>
      </c>
      <c r="E729" t="s">
        <v>2620</v>
      </c>
      <c r="F729" t="s">
        <v>33</v>
      </c>
      <c r="G729">
        <v>0</v>
      </c>
      <c r="H729">
        <f>((0/1000) * G729)</f>
        <v>0</v>
      </c>
      <c r="I729">
        <v>0</v>
      </c>
      <c r="J729">
        <v>0</v>
      </c>
      <c r="K729" s="2891">
        <v>231818.18</v>
      </c>
      <c r="L729" s="2892">
        <f>(K729 * G729)</f>
        <v>0</v>
      </c>
      <c r="M729" s="2893">
        <v>255000</v>
      </c>
      <c r="N729" s="2894">
        <f>(G729 * M729)</f>
        <v>0</v>
      </c>
      <c r="O729">
        <v>0</v>
      </c>
      <c r="P729">
        <v>0</v>
      </c>
      <c r="Q729">
        <f>IF(O729&gt;G729,(O729-G729),0)</f>
        <v>0</v>
      </c>
      <c r="R729">
        <v>1</v>
      </c>
      <c r="S729">
        <f>IF(Q729&gt;0,Int(P729/Q729),0)</f>
        <v>0</v>
      </c>
      <c r="T729">
        <f>204733.28</f>
        <v>204733.28</v>
      </c>
      <c r="U729" t="s">
        <v>2621</v>
      </c>
      <c r="V729">
        <v>231818.18</v>
      </c>
      <c r="W729" t="s">
        <v>43</v>
      </c>
      <c r="X729"/>
    </row>
    <row r="730" spans="1:27">
      <c r="A730" t="s">
        <v>35</v>
      </c>
      <c r="B730" t="s">
        <v>29</v>
      </c>
      <c r="C730" t="s">
        <v>2622</v>
      </c>
      <c r="D730" t="s">
        <v>2623</v>
      </c>
      <c r="E730" t="s">
        <v>2624</v>
      </c>
      <c r="F730" t="s">
        <v>33</v>
      </c>
      <c r="G730">
        <v>0</v>
      </c>
      <c r="H730">
        <f>((0/1000) * G730)</f>
        <v>0</v>
      </c>
      <c r="I730">
        <v>0</v>
      </c>
      <c r="J730">
        <v>0</v>
      </c>
      <c r="K730" s="2895">
        <v>42827.4</v>
      </c>
      <c r="L730" s="2896">
        <f>(K730 * G730)</f>
        <v>0</v>
      </c>
      <c r="M730" s="2897">
        <v>59958.36</v>
      </c>
      <c r="N730" s="2898">
        <f>(G730 * M730)</f>
        <v>0</v>
      </c>
      <c r="O730">
        <v>0</v>
      </c>
      <c r="P730">
        <v>0</v>
      </c>
      <c r="Q730">
        <f>IF(O730&gt;G730,(O730-G730),0)</f>
        <v>0</v>
      </c>
      <c r="R730">
        <v>1</v>
      </c>
      <c r="S730">
        <f>IF(Q730&gt;0,Int(P730/Q730),0)</f>
        <v>0</v>
      </c>
      <c r="T730">
        <f>0</f>
        <v>0</v>
      </c>
      <c r="U730"/>
      <c r="V730">
        <v>42827.4</v>
      </c>
      <c r="W730" t="s">
        <v>75</v>
      </c>
      <c r="X730"/>
    </row>
    <row r="731" spans="1:27">
      <c r="A731" t="s">
        <v>28</v>
      </c>
      <c r="B731" t="s">
        <v>29</v>
      </c>
      <c r="C731" t="s">
        <v>2625</v>
      </c>
      <c r="D731" t="s">
        <v>2626</v>
      </c>
      <c r="E731" t="s">
        <v>2627</v>
      </c>
      <c r="F731" t="s">
        <v>33</v>
      </c>
      <c r="G731">
        <v>0</v>
      </c>
      <c r="H731">
        <f>((0/1000) * G731)</f>
        <v>0</v>
      </c>
      <c r="I731">
        <v>0</v>
      </c>
      <c r="J731">
        <v>0</v>
      </c>
      <c r="K731" s="2899">
        <v>248512.4</v>
      </c>
      <c r="L731" s="2900">
        <f>(K731 * G731)</f>
        <v>0</v>
      </c>
      <c r="M731" s="2901">
        <v>273363.64</v>
      </c>
      <c r="N731" s="2902">
        <f>(G731 * M731)</f>
        <v>0</v>
      </c>
      <c r="O731">
        <v>0</v>
      </c>
      <c r="P731">
        <v>0</v>
      </c>
      <c r="Q731">
        <f>IF(O731&gt;G731,(O731-G731),0)</f>
        <v>0</v>
      </c>
      <c r="R731">
        <v>1</v>
      </c>
      <c r="S731">
        <f>IF(Q731&gt;0,Int(P731/Q731),0)</f>
        <v>0</v>
      </c>
      <c r="T731">
        <f>155672.43</f>
        <v>155672.43</v>
      </c>
      <c r="U731" t="s">
        <v>2628</v>
      </c>
      <c r="V731">
        <v>248512.4</v>
      </c>
      <c r="W731" t="s">
        <v>43</v>
      </c>
      <c r="X731"/>
    </row>
    <row r="732" spans="1:27">
      <c r="A732" t="s">
        <v>28</v>
      </c>
      <c r="B732" t="s">
        <v>29</v>
      </c>
      <c r="C732" t="s">
        <v>2629</v>
      </c>
      <c r="D732" t="s">
        <v>2630</v>
      </c>
      <c r="E732" t="s">
        <v>2631</v>
      </c>
      <c r="F732" t="s">
        <v>33</v>
      </c>
      <c r="G732">
        <v>0</v>
      </c>
      <c r="H732">
        <f>((0/1000) * G732)</f>
        <v>0</v>
      </c>
      <c r="I732">
        <v>0</v>
      </c>
      <c r="J732">
        <v>0</v>
      </c>
      <c r="K732" s="2903">
        <v>120766.17</v>
      </c>
      <c r="L732" s="2904">
        <f>(K732 * G732)</f>
        <v>0</v>
      </c>
      <c r="M732" s="2905">
        <v>169072.64</v>
      </c>
      <c r="N732" s="2906">
        <f>(G732 * M732)</f>
        <v>0</v>
      </c>
      <c r="O732">
        <v>0</v>
      </c>
      <c r="P732">
        <v>0</v>
      </c>
      <c r="Q732">
        <f>IF(O732&gt;G732,(O732-G732),0)</f>
        <v>0</v>
      </c>
      <c r="R732">
        <v>0</v>
      </c>
      <c r="S732">
        <f>IF(Q732&gt;0,Int(P732/Q732),0)</f>
        <v>0</v>
      </c>
      <c r="T732">
        <f>0</f>
        <v>0</v>
      </c>
      <c r="U732"/>
      <c r="V732">
        <v>120766.17</v>
      </c>
      <c r="W732" t="s">
        <v>148</v>
      </c>
      <c r="X732"/>
    </row>
    <row r="733" spans="1:27">
      <c r="A733" t="s">
        <v>35</v>
      </c>
      <c r="B733" t="s">
        <v>29</v>
      </c>
      <c r="C733" t="s">
        <v>2632</v>
      </c>
      <c r="D733" t="s">
        <v>2633</v>
      </c>
      <c r="E733" t="s">
        <v>2634</v>
      </c>
      <c r="F733" t="s">
        <v>33</v>
      </c>
      <c r="G733">
        <v>0</v>
      </c>
      <c r="H733">
        <f>((0/1000) * G733)</f>
        <v>0</v>
      </c>
      <c r="I733">
        <v>0</v>
      </c>
      <c r="J733">
        <v>0</v>
      </c>
      <c r="K733" s="2907">
        <v>52256.78</v>
      </c>
      <c r="L733" s="2908">
        <f>(K733 * G733)</f>
        <v>0</v>
      </c>
      <c r="M733" s="2909">
        <v>73159.5</v>
      </c>
      <c r="N733" s="2910">
        <f>(G733 * M733)</f>
        <v>0</v>
      </c>
      <c r="O733">
        <v>0</v>
      </c>
      <c r="P733">
        <v>0</v>
      </c>
      <c r="Q733">
        <f>IF(O733&gt;G733,(O733-G733),0)</f>
        <v>0</v>
      </c>
      <c r="R733">
        <v>1</v>
      </c>
      <c r="S733">
        <f>IF(Q733&gt;0,Int(P733/Q733),0)</f>
        <v>0</v>
      </c>
      <c r="T733">
        <f>0</f>
        <v>0</v>
      </c>
      <c r="U733"/>
      <c r="V733">
        <v>52256.78</v>
      </c>
      <c r="W733" t="s">
        <v>75</v>
      </c>
      <c r="X733"/>
    </row>
    <row r="734" spans="1:27">
      <c r="A734" t="s">
        <v>28</v>
      </c>
      <c r="B734" t="s">
        <v>29</v>
      </c>
      <c r="C734" t="s">
        <v>2635</v>
      </c>
      <c r="D734" t="s">
        <v>2636</v>
      </c>
      <c r="E734" t="s">
        <v>2637</v>
      </c>
      <c r="F734" t="s">
        <v>41</v>
      </c>
      <c r="G734">
        <v>0</v>
      </c>
      <c r="H734">
        <f>((0/1000) * G734)</f>
        <v>0</v>
      </c>
      <c r="I734">
        <v>0</v>
      </c>
      <c r="J734">
        <v>0</v>
      </c>
      <c r="K734" s="2911">
        <v>245454.55</v>
      </c>
      <c r="L734" s="2912">
        <f>(K734 * G734)</f>
        <v>0</v>
      </c>
      <c r="M734" s="2913">
        <v>343636.37</v>
      </c>
      <c r="N734" s="2914">
        <f>(G734 * M734)</f>
        <v>0</v>
      </c>
      <c r="O734">
        <v>0</v>
      </c>
      <c r="P734">
        <v>0</v>
      </c>
      <c r="Q734">
        <f>IF(O734&gt;G734,(O734-G734),0)</f>
        <v>0</v>
      </c>
      <c r="R734">
        <v>1</v>
      </c>
      <c r="S734">
        <f>IF(Q734&gt;0,Int(P734/Q734),0)</f>
        <v>0</v>
      </c>
      <c r="T734">
        <f>0</f>
        <v>0</v>
      </c>
      <c r="U734"/>
      <c r="V734">
        <v>245454.55</v>
      </c>
      <c r="W734" t="s">
        <v>75</v>
      </c>
      <c r="X734"/>
    </row>
    <row r="735" spans="1:27">
      <c r="A735" t="s">
        <v>28</v>
      </c>
      <c r="B735" t="s">
        <v>29</v>
      </c>
      <c r="C735" t="s">
        <v>2638</v>
      </c>
      <c r="D735" t="s">
        <v>2639</v>
      </c>
      <c r="E735" t="s">
        <v>2640</v>
      </c>
      <c r="F735" t="s">
        <v>33</v>
      </c>
      <c r="G735">
        <v>0</v>
      </c>
      <c r="H735">
        <f>((0/1000) * G735)</f>
        <v>0</v>
      </c>
      <c r="I735">
        <v>0</v>
      </c>
      <c r="J735">
        <v>0</v>
      </c>
      <c r="K735" s="2915">
        <v>127798</v>
      </c>
      <c r="L735" s="2916">
        <f>(K735 * G735)</f>
        <v>0</v>
      </c>
      <c r="M735" s="2917">
        <v>178917.2</v>
      </c>
      <c r="N735" s="2918">
        <f>(G735 * M735)</f>
        <v>0</v>
      </c>
      <c r="O735">
        <v>0</v>
      </c>
      <c r="P735">
        <v>0</v>
      </c>
      <c r="Q735">
        <f>IF(O735&gt;G735,(O735-G735),0)</f>
        <v>0</v>
      </c>
      <c r="R735">
        <v>1</v>
      </c>
      <c r="S735">
        <f>IF(Q735&gt;0,Int(P735/Q735),0)</f>
        <v>0</v>
      </c>
      <c r="T735">
        <f>116180</f>
        <v>116180</v>
      </c>
      <c r="U735" t="s">
        <v>2641</v>
      </c>
      <c r="V735">
        <v>127798</v>
      </c>
      <c r="W735" t="s">
        <v>75</v>
      </c>
      <c r="X735"/>
    </row>
    <row r="736" spans="1:27">
      <c r="A736" t="s">
        <v>35</v>
      </c>
      <c r="B736" t="s">
        <v>29</v>
      </c>
      <c r="C736" t="s">
        <v>2642</v>
      </c>
      <c r="D736" t="s">
        <v>2643</v>
      </c>
      <c r="E736" t="s">
        <v>2644</v>
      </c>
      <c r="F736" t="s">
        <v>33</v>
      </c>
      <c r="G736">
        <v>0</v>
      </c>
      <c r="H736">
        <f>((0/1000) * G736)</f>
        <v>0</v>
      </c>
      <c r="I736">
        <v>0</v>
      </c>
      <c r="J736">
        <v>0</v>
      </c>
      <c r="K736" s="2919">
        <v>179421.49</v>
      </c>
      <c r="L736" s="2920">
        <f>(K736 * G736)</f>
        <v>0</v>
      </c>
      <c r="M736" s="2921">
        <v>197363.64</v>
      </c>
      <c r="N736" s="2922">
        <f>(G736 * M736)</f>
        <v>0</v>
      </c>
      <c r="O736">
        <v>0</v>
      </c>
      <c r="P736">
        <v>0</v>
      </c>
      <c r="Q736">
        <f>IF(O736&gt;G736,(O736-G736),0)</f>
        <v>0</v>
      </c>
      <c r="R736">
        <v>1</v>
      </c>
      <c r="S736">
        <f>IF(Q736&gt;0,Int(P736/Q736),0)</f>
        <v>0</v>
      </c>
      <c r="T736">
        <f>0</f>
        <v>0</v>
      </c>
      <c r="U736" t="s">
        <v>2645</v>
      </c>
      <c r="V736">
        <v>179421.49</v>
      </c>
      <c r="W736" t="s">
        <v>43</v>
      </c>
      <c r="X736"/>
    </row>
    <row r="737" spans="1:27">
      <c r="A737" t="s">
        <v>28</v>
      </c>
      <c r="B737" t="s">
        <v>29</v>
      </c>
      <c r="C737" t="s">
        <v>2646</v>
      </c>
      <c r="D737" t="s">
        <v>2647</v>
      </c>
      <c r="E737" t="s">
        <v>2648</v>
      </c>
      <c r="F737" t="s">
        <v>33</v>
      </c>
      <c r="G737">
        <v>0</v>
      </c>
      <c r="H737">
        <f>((0/1000) * G737)</f>
        <v>0</v>
      </c>
      <c r="I737">
        <v>0</v>
      </c>
      <c r="J737">
        <v>0</v>
      </c>
      <c r="K737" s="2923">
        <v>102272.72</v>
      </c>
      <c r="L737" s="2924">
        <f>(K737 * G737)</f>
        <v>0</v>
      </c>
      <c r="M737" s="2925">
        <v>143181.81</v>
      </c>
      <c r="N737" s="2926">
        <f>(G737 * M737)</f>
        <v>0</v>
      </c>
      <c r="O737">
        <v>0</v>
      </c>
      <c r="P737">
        <v>0</v>
      </c>
      <c r="Q737">
        <f>IF(O737&gt;G737,(O737-G737),0)</f>
        <v>0</v>
      </c>
      <c r="R737">
        <v>1</v>
      </c>
      <c r="S737">
        <f>IF(Q737&gt;0,Int(P737/Q737),0)</f>
        <v>0</v>
      </c>
      <c r="T737">
        <f>92975.2</f>
        <v>92975.2</v>
      </c>
      <c r="U737" t="s">
        <v>2649</v>
      </c>
      <c r="V737">
        <v>102272.72</v>
      </c>
      <c r="W737" t="s">
        <v>75</v>
      </c>
      <c r="X737"/>
    </row>
    <row r="738" spans="1:27">
      <c r="A738" t="s">
        <v>28</v>
      </c>
      <c r="B738" t="s">
        <v>29</v>
      </c>
      <c r="C738" t="s">
        <v>2650</v>
      </c>
      <c r="D738" t="s">
        <v>2651</v>
      </c>
      <c r="E738" t="s">
        <v>2652</v>
      </c>
      <c r="F738" t="s">
        <v>33</v>
      </c>
      <c r="G738">
        <v>0</v>
      </c>
      <c r="H738">
        <f>((0/1000) * G738)</f>
        <v>0</v>
      </c>
      <c r="I738">
        <v>0</v>
      </c>
      <c r="J738">
        <v>0</v>
      </c>
      <c r="K738" s="2927">
        <v>127463.86</v>
      </c>
      <c r="L738" s="2928">
        <f>(K738 * G738)</f>
        <v>0</v>
      </c>
      <c r="M738" s="2929">
        <v>180000</v>
      </c>
      <c r="N738" s="2930">
        <f>(G738 * M738)</f>
        <v>0</v>
      </c>
      <c r="O738">
        <v>0</v>
      </c>
      <c r="P738">
        <v>0</v>
      </c>
      <c r="Q738">
        <f>IF(O738&gt;G738,(O738-G738),0)</f>
        <v>0</v>
      </c>
      <c r="R738">
        <v>0</v>
      </c>
      <c r="S738">
        <f>IF(Q738&gt;0,Int(P738/Q738),0)</f>
        <v>0</v>
      </c>
      <c r="T738">
        <f>115876.24</f>
        <v>115876.24</v>
      </c>
      <c r="U738" t="s">
        <v>2343</v>
      </c>
      <c r="V738">
        <v>127463.86</v>
      </c>
      <c r="W738" t="s">
        <v>292</v>
      </c>
      <c r="X738" t="s">
        <v>166</v>
      </c>
    </row>
    <row r="739" spans="1:27">
      <c r="A739" t="s">
        <v>28</v>
      </c>
      <c r="B739" t="s">
        <v>29</v>
      </c>
      <c r="C739" t="s">
        <v>2653</v>
      </c>
      <c r="D739" t="s">
        <v>2654</v>
      </c>
      <c r="E739" t="s">
        <v>2655</v>
      </c>
      <c r="F739" t="s">
        <v>41</v>
      </c>
      <c r="G739">
        <v>0</v>
      </c>
      <c r="H739">
        <f>((0/1000) * G739)</f>
        <v>0</v>
      </c>
      <c r="I739">
        <v>0</v>
      </c>
      <c r="J739">
        <v>0</v>
      </c>
      <c r="K739" s="2931">
        <v>267067.66</v>
      </c>
      <c r="L739" s="2932">
        <f>(K739 * G739)</f>
        <v>0</v>
      </c>
      <c r="M739" s="2933">
        <v>373894.72</v>
      </c>
      <c r="N739" s="2934">
        <f>(G739 * M739)</f>
        <v>0</v>
      </c>
      <c r="O739">
        <v>0</v>
      </c>
      <c r="P739">
        <v>0</v>
      </c>
      <c r="Q739">
        <f>IF(O739&gt;G739,(O739-G739),0)</f>
        <v>0</v>
      </c>
      <c r="R739">
        <v>1</v>
      </c>
      <c r="S739">
        <f>IF(Q739&gt;0,Int(P739/Q739),0)</f>
        <v>0</v>
      </c>
      <c r="T739">
        <f>41308.55</f>
        <v>41308.55</v>
      </c>
      <c r="U739" t="s">
        <v>2656</v>
      </c>
      <c r="V739">
        <v>267067.66</v>
      </c>
      <c r="W739" t="s">
        <v>182</v>
      </c>
      <c r="X739"/>
    </row>
    <row r="740" spans="1:27">
      <c r="A740" t="s">
        <v>28</v>
      </c>
      <c r="B740" t="s">
        <v>29</v>
      </c>
      <c r="C740" t="s">
        <v>2657</v>
      </c>
      <c r="D740" t="s">
        <v>2658</v>
      </c>
      <c r="E740" t="s">
        <v>2659</v>
      </c>
      <c r="F740" t="s">
        <v>41</v>
      </c>
      <c r="G740">
        <v>0</v>
      </c>
      <c r="H740">
        <f>((0/1000) * G740)</f>
        <v>0</v>
      </c>
      <c r="I740">
        <v>0</v>
      </c>
      <c r="J740">
        <v>0</v>
      </c>
      <c r="K740" s="2935">
        <v>262000</v>
      </c>
      <c r="L740" s="2936">
        <f>(K740 * G740)</f>
        <v>0</v>
      </c>
      <c r="M740" s="2937">
        <v>366800</v>
      </c>
      <c r="N740" s="2938">
        <f>(G740 * M740)</f>
        <v>0</v>
      </c>
      <c r="O740">
        <v>0</v>
      </c>
      <c r="P740">
        <v>0</v>
      </c>
      <c r="Q740">
        <f>IF(O740&gt;G740,(O740-G740),0)</f>
        <v>0</v>
      </c>
      <c r="R740">
        <v>1</v>
      </c>
      <c r="S740">
        <f>IF(Q740&gt;0,Int(P740/Q740),0)</f>
        <v>0</v>
      </c>
      <c r="T740">
        <f>22883.16</f>
        <v>22883.16</v>
      </c>
      <c r="U740" t="s">
        <v>2660</v>
      </c>
      <c r="V740">
        <v>262000</v>
      </c>
      <c r="W740" t="s">
        <v>75</v>
      </c>
      <c r="X740"/>
    </row>
    <row r="741" spans="1:27">
      <c r="A741" t="s">
        <v>35</v>
      </c>
      <c r="B741" t="s">
        <v>29</v>
      </c>
      <c r="C741" t="s">
        <v>2661</v>
      </c>
      <c r="D741" t="s">
        <v>2662</v>
      </c>
      <c r="E741" t="s">
        <v>2663</v>
      </c>
      <c r="F741" t="s">
        <v>33</v>
      </c>
      <c r="G741">
        <v>0</v>
      </c>
      <c r="H741">
        <f>((0/1000) * G741)</f>
        <v>0</v>
      </c>
      <c r="I741">
        <v>0</v>
      </c>
      <c r="J741">
        <v>0</v>
      </c>
      <c r="K741" s="2939">
        <v>168204.77</v>
      </c>
      <c r="L741" s="2940">
        <f>(K741 * G741)</f>
        <v>0</v>
      </c>
      <c r="M741" s="2941">
        <v>235486.68</v>
      </c>
      <c r="N741" s="2942">
        <f>(G741 * M741)</f>
        <v>0</v>
      </c>
      <c r="O741">
        <v>0</v>
      </c>
      <c r="P741">
        <v>0</v>
      </c>
      <c r="Q741">
        <f>IF(O741&gt;G741,(O741-G741),0)</f>
        <v>0</v>
      </c>
      <c r="R741">
        <v>1</v>
      </c>
      <c r="S741">
        <f>IF(Q741&gt;0,Int(P741/Q741),0)</f>
        <v>0</v>
      </c>
      <c r="T741">
        <f>0</f>
        <v>0</v>
      </c>
      <c r="U741"/>
      <c r="V741">
        <v>168204.77</v>
      </c>
      <c r="W741" t="s">
        <v>75</v>
      </c>
      <c r="X741"/>
    </row>
    <row r="742" spans="1:27">
      <c r="A742" t="s">
        <v>28</v>
      </c>
      <c r="B742" t="s">
        <v>29</v>
      </c>
      <c r="C742" t="s">
        <v>2664</v>
      </c>
      <c r="D742" t="s">
        <v>2665</v>
      </c>
      <c r="E742" t="s">
        <v>2666</v>
      </c>
      <c r="F742" t="s">
        <v>33</v>
      </c>
      <c r="G742">
        <v>0</v>
      </c>
      <c r="H742">
        <f>((0/1000) * G742)</f>
        <v>0</v>
      </c>
      <c r="I742">
        <v>0</v>
      </c>
      <c r="J742">
        <v>0</v>
      </c>
      <c r="K742" s="2943">
        <v>128228.45</v>
      </c>
      <c r="L742" s="2944">
        <f>(K742 * G742)</f>
        <v>0</v>
      </c>
      <c r="M742" s="2945">
        <v>179519.83</v>
      </c>
      <c r="N742" s="2946">
        <f>(G742 * M742)</f>
        <v>0</v>
      </c>
      <c r="O742">
        <v>0</v>
      </c>
      <c r="P742">
        <v>0</v>
      </c>
      <c r="Q742">
        <f>IF(O742&gt;G742,(O742-G742),0)</f>
        <v>0</v>
      </c>
      <c r="R742">
        <v>0</v>
      </c>
      <c r="S742">
        <f>IF(Q742&gt;0,Int(P742/Q742),0)</f>
        <v>0</v>
      </c>
      <c r="T742">
        <f>0</f>
        <v>0</v>
      </c>
      <c r="U742"/>
      <c r="V742">
        <v>128228.45</v>
      </c>
      <c r="W742" t="s">
        <v>529</v>
      </c>
      <c r="X742"/>
    </row>
    <row r="743" spans="1:27">
      <c r="A743" t="s">
        <v>28</v>
      </c>
      <c r="B743" t="s">
        <v>29</v>
      </c>
      <c r="C743" t="s">
        <v>2667</v>
      </c>
      <c r="D743" t="s">
        <v>2668</v>
      </c>
      <c r="E743" t="s">
        <v>2669</v>
      </c>
      <c r="F743" t="s">
        <v>41</v>
      </c>
      <c r="G743">
        <v>0</v>
      </c>
      <c r="H743">
        <f>((0/1000) * G743)</f>
        <v>0</v>
      </c>
      <c r="I743">
        <v>0</v>
      </c>
      <c r="J743">
        <v>0</v>
      </c>
      <c r="K743" s="2947">
        <v>252862.28</v>
      </c>
      <c r="L743" s="2948">
        <f>(K743 * G743)</f>
        <v>0</v>
      </c>
      <c r="M743" s="2949">
        <v>354007.19</v>
      </c>
      <c r="N743" s="2950">
        <f>(G743 * M743)</f>
        <v>0</v>
      </c>
      <c r="O743">
        <v>0</v>
      </c>
      <c r="P743">
        <v>0</v>
      </c>
      <c r="Q743">
        <f>IF(O743&gt;G743,(O743-G743),0)</f>
        <v>0</v>
      </c>
      <c r="R743">
        <v>1</v>
      </c>
      <c r="S743">
        <f>IF(Q743&gt;0,Int(P743/Q743),0)</f>
        <v>0</v>
      </c>
      <c r="T743">
        <f>207128.59</f>
        <v>207128.59</v>
      </c>
      <c r="U743" t="s">
        <v>2670</v>
      </c>
      <c r="V743">
        <v>252862.28</v>
      </c>
      <c r="W743" t="s">
        <v>182</v>
      </c>
      <c r="X743"/>
    </row>
    <row r="744" spans="1:27">
      <c r="A744" t="s">
        <v>35</v>
      </c>
      <c r="B744" t="s">
        <v>29</v>
      </c>
      <c r="C744" t="s">
        <v>2671</v>
      </c>
      <c r="D744" t="s">
        <v>2672</v>
      </c>
      <c r="E744" t="s">
        <v>2673</v>
      </c>
      <c r="F744" t="s">
        <v>41</v>
      </c>
      <c r="G744">
        <v>0</v>
      </c>
      <c r="H744">
        <f>((1/1000) * G744)</f>
        <v>0</v>
      </c>
      <c r="I744">
        <v>0</v>
      </c>
      <c r="J744">
        <v>0</v>
      </c>
      <c r="K744" s="2951">
        <v>0</v>
      </c>
      <c r="L744" s="2952">
        <f>(K744 * G744)</f>
        <v>0</v>
      </c>
      <c r="M744" s="2953">
        <v>0</v>
      </c>
      <c r="N744" s="2954">
        <f>(G744 * M744)</f>
        <v>0</v>
      </c>
      <c r="O744">
        <v>0</v>
      </c>
      <c r="P744">
        <v>0</v>
      </c>
      <c r="Q744">
        <f>IF(O744&gt;G744,(O744-G744),0)</f>
        <v>0</v>
      </c>
      <c r="R744">
        <v>1</v>
      </c>
      <c r="S744">
        <f>IF(Q744&gt;0,Int(P744/Q744),0)</f>
        <v>0</v>
      </c>
      <c r="T744">
        <f>0</f>
        <v>0</v>
      </c>
      <c r="U744"/>
      <c r="V744">
        <v>0</v>
      </c>
      <c r="W744">
        <v>0</v>
      </c>
      <c r="X744"/>
    </row>
    <row r="745" spans="1:27">
      <c r="A745" t="s">
        <v>35</v>
      </c>
      <c r="B745" t="s">
        <v>29</v>
      </c>
      <c r="C745" t="s">
        <v>2674</v>
      </c>
      <c r="D745" t="s">
        <v>2674</v>
      </c>
      <c r="E745" t="s">
        <v>2675</v>
      </c>
      <c r="F745" t="s">
        <v>33</v>
      </c>
      <c r="G745">
        <v>0</v>
      </c>
      <c r="H745">
        <f>((1/1000) * G745)</f>
        <v>0</v>
      </c>
      <c r="I745">
        <v>0</v>
      </c>
      <c r="J745">
        <v>0</v>
      </c>
      <c r="K745" s="2955">
        <v>0</v>
      </c>
      <c r="L745" s="2956">
        <f>(K745 * G745)</f>
        <v>0</v>
      </c>
      <c r="M745" s="2957">
        <v>0</v>
      </c>
      <c r="N745" s="2958">
        <f>(G745 * M745)</f>
        <v>0</v>
      </c>
      <c r="O745">
        <v>0</v>
      </c>
      <c r="P745">
        <v>0</v>
      </c>
      <c r="Q745">
        <f>IF(O745&gt;G745,(O745-G745),0)</f>
        <v>0</v>
      </c>
      <c r="R745">
        <v>0</v>
      </c>
      <c r="S745">
        <f>IF(Q745&gt;0,Int(P745/Q745),0)</f>
        <v>0</v>
      </c>
      <c r="T745">
        <f>0</f>
        <v>0</v>
      </c>
      <c r="U745"/>
      <c r="V745">
        <v>0</v>
      </c>
      <c r="W745">
        <v>0</v>
      </c>
      <c r="X745"/>
    </row>
    <row r="746" spans="1:27">
      <c r="A746" t="s">
        <v>28</v>
      </c>
      <c r="B746" t="s">
        <v>29</v>
      </c>
      <c r="C746" t="s">
        <v>2676</v>
      </c>
      <c r="D746" t="s">
        <v>2677</v>
      </c>
      <c r="E746" t="s">
        <v>2678</v>
      </c>
      <c r="F746" t="s">
        <v>41</v>
      </c>
      <c r="G746">
        <v>0</v>
      </c>
      <c r="H746">
        <f>((0/1000) * G746)</f>
        <v>0</v>
      </c>
      <c r="I746">
        <v>0</v>
      </c>
      <c r="J746">
        <v>0</v>
      </c>
      <c r="K746" s="2959">
        <v>262680.71</v>
      </c>
      <c r="L746" s="2960">
        <f>(K746 * G746)</f>
        <v>0</v>
      </c>
      <c r="M746" s="2961">
        <v>367752.99</v>
      </c>
      <c r="N746" s="2962">
        <f>(G746 * M746)</f>
        <v>0</v>
      </c>
      <c r="O746">
        <v>0</v>
      </c>
      <c r="P746">
        <v>0</v>
      </c>
      <c r="Q746">
        <f>IF(O746&gt;G746,(O746-G746),0)</f>
        <v>0</v>
      </c>
      <c r="R746">
        <v>1</v>
      </c>
      <c r="S746">
        <f>IF(Q746&gt;0,Int(P746/Q746),0)</f>
        <v>0</v>
      </c>
      <c r="T746">
        <f>213121.98</f>
        <v>213121.98</v>
      </c>
      <c r="U746" t="s">
        <v>2679</v>
      </c>
      <c r="V746">
        <v>262680.71</v>
      </c>
      <c r="W746" t="s">
        <v>182</v>
      </c>
      <c r="X746"/>
    </row>
    <row r="747" spans="1:27">
      <c r="A747" t="s">
        <v>28</v>
      </c>
      <c r="B747" t="s">
        <v>29</v>
      </c>
      <c r="C747" t="s">
        <v>2680</v>
      </c>
      <c r="D747" t="s">
        <v>179</v>
      </c>
      <c r="E747" t="s">
        <v>2681</v>
      </c>
      <c r="F747" t="s">
        <v>33</v>
      </c>
      <c r="G747">
        <v>0</v>
      </c>
      <c r="H747">
        <f>((0/1000) * G747)</f>
        <v>0</v>
      </c>
      <c r="I747">
        <v>0</v>
      </c>
      <c r="J747">
        <v>0</v>
      </c>
      <c r="K747" s="2963">
        <v>144222.88</v>
      </c>
      <c r="L747" s="2964">
        <f>(K747 * G747)</f>
        <v>0</v>
      </c>
      <c r="M747" s="2965">
        <v>201912.04</v>
      </c>
      <c r="N747" s="2966">
        <f>(G747 * M747)</f>
        <v>0</v>
      </c>
      <c r="O747">
        <v>0</v>
      </c>
      <c r="P747">
        <v>0</v>
      </c>
      <c r="Q747">
        <f>IF(O747&gt;G747,(O747-G747),0)</f>
        <v>0</v>
      </c>
      <c r="R747">
        <v>1</v>
      </c>
      <c r="S747">
        <f>IF(Q747&gt;0,Int(P747/Q747),0)</f>
        <v>0</v>
      </c>
      <c r="T747">
        <f>144222.88</f>
        <v>144222.88</v>
      </c>
      <c r="U747" t="s">
        <v>2682</v>
      </c>
      <c r="V747">
        <v>144222.88</v>
      </c>
      <c r="W747" t="s">
        <v>75</v>
      </c>
      <c r="X747"/>
    </row>
    <row r="748" spans="1:27">
      <c r="A748" t="s">
        <v>28</v>
      </c>
      <c r="B748" t="s">
        <v>29</v>
      </c>
      <c r="C748" t="s">
        <v>2683</v>
      </c>
      <c r="D748" t="s">
        <v>2684</v>
      </c>
      <c r="E748" t="s">
        <v>2685</v>
      </c>
      <c r="F748" t="s">
        <v>41</v>
      </c>
      <c r="G748">
        <v>0</v>
      </c>
      <c r="H748">
        <f>((0/1000) * G748)</f>
        <v>0</v>
      </c>
      <c r="I748">
        <v>0</v>
      </c>
      <c r="J748">
        <v>0</v>
      </c>
      <c r="K748" s="2967">
        <v>227923.5</v>
      </c>
      <c r="L748" s="2968">
        <f>(K748 * G748)</f>
        <v>0</v>
      </c>
      <c r="M748" s="2969">
        <v>319092.91</v>
      </c>
      <c r="N748" s="2970">
        <f>(G748 * M748)</f>
        <v>0</v>
      </c>
      <c r="O748">
        <v>0</v>
      </c>
      <c r="P748">
        <v>0</v>
      </c>
      <c r="Q748">
        <f>IF(O748&gt;G748,(O748-G748),0)</f>
        <v>0</v>
      </c>
      <c r="R748">
        <v>1</v>
      </c>
      <c r="S748">
        <f>IF(Q748&gt;0,Int(P748/Q748),0)</f>
        <v>0</v>
      </c>
      <c r="T748">
        <f>217632.85</f>
        <v>217632.85</v>
      </c>
      <c r="U748" t="s">
        <v>2686</v>
      </c>
      <c r="V748">
        <v>227923.5</v>
      </c>
      <c r="W748" t="s">
        <v>182</v>
      </c>
      <c r="X748"/>
    </row>
    <row r="749" spans="1:27">
      <c r="A749" t="s">
        <v>35</v>
      </c>
      <c r="B749" t="s">
        <v>29</v>
      </c>
      <c r="C749" t="s">
        <v>2687</v>
      </c>
      <c r="D749" t="s">
        <v>2688</v>
      </c>
      <c r="E749" t="s">
        <v>2689</v>
      </c>
      <c r="F749" t="s">
        <v>33</v>
      </c>
      <c r="G749">
        <v>1</v>
      </c>
      <c r="H749">
        <f>((0/1000) * G749)</f>
        <v>0</v>
      </c>
      <c r="I749">
        <v>0</v>
      </c>
      <c r="J749">
        <v>1</v>
      </c>
      <c r="K749" s="2971">
        <v>213057.86</v>
      </c>
      <c r="L749" s="2972">
        <f>(K749 * G749)</f>
        <v>213057.86</v>
      </c>
      <c r="M749" s="2973">
        <v>234363.64</v>
      </c>
      <c r="N749" s="2974">
        <f>(G749 * M749)</f>
        <v>234363.64</v>
      </c>
      <c r="O749">
        <v>0</v>
      </c>
      <c r="P749">
        <v>0</v>
      </c>
      <c r="Q749">
        <f>IF(O749&gt;G749,(O749-G749),0)</f>
        <v>0</v>
      </c>
      <c r="R749">
        <v>1</v>
      </c>
      <c r="S749">
        <f>IF(Q749&gt;0,Int(P749/Q749),0)</f>
        <v>0</v>
      </c>
      <c r="T749">
        <f>270623.59</f>
        <v>270623.59</v>
      </c>
      <c r="U749" t="s">
        <v>1115</v>
      </c>
      <c r="V749">
        <v>213057.86</v>
      </c>
      <c r="W749" t="s">
        <v>43</v>
      </c>
      <c r="X749" t="s">
        <v>209</v>
      </c>
    </row>
    <row r="750" spans="1:27">
      <c r="A750" t="s">
        <v>35</v>
      </c>
      <c r="B750" t="s">
        <v>29</v>
      </c>
      <c r="C750" t="s">
        <v>2690</v>
      </c>
      <c r="D750" t="s">
        <v>2691</v>
      </c>
      <c r="E750" t="s">
        <v>2692</v>
      </c>
      <c r="F750" t="s">
        <v>41</v>
      </c>
      <c r="G750">
        <v>0</v>
      </c>
      <c r="H750">
        <f>((0/1000) * G750)</f>
        <v>0</v>
      </c>
      <c r="I750">
        <v>0</v>
      </c>
      <c r="J750">
        <v>0</v>
      </c>
      <c r="K750" s="2975">
        <v>392410.26</v>
      </c>
      <c r="L750" s="2976">
        <f>(K750 * G750)</f>
        <v>0</v>
      </c>
      <c r="M750" s="2977">
        <v>549374.37</v>
      </c>
      <c r="N750" s="2978">
        <f>(G750 * M750)</f>
        <v>0</v>
      </c>
      <c r="O750">
        <v>0</v>
      </c>
      <c r="P750">
        <v>0</v>
      </c>
      <c r="Q750">
        <f>IF(O750&gt;G750,(O750-G750),0)</f>
        <v>0</v>
      </c>
      <c r="R750">
        <v>0</v>
      </c>
      <c r="S750">
        <f>IF(Q750&gt;0,Int(P750/Q750),0)</f>
        <v>0</v>
      </c>
      <c r="T750">
        <f>0</f>
        <v>0</v>
      </c>
      <c r="U750"/>
      <c r="V750">
        <v>392410.26</v>
      </c>
      <c r="W750" t="s">
        <v>182</v>
      </c>
      <c r="X750"/>
    </row>
    <row r="751" spans="1:27">
      <c r="A751" t="s">
        <v>35</v>
      </c>
      <c r="B751" t="s">
        <v>29</v>
      </c>
      <c r="C751" t="s">
        <v>2693</v>
      </c>
      <c r="D751" t="s">
        <v>2694</v>
      </c>
      <c r="E751" t="s">
        <v>2695</v>
      </c>
      <c r="F751" t="s">
        <v>33</v>
      </c>
      <c r="G751">
        <v>0</v>
      </c>
      <c r="H751">
        <f>((0/1000) * G751)</f>
        <v>0</v>
      </c>
      <c r="I751">
        <v>0</v>
      </c>
      <c r="J751">
        <v>0</v>
      </c>
      <c r="K751" s="2979">
        <v>71675.32</v>
      </c>
      <c r="L751" s="2980">
        <f>(K751 * G751)</f>
        <v>0</v>
      </c>
      <c r="M751" s="2981">
        <v>100345.45</v>
      </c>
      <c r="N751" s="2982">
        <f>(G751 * M751)</f>
        <v>0</v>
      </c>
      <c r="O751">
        <v>0</v>
      </c>
      <c r="P751">
        <v>0</v>
      </c>
      <c r="Q751">
        <f>IF(O751&gt;G751,(O751-G751),0)</f>
        <v>0</v>
      </c>
      <c r="R751">
        <v>1</v>
      </c>
      <c r="S751">
        <f>IF(Q751&gt;0,Int(P751/Q751),0)</f>
        <v>0</v>
      </c>
      <c r="T751">
        <f>0</f>
        <v>0</v>
      </c>
      <c r="U751"/>
      <c r="V751">
        <v>71675.32</v>
      </c>
      <c r="W751" t="s">
        <v>75</v>
      </c>
      <c r="X751"/>
    </row>
    <row r="752" spans="1:27">
      <c r="A752" t="s">
        <v>35</v>
      </c>
      <c r="B752" t="s">
        <v>29</v>
      </c>
      <c r="C752" t="s">
        <v>2696</v>
      </c>
      <c r="D752" t="s">
        <v>2697</v>
      </c>
      <c r="E752" t="s">
        <v>2698</v>
      </c>
      <c r="F752" t="s">
        <v>33</v>
      </c>
      <c r="G752">
        <v>0</v>
      </c>
      <c r="H752">
        <f>((0/1000) * G752)</f>
        <v>0</v>
      </c>
      <c r="I752">
        <v>0</v>
      </c>
      <c r="J752">
        <v>0</v>
      </c>
      <c r="K752" s="2983">
        <v>56654.91</v>
      </c>
      <c r="L752" s="2984">
        <f>(K752 * G752)</f>
        <v>0</v>
      </c>
      <c r="M752" s="2985">
        <v>79316.88</v>
      </c>
      <c r="N752" s="2986">
        <f>(G752 * M752)</f>
        <v>0</v>
      </c>
      <c r="O752">
        <v>0</v>
      </c>
      <c r="P752">
        <v>0</v>
      </c>
      <c r="Q752">
        <f>IF(O752&gt;G752,(O752-G752),0)</f>
        <v>0</v>
      </c>
      <c r="R752">
        <v>1</v>
      </c>
      <c r="S752">
        <f>IF(Q752&gt;0,Int(P752/Q752),0)</f>
        <v>0</v>
      </c>
      <c r="T752">
        <f>0</f>
        <v>0</v>
      </c>
      <c r="U752"/>
      <c r="V752">
        <v>56654.91</v>
      </c>
      <c r="W752" t="s">
        <v>75</v>
      </c>
      <c r="X752"/>
    </row>
    <row r="753" spans="1:27">
      <c r="A753" t="s">
        <v>35</v>
      </c>
      <c r="B753" t="s">
        <v>29</v>
      </c>
      <c r="C753" t="s">
        <v>2699</v>
      </c>
      <c r="D753" t="s">
        <v>2700</v>
      </c>
      <c r="E753" t="s">
        <v>2701</v>
      </c>
      <c r="F753" t="s">
        <v>33</v>
      </c>
      <c r="G753">
        <v>0</v>
      </c>
      <c r="H753">
        <f>((0/1000) * G753)</f>
        <v>0</v>
      </c>
      <c r="I753">
        <v>0</v>
      </c>
      <c r="J753">
        <v>0</v>
      </c>
      <c r="K753" s="2987">
        <v>59021.18</v>
      </c>
      <c r="L753" s="2988">
        <f>(K753 * G753)</f>
        <v>0</v>
      </c>
      <c r="M753" s="2989">
        <v>82629.66</v>
      </c>
      <c r="N753" s="2990">
        <f>(G753 * M753)</f>
        <v>0</v>
      </c>
      <c r="O753">
        <v>0</v>
      </c>
      <c r="P753">
        <v>0</v>
      </c>
      <c r="Q753">
        <f>IF(O753&gt;G753,(O753-G753),0)</f>
        <v>0</v>
      </c>
      <c r="R753">
        <v>1</v>
      </c>
      <c r="S753">
        <f>IF(Q753&gt;0,Int(P753/Q753),0)</f>
        <v>0</v>
      </c>
      <c r="T753">
        <f>0</f>
        <v>0</v>
      </c>
      <c r="U753"/>
      <c r="V753">
        <v>59021.18</v>
      </c>
      <c r="W753" t="s">
        <v>75</v>
      </c>
      <c r="X753"/>
    </row>
    <row r="754" spans="1:27">
      <c r="A754" t="s">
        <v>35</v>
      </c>
      <c r="B754" t="s">
        <v>29</v>
      </c>
      <c r="C754" t="s">
        <v>2702</v>
      </c>
      <c r="D754" t="s">
        <v>2703</v>
      </c>
      <c r="E754" t="s">
        <v>2704</v>
      </c>
      <c r="F754" t="s">
        <v>33</v>
      </c>
      <c r="G754">
        <v>0</v>
      </c>
      <c r="H754">
        <f>((0/1000) * G754)</f>
        <v>0</v>
      </c>
      <c r="I754">
        <v>0</v>
      </c>
      <c r="J754">
        <v>0</v>
      </c>
      <c r="K754" s="2991">
        <v>58739.49</v>
      </c>
      <c r="L754" s="2992">
        <f>(K754 * G754)</f>
        <v>0</v>
      </c>
      <c r="M754" s="2993">
        <v>82235.28</v>
      </c>
      <c r="N754" s="2994">
        <f>(G754 * M754)</f>
        <v>0</v>
      </c>
      <c r="O754">
        <v>0</v>
      </c>
      <c r="P754">
        <v>0</v>
      </c>
      <c r="Q754">
        <f>IF(O754&gt;G754,(O754-G754),0)</f>
        <v>0</v>
      </c>
      <c r="R754">
        <v>1</v>
      </c>
      <c r="S754">
        <f>IF(Q754&gt;0,Int(P754/Q754),0)</f>
        <v>0</v>
      </c>
      <c r="T754">
        <f>0</f>
        <v>0</v>
      </c>
      <c r="U754"/>
      <c r="V754">
        <v>58739.49</v>
      </c>
      <c r="W754" t="s">
        <v>75</v>
      </c>
      <c r="X754"/>
    </row>
    <row r="755" spans="1:27">
      <c r="A755" t="s">
        <v>35</v>
      </c>
      <c r="B755" t="s">
        <v>29</v>
      </c>
      <c r="C755" t="s">
        <v>2705</v>
      </c>
      <c r="D755" t="s">
        <v>2706</v>
      </c>
      <c r="E755" t="s">
        <v>2707</v>
      </c>
      <c r="F755" t="s">
        <v>41</v>
      </c>
      <c r="G755">
        <v>0</v>
      </c>
      <c r="H755">
        <f>((0/1000) * G755)</f>
        <v>0</v>
      </c>
      <c r="I755">
        <v>0</v>
      </c>
      <c r="J755">
        <v>0</v>
      </c>
      <c r="K755" s="2995">
        <v>244047.09</v>
      </c>
      <c r="L755" s="2996">
        <f>(K755 * G755)</f>
        <v>0</v>
      </c>
      <c r="M755" s="2997">
        <v>268451.8</v>
      </c>
      <c r="N755" s="2998">
        <f>(G755 * M755)</f>
        <v>0</v>
      </c>
      <c r="O755">
        <v>0</v>
      </c>
      <c r="P755">
        <v>0</v>
      </c>
      <c r="Q755">
        <f>IF(O755&gt;G755,(O755-G755),0)</f>
        <v>0</v>
      </c>
      <c r="R755">
        <v>1</v>
      </c>
      <c r="S755">
        <f>IF(Q755&gt;0,Int(P755/Q755),0)</f>
        <v>0</v>
      </c>
      <c r="T755">
        <f>0</f>
        <v>0</v>
      </c>
      <c r="U755"/>
      <c r="V755">
        <v>244047.09</v>
      </c>
      <c r="W755" t="s">
        <v>43</v>
      </c>
      <c r="X755"/>
    </row>
    <row r="756" spans="1:27">
      <c r="A756" t="s">
        <v>35</v>
      </c>
      <c r="B756" t="s">
        <v>29</v>
      </c>
      <c r="C756" t="s">
        <v>2708</v>
      </c>
      <c r="D756" t="s">
        <v>2709</v>
      </c>
      <c r="E756" t="s">
        <v>2710</v>
      </c>
      <c r="F756" t="s">
        <v>41</v>
      </c>
      <c r="G756">
        <v>0</v>
      </c>
      <c r="H756">
        <f>((0/1000) * G756)</f>
        <v>0</v>
      </c>
      <c r="I756">
        <v>0</v>
      </c>
      <c r="J756">
        <v>0</v>
      </c>
      <c r="K756" s="2999">
        <v>311091.32</v>
      </c>
      <c r="L756" s="3000">
        <f>(K756 * G756)</f>
        <v>0</v>
      </c>
      <c r="M756" s="3001">
        <v>435527.85</v>
      </c>
      <c r="N756" s="3002">
        <f>(G756 * M756)</f>
        <v>0</v>
      </c>
      <c r="O756">
        <v>0</v>
      </c>
      <c r="P756">
        <v>0</v>
      </c>
      <c r="Q756">
        <f>IF(O756&gt;G756,(O756-G756),0)</f>
        <v>0</v>
      </c>
      <c r="R756">
        <v>1</v>
      </c>
      <c r="S756">
        <f>IF(Q756&gt;0,Int(P756/Q756),0)</f>
        <v>0</v>
      </c>
      <c r="T756">
        <f>250864.01</f>
        <v>250864.01</v>
      </c>
      <c r="U756" t="s">
        <v>2711</v>
      </c>
      <c r="V756">
        <v>311091.32</v>
      </c>
      <c r="W756" t="s">
        <v>75</v>
      </c>
      <c r="X756"/>
    </row>
    <row r="757" spans="1:27">
      <c r="A757" t="s">
        <v>35</v>
      </c>
      <c r="B757" t="s">
        <v>29</v>
      </c>
      <c r="C757" t="s">
        <v>2712</v>
      </c>
      <c r="D757" t="s">
        <v>2713</v>
      </c>
      <c r="E757" t="s">
        <v>2714</v>
      </c>
      <c r="F757" t="s">
        <v>33</v>
      </c>
      <c r="G757">
        <v>0</v>
      </c>
      <c r="H757">
        <f>((0/1000) * G757)</f>
        <v>0</v>
      </c>
      <c r="I757">
        <v>0</v>
      </c>
      <c r="J757">
        <v>0</v>
      </c>
      <c r="K757" s="3003">
        <v>58066.4</v>
      </c>
      <c r="L757" s="3004">
        <f>(K757 * G757)</f>
        <v>0</v>
      </c>
      <c r="M757" s="3005">
        <v>81292.96</v>
      </c>
      <c r="N757" s="3006">
        <f>(G757 * M757)</f>
        <v>0</v>
      </c>
      <c r="O757">
        <v>0</v>
      </c>
      <c r="P757">
        <v>0</v>
      </c>
      <c r="Q757">
        <f>IF(O757&gt;G757,(O757-G757),0)</f>
        <v>0</v>
      </c>
      <c r="R757">
        <v>1</v>
      </c>
      <c r="S757">
        <f>IF(Q757&gt;0,Int(P757/Q757),0)</f>
        <v>0</v>
      </c>
      <c r="T757">
        <f>0</f>
        <v>0</v>
      </c>
      <c r="U757"/>
      <c r="V757">
        <v>58066.4</v>
      </c>
      <c r="W757" t="s">
        <v>75</v>
      </c>
      <c r="X757"/>
    </row>
    <row r="758" spans="1:27">
      <c r="A758" t="s">
        <v>35</v>
      </c>
      <c r="B758" t="s">
        <v>29</v>
      </c>
      <c r="C758" t="s">
        <v>2715</v>
      </c>
      <c r="D758" t="s">
        <v>2716</v>
      </c>
      <c r="E758" t="s">
        <v>2717</v>
      </c>
      <c r="F758" t="s">
        <v>33</v>
      </c>
      <c r="G758">
        <v>0</v>
      </c>
      <c r="H758">
        <f>((0/1000) * G758)</f>
        <v>0</v>
      </c>
      <c r="I758">
        <v>0</v>
      </c>
      <c r="J758">
        <v>0</v>
      </c>
      <c r="K758" s="3007">
        <v>52403.73</v>
      </c>
      <c r="L758" s="3008">
        <f>(K758 * G758)</f>
        <v>0</v>
      </c>
      <c r="M758" s="3009">
        <v>73365.23</v>
      </c>
      <c r="N758" s="3010">
        <f>(G758 * M758)</f>
        <v>0</v>
      </c>
      <c r="O758">
        <v>0</v>
      </c>
      <c r="P758">
        <v>0</v>
      </c>
      <c r="Q758">
        <f>IF(O758&gt;G758,(O758-G758),0)</f>
        <v>0</v>
      </c>
      <c r="R758">
        <v>1</v>
      </c>
      <c r="S758">
        <f>IF(Q758&gt;0,Int(P758/Q758),0)</f>
        <v>0</v>
      </c>
      <c r="T758">
        <f>0</f>
        <v>0</v>
      </c>
      <c r="U758"/>
      <c r="V758">
        <v>52403.73</v>
      </c>
      <c r="W758" t="s">
        <v>75</v>
      </c>
      <c r="X758"/>
    </row>
    <row r="759" spans="1:27">
      <c r="A759" t="s">
        <v>35</v>
      </c>
      <c r="B759" t="s">
        <v>29</v>
      </c>
      <c r="C759" t="s">
        <v>2718</v>
      </c>
      <c r="D759" t="s">
        <v>2719</v>
      </c>
      <c r="E759" t="s">
        <v>2720</v>
      </c>
      <c r="F759" t="s">
        <v>41</v>
      </c>
      <c r="G759">
        <v>0</v>
      </c>
      <c r="H759">
        <f>((0/1000) * G759)</f>
        <v>0</v>
      </c>
      <c r="I759">
        <v>0</v>
      </c>
      <c r="J759">
        <v>0</v>
      </c>
      <c r="K759" s="3011">
        <v>0</v>
      </c>
      <c r="L759" s="3012">
        <f>(K759 * G759)</f>
        <v>0</v>
      </c>
      <c r="M759" s="3013">
        <v>0</v>
      </c>
      <c r="N759" s="3014">
        <f>(G759 * M759)</f>
        <v>0</v>
      </c>
      <c r="O759">
        <v>0</v>
      </c>
      <c r="P759">
        <v>0</v>
      </c>
      <c r="Q759">
        <f>IF(O759&gt;G759,(O759-G759),0)</f>
        <v>0</v>
      </c>
      <c r="R759">
        <v>1</v>
      </c>
      <c r="S759">
        <f>IF(Q759&gt;0,Int(P759/Q759),0)</f>
        <v>0</v>
      </c>
      <c r="T759">
        <f>0</f>
        <v>0</v>
      </c>
      <c r="U759"/>
      <c r="V759">
        <v>0</v>
      </c>
      <c r="W759">
        <v>0</v>
      </c>
      <c r="X759"/>
    </row>
    <row r="760" spans="1:27">
      <c r="A760" t="s">
        <v>35</v>
      </c>
      <c r="B760" t="s">
        <v>29</v>
      </c>
      <c r="C760" t="s">
        <v>2721</v>
      </c>
      <c r="D760" t="s">
        <v>2722</v>
      </c>
      <c r="E760" t="s">
        <v>2723</v>
      </c>
      <c r="F760" t="s">
        <v>33</v>
      </c>
      <c r="G760">
        <v>0</v>
      </c>
      <c r="H760">
        <f>((0/1000) * G760)</f>
        <v>0</v>
      </c>
      <c r="I760">
        <v>0</v>
      </c>
      <c r="J760">
        <v>0</v>
      </c>
      <c r="K760" s="3015">
        <v>230070.14</v>
      </c>
      <c r="L760" s="3016">
        <f>(K760 * G760)</f>
        <v>0</v>
      </c>
      <c r="M760" s="3017">
        <v>322098.2</v>
      </c>
      <c r="N760" s="3018">
        <f>(G760 * M760)</f>
        <v>0</v>
      </c>
      <c r="O760">
        <v>0</v>
      </c>
      <c r="P760">
        <v>0</v>
      </c>
      <c r="Q760">
        <f>IF(O760&gt;G760,(O760-G760),0)</f>
        <v>0</v>
      </c>
      <c r="R760">
        <v>1</v>
      </c>
      <c r="S760">
        <f>IF(Q760&gt;0,Int(P760/Q760),0)</f>
        <v>0</v>
      </c>
      <c r="T760">
        <f>0</f>
        <v>0</v>
      </c>
      <c r="U760"/>
      <c r="V760">
        <v>230070.14</v>
      </c>
      <c r="W760" t="s">
        <v>182</v>
      </c>
      <c r="X760"/>
    </row>
    <row r="761" spans="1:27">
      <c r="A761" t="s">
        <v>35</v>
      </c>
      <c r="B761" t="s">
        <v>29</v>
      </c>
      <c r="C761" t="s">
        <v>2724</v>
      </c>
      <c r="D761" t="s">
        <v>2725</v>
      </c>
      <c r="E761" t="s">
        <v>2726</v>
      </c>
      <c r="F761" t="s">
        <v>41</v>
      </c>
      <c r="G761">
        <v>0</v>
      </c>
      <c r="H761">
        <f>((0/1000) * G761)</f>
        <v>0</v>
      </c>
      <c r="I761">
        <v>0</v>
      </c>
      <c r="J761">
        <v>0</v>
      </c>
      <c r="K761" s="3019">
        <v>269401.29</v>
      </c>
      <c r="L761" s="3020">
        <f>(K761 * G761)</f>
        <v>0</v>
      </c>
      <c r="M761" s="3021">
        <v>377161.8</v>
      </c>
      <c r="N761" s="3022">
        <f>(G761 * M761)</f>
        <v>0</v>
      </c>
      <c r="O761">
        <v>0</v>
      </c>
      <c r="P761">
        <v>0</v>
      </c>
      <c r="Q761">
        <f>IF(O761&gt;G761,(O761-G761),0)</f>
        <v>0</v>
      </c>
      <c r="R761">
        <v>1</v>
      </c>
      <c r="S761">
        <f>IF(Q761&gt;0,Int(P761/Q761),0)</f>
        <v>0</v>
      </c>
      <c r="T761">
        <f>262734.79</f>
        <v>262734.79</v>
      </c>
      <c r="U761" t="s">
        <v>2727</v>
      </c>
      <c r="V761">
        <v>269401.29</v>
      </c>
      <c r="W761" t="s">
        <v>182</v>
      </c>
      <c r="X761"/>
    </row>
    <row r="762" spans="1:27">
      <c r="A762" t="s">
        <v>35</v>
      </c>
      <c r="B762" t="s">
        <v>29</v>
      </c>
      <c r="C762" t="s">
        <v>2728</v>
      </c>
      <c r="D762" t="s">
        <v>2729</v>
      </c>
      <c r="E762" t="s">
        <v>2730</v>
      </c>
      <c r="F762" t="s">
        <v>41</v>
      </c>
      <c r="G762">
        <v>0</v>
      </c>
      <c r="H762">
        <f>((0/1000) * G762)</f>
        <v>0</v>
      </c>
      <c r="I762">
        <v>0</v>
      </c>
      <c r="J762">
        <v>0</v>
      </c>
      <c r="K762" s="3023">
        <v>292841.04</v>
      </c>
      <c r="L762" s="3024">
        <f>(K762 * G762)</f>
        <v>0</v>
      </c>
      <c r="M762" s="3025">
        <v>409977.45</v>
      </c>
      <c r="N762" s="3026">
        <f>(G762 * M762)</f>
        <v>0</v>
      </c>
      <c r="O762">
        <v>0</v>
      </c>
      <c r="P762">
        <v>0</v>
      </c>
      <c r="Q762">
        <f>IF(O762&gt;G762,(O762-G762),0)</f>
        <v>0</v>
      </c>
      <c r="R762">
        <v>1</v>
      </c>
      <c r="S762">
        <f>IF(Q762&gt;0,Int(P762/Q762),0)</f>
        <v>0</v>
      </c>
      <c r="T762">
        <f>285574.76</f>
        <v>285574.76</v>
      </c>
      <c r="U762" t="s">
        <v>2731</v>
      </c>
      <c r="V762">
        <v>292841.04</v>
      </c>
      <c r="W762" t="s">
        <v>182</v>
      </c>
      <c r="X762"/>
    </row>
    <row r="763" spans="1:27">
      <c r="A763" t="s">
        <v>35</v>
      </c>
      <c r="B763" t="s">
        <v>29</v>
      </c>
      <c r="C763" t="s">
        <v>2732</v>
      </c>
      <c r="D763" t="s">
        <v>2733</v>
      </c>
      <c r="E763" t="s">
        <v>2734</v>
      </c>
      <c r="F763" t="s">
        <v>33</v>
      </c>
      <c r="G763">
        <v>0</v>
      </c>
      <c r="H763">
        <f>((0/1000) * G763)</f>
        <v>0</v>
      </c>
      <c r="I763">
        <v>0</v>
      </c>
      <c r="J763">
        <v>0</v>
      </c>
      <c r="K763" s="3027">
        <v>56946.73</v>
      </c>
      <c r="L763" s="3028">
        <f>(K763 * G763)</f>
        <v>0</v>
      </c>
      <c r="M763" s="3029">
        <v>79725.42</v>
      </c>
      <c r="N763" s="3030">
        <f>(G763 * M763)</f>
        <v>0</v>
      </c>
      <c r="O763">
        <v>0</v>
      </c>
      <c r="P763">
        <v>0</v>
      </c>
      <c r="Q763">
        <f>IF(O763&gt;G763,(O763-G763),0)</f>
        <v>0</v>
      </c>
      <c r="R763">
        <v>1</v>
      </c>
      <c r="S763">
        <f>IF(Q763&gt;0,Int(P763/Q763),0)</f>
        <v>0</v>
      </c>
      <c r="T763">
        <f>0</f>
        <v>0</v>
      </c>
      <c r="U763"/>
      <c r="V763">
        <v>56946.73</v>
      </c>
      <c r="W763" t="s">
        <v>75</v>
      </c>
      <c r="X763"/>
    </row>
    <row r="764" spans="1:27">
      <c r="A764" t="s">
        <v>35</v>
      </c>
      <c r="B764" t="s">
        <v>29</v>
      </c>
      <c r="C764" t="s">
        <v>2735</v>
      </c>
      <c r="D764" t="s">
        <v>2736</v>
      </c>
      <c r="E764" t="s">
        <v>2737</v>
      </c>
      <c r="F764" t="s">
        <v>33</v>
      </c>
      <c r="G764">
        <v>0</v>
      </c>
      <c r="H764">
        <f>((0/1000) * G764)</f>
        <v>0</v>
      </c>
      <c r="I764">
        <v>0</v>
      </c>
      <c r="J764">
        <v>0</v>
      </c>
      <c r="K764" s="3031">
        <v>56943</v>
      </c>
      <c r="L764" s="3032">
        <f>(K764 * G764)</f>
        <v>0</v>
      </c>
      <c r="M764" s="3033">
        <v>79720.2</v>
      </c>
      <c r="N764" s="3034">
        <f>(G764 * M764)</f>
        <v>0</v>
      </c>
      <c r="O764">
        <v>0</v>
      </c>
      <c r="P764">
        <v>0</v>
      </c>
      <c r="Q764">
        <f>IF(O764&gt;G764,(O764-G764),0)</f>
        <v>0</v>
      </c>
      <c r="R764">
        <v>1</v>
      </c>
      <c r="S764">
        <f>IF(Q764&gt;0,Int(P764/Q764),0)</f>
        <v>0</v>
      </c>
      <c r="T764">
        <f>0</f>
        <v>0</v>
      </c>
      <c r="U764"/>
      <c r="V764">
        <v>56943</v>
      </c>
      <c r="W764" t="s">
        <v>75</v>
      </c>
      <c r="X764"/>
    </row>
    <row r="765" spans="1:27">
      <c r="A765" t="s">
        <v>35</v>
      </c>
      <c r="B765" t="s">
        <v>29</v>
      </c>
      <c r="C765" t="s">
        <v>2738</v>
      </c>
      <c r="D765" t="s">
        <v>2739</v>
      </c>
      <c r="E765" t="s">
        <v>2740</v>
      </c>
      <c r="F765" t="s">
        <v>33</v>
      </c>
      <c r="G765">
        <v>0</v>
      </c>
      <c r="H765">
        <f>((0/1000) * G765)</f>
        <v>0</v>
      </c>
      <c r="I765">
        <v>0</v>
      </c>
      <c r="J765">
        <v>0</v>
      </c>
      <c r="K765" s="3035">
        <v>52379.68</v>
      </c>
      <c r="L765" s="3036">
        <f>(K765 * G765)</f>
        <v>0</v>
      </c>
      <c r="M765" s="3037">
        <v>73331.55</v>
      </c>
      <c r="N765" s="3038">
        <f>(G765 * M765)</f>
        <v>0</v>
      </c>
      <c r="O765">
        <v>0</v>
      </c>
      <c r="P765">
        <v>0</v>
      </c>
      <c r="Q765">
        <f>IF(O765&gt;G765,(O765-G765),0)</f>
        <v>0</v>
      </c>
      <c r="R765">
        <v>1</v>
      </c>
      <c r="S765">
        <f>IF(Q765&gt;0,Int(P765/Q765),0)</f>
        <v>0</v>
      </c>
      <c r="T765">
        <f>0</f>
        <v>0</v>
      </c>
      <c r="U765"/>
      <c r="V765">
        <v>52379.68</v>
      </c>
      <c r="W765" t="s">
        <v>75</v>
      </c>
      <c r="X765"/>
    </row>
    <row r="766" spans="1:27">
      <c r="A766" t="s">
        <v>35</v>
      </c>
      <c r="B766" t="s">
        <v>29</v>
      </c>
      <c r="C766" t="s">
        <v>2741</v>
      </c>
      <c r="D766" t="s">
        <v>2742</v>
      </c>
      <c r="E766" t="s">
        <v>2743</v>
      </c>
      <c r="F766" t="s">
        <v>41</v>
      </c>
      <c r="G766">
        <v>0</v>
      </c>
      <c r="H766">
        <f>((0/1000) * G766)</f>
        <v>0</v>
      </c>
      <c r="I766">
        <v>0</v>
      </c>
      <c r="J766">
        <v>0</v>
      </c>
      <c r="K766" s="3039">
        <v>207107.44</v>
      </c>
      <c r="L766" s="3040">
        <f>(K766 * G766)</f>
        <v>0</v>
      </c>
      <c r="M766" s="3041">
        <v>227818.18</v>
      </c>
      <c r="N766" s="3042">
        <f>(G766 * M766)</f>
        <v>0</v>
      </c>
      <c r="O766">
        <v>0</v>
      </c>
      <c r="P766">
        <v>0</v>
      </c>
      <c r="Q766">
        <f>IF(O766&gt;G766,(O766-G766),0)</f>
        <v>0</v>
      </c>
      <c r="R766">
        <v>1</v>
      </c>
      <c r="S766">
        <f>IF(Q766&gt;0,Int(P766/Q766),0)</f>
        <v>0</v>
      </c>
      <c r="T766">
        <f>0</f>
        <v>0</v>
      </c>
      <c r="U766"/>
      <c r="V766">
        <v>207107.44</v>
      </c>
      <c r="W766" t="s">
        <v>43</v>
      </c>
      <c r="X766"/>
    </row>
    <row r="767" spans="1:27">
      <c r="A767" t="s">
        <v>35</v>
      </c>
      <c r="B767" t="s">
        <v>29</v>
      </c>
      <c r="C767" t="s">
        <v>2744</v>
      </c>
      <c r="D767" t="s">
        <v>2745</v>
      </c>
      <c r="E767" t="s">
        <v>2746</v>
      </c>
      <c r="F767" t="s">
        <v>33</v>
      </c>
      <c r="G767">
        <v>0</v>
      </c>
      <c r="H767">
        <f>((0/1000) * G767)</f>
        <v>0</v>
      </c>
      <c r="I767">
        <v>0</v>
      </c>
      <c r="J767">
        <v>0</v>
      </c>
      <c r="K767" s="3043">
        <v>52379.62</v>
      </c>
      <c r="L767" s="3044">
        <f>(K767 * G767)</f>
        <v>0</v>
      </c>
      <c r="M767" s="3045">
        <v>73331.47</v>
      </c>
      <c r="N767" s="3046">
        <f>(G767 * M767)</f>
        <v>0</v>
      </c>
      <c r="O767">
        <v>0</v>
      </c>
      <c r="P767">
        <v>0</v>
      </c>
      <c r="Q767">
        <f>IF(O767&gt;G767,(O767-G767),0)</f>
        <v>0</v>
      </c>
      <c r="R767">
        <v>1</v>
      </c>
      <c r="S767">
        <f>IF(Q767&gt;0,Int(P767/Q767),0)</f>
        <v>0</v>
      </c>
      <c r="T767">
        <f>0</f>
        <v>0</v>
      </c>
      <c r="U767"/>
      <c r="V767">
        <v>52379.62</v>
      </c>
      <c r="W767" t="s">
        <v>75</v>
      </c>
      <c r="X767"/>
    </row>
    <row r="768" spans="1:27">
      <c r="A768" t="s">
        <v>35</v>
      </c>
      <c r="B768" t="s">
        <v>29</v>
      </c>
      <c r="C768" t="s">
        <v>2747</v>
      </c>
      <c r="D768" t="s">
        <v>2748</v>
      </c>
      <c r="E768" t="s">
        <v>2749</v>
      </c>
      <c r="F768" t="s">
        <v>33</v>
      </c>
      <c r="G768">
        <v>0</v>
      </c>
      <c r="H768">
        <f>((0/1000) * G768)</f>
        <v>0</v>
      </c>
      <c r="I768">
        <v>0</v>
      </c>
      <c r="J768">
        <v>0</v>
      </c>
      <c r="K768" s="3047">
        <v>269401.29</v>
      </c>
      <c r="L768" s="3048">
        <f>(K768 * G768)</f>
        <v>0</v>
      </c>
      <c r="M768" s="3049">
        <v>377161.8</v>
      </c>
      <c r="N768" s="3050">
        <f>(G768 * M768)</f>
        <v>0</v>
      </c>
      <c r="O768">
        <v>0</v>
      </c>
      <c r="P768">
        <v>0</v>
      </c>
      <c r="Q768">
        <f>IF(O768&gt;G768,(O768-G768),0)</f>
        <v>0</v>
      </c>
      <c r="R768">
        <v>0</v>
      </c>
      <c r="S768">
        <f>IF(Q768&gt;0,Int(P768/Q768),0)</f>
        <v>0</v>
      </c>
      <c r="T768">
        <f>0</f>
        <v>0</v>
      </c>
      <c r="U768"/>
      <c r="V768">
        <v>269401.29</v>
      </c>
      <c r="W768" t="s">
        <v>182</v>
      </c>
      <c r="X768"/>
    </row>
    <row r="769" spans="1:27">
      <c r="A769" t="s">
        <v>35</v>
      </c>
      <c r="B769" t="s">
        <v>29</v>
      </c>
      <c r="C769" t="s">
        <v>2750</v>
      </c>
      <c r="D769" t="s">
        <v>2751</v>
      </c>
      <c r="E769" t="s">
        <v>2752</v>
      </c>
      <c r="F769" t="s">
        <v>33</v>
      </c>
      <c r="G769">
        <v>0</v>
      </c>
      <c r="H769">
        <f>((0/1000) * G769)</f>
        <v>0</v>
      </c>
      <c r="I769">
        <v>0</v>
      </c>
      <c r="J769">
        <v>0</v>
      </c>
      <c r="K769" s="3051">
        <v>0</v>
      </c>
      <c r="L769" s="3052">
        <f>(K769 * G769)</f>
        <v>0</v>
      </c>
      <c r="M769" s="3053">
        <v>0</v>
      </c>
      <c r="N769" s="3054">
        <f>(G769 * M769)</f>
        <v>0</v>
      </c>
      <c r="O769">
        <v>0</v>
      </c>
      <c r="P769">
        <v>0</v>
      </c>
      <c r="Q769">
        <f>IF(O769&gt;G769,(O769-G769),0)</f>
        <v>0</v>
      </c>
      <c r="R769">
        <v>1</v>
      </c>
      <c r="S769">
        <f>IF(Q769&gt;0,Int(P769/Q769),0)</f>
        <v>0</v>
      </c>
      <c r="T769">
        <f>0</f>
        <v>0</v>
      </c>
      <c r="U769"/>
      <c r="V769">
        <v>0</v>
      </c>
      <c r="W769">
        <v>0</v>
      </c>
      <c r="X769"/>
    </row>
    <row r="770" spans="1:27">
      <c r="A770" t="s">
        <v>35</v>
      </c>
      <c r="B770" t="s">
        <v>29</v>
      </c>
      <c r="C770" t="s">
        <v>2753</v>
      </c>
      <c r="D770" t="s">
        <v>2754</v>
      </c>
      <c r="E770" t="s">
        <v>2755</v>
      </c>
      <c r="F770" t="s">
        <v>33</v>
      </c>
      <c r="G770">
        <v>0</v>
      </c>
      <c r="H770">
        <f>((0/1000) * G770)</f>
        <v>0</v>
      </c>
      <c r="I770">
        <v>0</v>
      </c>
      <c r="J770">
        <v>0</v>
      </c>
      <c r="K770" s="3055">
        <v>0</v>
      </c>
      <c r="L770" s="3056">
        <f>(K770 * G770)</f>
        <v>0</v>
      </c>
      <c r="M770" s="3057">
        <v>0</v>
      </c>
      <c r="N770" s="3058">
        <f>(G770 * M770)</f>
        <v>0</v>
      </c>
      <c r="O770">
        <v>0</v>
      </c>
      <c r="P770">
        <v>0</v>
      </c>
      <c r="Q770">
        <f>IF(O770&gt;G770,(O770-G770),0)</f>
        <v>0</v>
      </c>
      <c r="R770">
        <v>1</v>
      </c>
      <c r="S770">
        <f>IF(Q770&gt;0,Int(P770/Q770),0)</f>
        <v>0</v>
      </c>
      <c r="T770">
        <f>0</f>
        <v>0</v>
      </c>
      <c r="U770"/>
      <c r="V770">
        <v>0</v>
      </c>
      <c r="W770">
        <v>0</v>
      </c>
      <c r="X770"/>
    </row>
    <row r="771" spans="1:27">
      <c r="A771" t="s">
        <v>35</v>
      </c>
      <c r="B771" t="s">
        <v>29</v>
      </c>
      <c r="C771" t="s">
        <v>2756</v>
      </c>
      <c r="D771" t="s">
        <v>2757</v>
      </c>
      <c r="E771" t="s">
        <v>2758</v>
      </c>
      <c r="F771" t="s">
        <v>41</v>
      </c>
      <c r="G771">
        <v>3</v>
      </c>
      <c r="H771">
        <f>((0/1000) * G771)</f>
        <v>0</v>
      </c>
      <c r="I771">
        <v>0</v>
      </c>
      <c r="J771">
        <v>3</v>
      </c>
      <c r="K771" s="3059">
        <v>90958</v>
      </c>
      <c r="L771" s="3060">
        <f>(K771 * G771)</f>
        <v>272874</v>
      </c>
      <c r="M771" s="3061">
        <v>136437</v>
      </c>
      <c r="N771" s="3062">
        <f>(G771 * M771)</f>
        <v>409311</v>
      </c>
      <c r="O771">
        <v>0</v>
      </c>
      <c r="P771">
        <v>0</v>
      </c>
      <c r="Q771">
        <f>IF(O771&gt;G771,(O771-G771),0)</f>
        <v>0</v>
      </c>
      <c r="R771">
        <v>0</v>
      </c>
      <c r="S771">
        <f>IF(Q771&gt;0,Int(P771/Q771),0)</f>
        <v>0</v>
      </c>
      <c r="T771">
        <f>90958</f>
        <v>90958</v>
      </c>
      <c r="U771" t="s">
        <v>1879</v>
      </c>
      <c r="V771">
        <v>90958</v>
      </c>
      <c r="W771" t="s">
        <v>80</v>
      </c>
      <c r="X771" t="s">
        <v>81</v>
      </c>
    </row>
    <row r="772" spans="1:27">
      <c r="A772" t="s">
        <v>35</v>
      </c>
      <c r="B772" t="s">
        <v>29</v>
      </c>
      <c r="C772" t="s">
        <v>2759</v>
      </c>
      <c r="D772" t="s">
        <v>2760</v>
      </c>
      <c r="E772" t="s">
        <v>2761</v>
      </c>
      <c r="F772" t="s">
        <v>33</v>
      </c>
      <c r="G772">
        <v>0</v>
      </c>
      <c r="H772">
        <f>((0/1000) * G772)</f>
        <v>0</v>
      </c>
      <c r="I772">
        <v>0</v>
      </c>
      <c r="J772">
        <v>0</v>
      </c>
      <c r="K772" s="3063">
        <v>77930.44</v>
      </c>
      <c r="L772" s="3064">
        <f>(K772 * G772)</f>
        <v>0</v>
      </c>
      <c r="M772" s="3065">
        <v>109102.62</v>
      </c>
      <c r="N772" s="3066">
        <f>(G772 * M772)</f>
        <v>0</v>
      </c>
      <c r="O772">
        <v>0</v>
      </c>
      <c r="P772">
        <v>0</v>
      </c>
      <c r="Q772">
        <f>IF(O772&gt;G772,(O772-G772),0)</f>
        <v>0</v>
      </c>
      <c r="R772">
        <v>1</v>
      </c>
      <c r="S772">
        <f>IF(Q772&gt;0,Int(P772/Q772),0)</f>
        <v>0</v>
      </c>
      <c r="T772">
        <f>0</f>
        <v>0</v>
      </c>
      <c r="U772"/>
      <c r="V772">
        <v>77930.44</v>
      </c>
      <c r="W772" t="s">
        <v>75</v>
      </c>
      <c r="X772"/>
    </row>
    <row r="773" spans="1:27">
      <c r="A773" t="s">
        <v>35</v>
      </c>
      <c r="B773" t="s">
        <v>29</v>
      </c>
      <c r="C773" t="s">
        <v>2762</v>
      </c>
      <c r="D773" t="s">
        <v>2762</v>
      </c>
      <c r="E773" t="s">
        <v>2763</v>
      </c>
      <c r="F773" t="s">
        <v>33</v>
      </c>
      <c r="G773">
        <v>0</v>
      </c>
      <c r="H773">
        <f>((1/1000) * G773)</f>
        <v>0</v>
      </c>
      <c r="I773">
        <v>0</v>
      </c>
      <c r="J773">
        <v>0</v>
      </c>
      <c r="K773" s="3067">
        <v>0</v>
      </c>
      <c r="L773" s="3068">
        <f>(K773 * G773)</f>
        <v>0</v>
      </c>
      <c r="M773" s="3069">
        <v>0</v>
      </c>
      <c r="N773" s="3070">
        <f>(G773 * M773)</f>
        <v>0</v>
      </c>
      <c r="O773">
        <v>0</v>
      </c>
      <c r="P773">
        <v>0</v>
      </c>
      <c r="Q773">
        <f>IF(O773&gt;G773,(O773-G773),0)</f>
        <v>0</v>
      </c>
      <c r="R773">
        <v>0</v>
      </c>
      <c r="S773">
        <f>IF(Q773&gt;0,Int(P773/Q773),0)</f>
        <v>0</v>
      </c>
      <c r="T773">
        <f>0</f>
        <v>0</v>
      </c>
      <c r="U773"/>
      <c r="V773">
        <v>0</v>
      </c>
      <c r="W773">
        <v>0</v>
      </c>
      <c r="X773"/>
    </row>
    <row r="774" spans="1:27">
      <c r="A774" t="s">
        <v>35</v>
      </c>
      <c r="B774" t="s">
        <v>29</v>
      </c>
      <c r="C774" t="s">
        <v>2764</v>
      </c>
      <c r="D774" t="s">
        <v>2764</v>
      </c>
      <c r="E774" t="s">
        <v>2765</v>
      </c>
      <c r="F774" t="s">
        <v>33</v>
      </c>
      <c r="G774">
        <v>0</v>
      </c>
      <c r="H774">
        <f>((1/1000) * G774)</f>
        <v>0</v>
      </c>
      <c r="I774">
        <v>0</v>
      </c>
      <c r="J774">
        <v>0</v>
      </c>
      <c r="K774" s="3071">
        <v>0</v>
      </c>
      <c r="L774" s="3072">
        <f>(K774 * G774)</f>
        <v>0</v>
      </c>
      <c r="M774" s="3073">
        <v>0</v>
      </c>
      <c r="N774" s="3074">
        <f>(G774 * M774)</f>
        <v>0</v>
      </c>
      <c r="O774">
        <v>0</v>
      </c>
      <c r="P774">
        <v>0</v>
      </c>
      <c r="Q774">
        <f>IF(O774&gt;G774,(O774-G774),0)</f>
        <v>0</v>
      </c>
      <c r="R774">
        <v>0</v>
      </c>
      <c r="S774">
        <f>IF(Q774&gt;0,Int(P774/Q774),0)</f>
        <v>0</v>
      </c>
      <c r="T774">
        <f>0</f>
        <v>0</v>
      </c>
      <c r="U774"/>
      <c r="V774">
        <v>0</v>
      </c>
      <c r="W774">
        <v>0</v>
      </c>
      <c r="X774"/>
    </row>
    <row r="775" spans="1:27">
      <c r="A775" t="s">
        <v>35</v>
      </c>
      <c r="B775" t="s">
        <v>29</v>
      </c>
      <c r="C775" t="s">
        <v>2766</v>
      </c>
      <c r="D775" t="s">
        <v>2766</v>
      </c>
      <c r="E775" t="s">
        <v>2767</v>
      </c>
      <c r="F775" t="s">
        <v>33</v>
      </c>
      <c r="G775">
        <v>0</v>
      </c>
      <c r="H775">
        <f>((1/1000) * G775)</f>
        <v>0</v>
      </c>
      <c r="I775">
        <v>0</v>
      </c>
      <c r="J775">
        <v>0</v>
      </c>
      <c r="K775" s="3075">
        <v>0</v>
      </c>
      <c r="L775" s="3076">
        <f>(K775 * G775)</f>
        <v>0</v>
      </c>
      <c r="M775" s="3077">
        <v>0</v>
      </c>
      <c r="N775" s="3078">
        <f>(G775 * M775)</f>
        <v>0</v>
      </c>
      <c r="O775">
        <v>0</v>
      </c>
      <c r="P775">
        <v>0</v>
      </c>
      <c r="Q775">
        <f>IF(O775&gt;G775,(O775-G775),0)</f>
        <v>0</v>
      </c>
      <c r="R775">
        <v>0</v>
      </c>
      <c r="S775">
        <f>IF(Q775&gt;0,Int(P775/Q775),0)</f>
        <v>0</v>
      </c>
      <c r="T775">
        <f>0</f>
        <v>0</v>
      </c>
      <c r="U775"/>
      <c r="V775">
        <v>0</v>
      </c>
      <c r="W775">
        <v>0</v>
      </c>
      <c r="X775"/>
    </row>
    <row r="776" spans="1:27">
      <c r="A776" t="s">
        <v>35</v>
      </c>
      <c r="B776" t="s">
        <v>29</v>
      </c>
      <c r="C776" t="s">
        <v>2768</v>
      </c>
      <c r="D776" t="s">
        <v>2768</v>
      </c>
      <c r="E776" t="s">
        <v>2769</v>
      </c>
      <c r="F776" t="s">
        <v>33</v>
      </c>
      <c r="G776">
        <v>0</v>
      </c>
      <c r="H776">
        <f>((1/1000) * G776)</f>
        <v>0</v>
      </c>
      <c r="I776">
        <v>0</v>
      </c>
      <c r="J776">
        <v>0</v>
      </c>
      <c r="K776" s="3079">
        <v>0</v>
      </c>
      <c r="L776" s="3080">
        <f>(K776 * G776)</f>
        <v>0</v>
      </c>
      <c r="M776" s="3081">
        <v>0</v>
      </c>
      <c r="N776" s="3082">
        <f>(G776 * M776)</f>
        <v>0</v>
      </c>
      <c r="O776">
        <v>0</v>
      </c>
      <c r="P776">
        <v>0</v>
      </c>
      <c r="Q776">
        <f>IF(O776&gt;G776,(O776-G776),0)</f>
        <v>0</v>
      </c>
      <c r="R776">
        <v>0</v>
      </c>
      <c r="S776">
        <f>IF(Q776&gt;0,Int(P776/Q776),0)</f>
        <v>0</v>
      </c>
      <c r="T776">
        <f>0</f>
        <v>0</v>
      </c>
      <c r="U776"/>
      <c r="V776">
        <v>0</v>
      </c>
      <c r="W776">
        <v>0</v>
      </c>
      <c r="X776"/>
    </row>
    <row r="777" spans="1:27">
      <c r="A777" t="s">
        <v>35</v>
      </c>
      <c r="B777" t="s">
        <v>29</v>
      </c>
      <c r="C777" t="s">
        <v>2770</v>
      </c>
      <c r="D777" t="s">
        <v>2770</v>
      </c>
      <c r="E777" t="s">
        <v>2771</v>
      </c>
      <c r="F777" t="s">
        <v>33</v>
      </c>
      <c r="G777">
        <v>0</v>
      </c>
      <c r="H777">
        <f>((1/1000) * G777)</f>
        <v>0</v>
      </c>
      <c r="I777">
        <v>0</v>
      </c>
      <c r="J777">
        <v>0</v>
      </c>
      <c r="K777" s="3083">
        <v>0</v>
      </c>
      <c r="L777" s="3084">
        <f>(K777 * G777)</f>
        <v>0</v>
      </c>
      <c r="M777" s="3085">
        <v>0</v>
      </c>
      <c r="N777" s="3086">
        <f>(G777 * M777)</f>
        <v>0</v>
      </c>
      <c r="O777">
        <v>0</v>
      </c>
      <c r="P777">
        <v>0</v>
      </c>
      <c r="Q777">
        <f>IF(O777&gt;G777,(O777-G777),0)</f>
        <v>0</v>
      </c>
      <c r="R777">
        <v>0</v>
      </c>
      <c r="S777">
        <f>IF(Q777&gt;0,Int(P777/Q777),0)</f>
        <v>0</v>
      </c>
      <c r="T777">
        <f>0</f>
        <v>0</v>
      </c>
      <c r="U777"/>
      <c r="V777">
        <v>0</v>
      </c>
      <c r="W777">
        <v>0</v>
      </c>
      <c r="X777"/>
    </row>
    <row r="778" spans="1:27">
      <c r="A778" t="s">
        <v>35</v>
      </c>
      <c r="B778" t="s">
        <v>29</v>
      </c>
      <c r="C778" t="s">
        <v>2772</v>
      </c>
      <c r="D778" t="s">
        <v>2772</v>
      </c>
      <c r="E778" t="s">
        <v>2773</v>
      </c>
      <c r="F778" t="s">
        <v>33</v>
      </c>
      <c r="G778">
        <v>0</v>
      </c>
      <c r="H778">
        <f>((1/1000) * G778)</f>
        <v>0</v>
      </c>
      <c r="I778">
        <v>0</v>
      </c>
      <c r="J778">
        <v>0</v>
      </c>
      <c r="K778" s="3087">
        <v>0</v>
      </c>
      <c r="L778" s="3088">
        <f>(K778 * G778)</f>
        <v>0</v>
      </c>
      <c r="M778" s="3089">
        <v>0</v>
      </c>
      <c r="N778" s="3090">
        <f>(G778 * M778)</f>
        <v>0</v>
      </c>
      <c r="O778">
        <v>0</v>
      </c>
      <c r="P778">
        <v>0</v>
      </c>
      <c r="Q778">
        <f>IF(O778&gt;G778,(O778-G778),0)</f>
        <v>0</v>
      </c>
      <c r="R778">
        <v>0</v>
      </c>
      <c r="S778">
        <f>IF(Q778&gt;0,Int(P778/Q778),0)</f>
        <v>0</v>
      </c>
      <c r="T778">
        <f>0</f>
        <v>0</v>
      </c>
      <c r="U778"/>
      <c r="V778">
        <v>0</v>
      </c>
      <c r="W778">
        <v>0</v>
      </c>
      <c r="X778"/>
    </row>
    <row r="779" spans="1:27">
      <c r="A779" t="s">
        <v>35</v>
      </c>
      <c r="B779" t="s">
        <v>29</v>
      </c>
      <c r="C779" t="s">
        <v>2774</v>
      </c>
      <c r="D779" t="s">
        <v>2775</v>
      </c>
      <c r="E779" t="s">
        <v>2776</v>
      </c>
      <c r="F779" t="s">
        <v>33</v>
      </c>
      <c r="G779">
        <v>0</v>
      </c>
      <c r="H779">
        <f>((0/1000) * G779)</f>
        <v>0</v>
      </c>
      <c r="I779">
        <v>0</v>
      </c>
      <c r="J779">
        <v>0</v>
      </c>
      <c r="K779" s="3091">
        <v>83857</v>
      </c>
      <c r="L779" s="3092">
        <f>(K779 * G779)</f>
        <v>0</v>
      </c>
      <c r="M779" s="3093">
        <v>150942.6</v>
      </c>
      <c r="N779" s="3094">
        <f>(G779 * M779)</f>
        <v>0</v>
      </c>
      <c r="O779">
        <v>0</v>
      </c>
      <c r="P779">
        <v>0</v>
      </c>
      <c r="Q779">
        <f>IF(O779&gt;G779,(O779-G779),0)</f>
        <v>0</v>
      </c>
      <c r="R779">
        <v>1</v>
      </c>
      <c r="S779">
        <f>IF(Q779&gt;0,Int(P779/Q779),0)</f>
        <v>0</v>
      </c>
      <c r="T779">
        <f>83857</f>
        <v>83857</v>
      </c>
      <c r="U779" t="s">
        <v>858</v>
      </c>
      <c r="V779">
        <v>83857</v>
      </c>
      <c r="W779" t="s">
        <v>1313</v>
      </c>
      <c r="X779"/>
    </row>
    <row r="780" spans="1:27">
      <c r="A780" t="s">
        <v>28</v>
      </c>
      <c r="B780" t="s">
        <v>29</v>
      </c>
      <c r="C780" t="s">
        <v>2777</v>
      </c>
      <c r="D780" t="s">
        <v>2778</v>
      </c>
      <c r="E780" t="s">
        <v>2779</v>
      </c>
      <c r="F780" t="s">
        <v>33</v>
      </c>
      <c r="G780">
        <v>0</v>
      </c>
      <c r="H780">
        <f>((0/1000) * G780)</f>
        <v>0</v>
      </c>
      <c r="I780">
        <v>0</v>
      </c>
      <c r="J780">
        <v>0</v>
      </c>
      <c r="K780" s="3095">
        <v>123966.94</v>
      </c>
      <c r="L780" s="3096">
        <f>(K780 * G780)</f>
        <v>0</v>
      </c>
      <c r="M780" s="3097">
        <v>136363.63</v>
      </c>
      <c r="N780" s="3098">
        <f>(G780 * M780)</f>
        <v>0</v>
      </c>
      <c r="O780">
        <v>0</v>
      </c>
      <c r="P780">
        <v>0</v>
      </c>
      <c r="Q780">
        <f>IF(O780&gt;G780,(O780-G780),0)</f>
        <v>0</v>
      </c>
      <c r="R780">
        <v>1</v>
      </c>
      <c r="S780">
        <f>IF(Q780&gt;0,Int(P780/Q780),0)</f>
        <v>0</v>
      </c>
      <c r="T780">
        <f>0</f>
        <v>0</v>
      </c>
      <c r="U780" t="s">
        <v>2780</v>
      </c>
      <c r="V780">
        <v>123966.94</v>
      </c>
      <c r="W780" t="s">
        <v>43</v>
      </c>
      <c r="X780"/>
    </row>
    <row r="781" spans="1:27">
      <c r="A781" t="s">
        <v>35</v>
      </c>
      <c r="B781" t="s">
        <v>29</v>
      </c>
      <c r="C781" t="s">
        <v>2781</v>
      </c>
      <c r="D781" t="s">
        <v>2782</v>
      </c>
      <c r="E781" t="s">
        <v>2783</v>
      </c>
      <c r="F781" t="s">
        <v>41</v>
      </c>
      <c r="G781">
        <v>0</v>
      </c>
      <c r="H781">
        <f>((0/1000) * G781)</f>
        <v>0</v>
      </c>
      <c r="I781">
        <v>0</v>
      </c>
      <c r="J781">
        <v>0</v>
      </c>
      <c r="K781" s="3099">
        <v>331405.46</v>
      </c>
      <c r="L781" s="3100">
        <f>(K781 * G781)</f>
        <v>0</v>
      </c>
      <c r="M781" s="3101">
        <v>463967.64</v>
      </c>
      <c r="N781" s="3102">
        <f>(G781 * M781)</f>
        <v>0</v>
      </c>
      <c r="O781">
        <v>0</v>
      </c>
      <c r="P781">
        <v>0</v>
      </c>
      <c r="Q781">
        <f>IF(O781&gt;G781,(O781-G781),0)</f>
        <v>0</v>
      </c>
      <c r="R781">
        <v>1</v>
      </c>
      <c r="S781">
        <f>IF(Q781&gt;0,Int(P781/Q781),0)</f>
        <v>0</v>
      </c>
      <c r="T781">
        <f>157851.24</f>
        <v>157851.24</v>
      </c>
      <c r="U781" t="s">
        <v>2784</v>
      </c>
      <c r="V781">
        <v>331405.46</v>
      </c>
      <c r="W781" t="s">
        <v>75</v>
      </c>
      <c r="X781"/>
    </row>
    <row r="782" spans="1:27">
      <c r="A782" t="s">
        <v>35</v>
      </c>
      <c r="B782" t="s">
        <v>29</v>
      </c>
      <c r="C782" t="s">
        <v>2785</v>
      </c>
      <c r="D782" t="s">
        <v>2786</v>
      </c>
      <c r="E782" t="s">
        <v>2787</v>
      </c>
      <c r="F782" t="s">
        <v>33</v>
      </c>
      <c r="G782">
        <v>0</v>
      </c>
      <c r="H782">
        <f>((0/1000) * G782)</f>
        <v>0</v>
      </c>
      <c r="I782">
        <v>0</v>
      </c>
      <c r="J782">
        <v>0</v>
      </c>
      <c r="K782" s="3103">
        <v>0</v>
      </c>
      <c r="L782" s="3104">
        <f>(K782 * G782)</f>
        <v>0</v>
      </c>
      <c r="M782" s="3105">
        <v>0</v>
      </c>
      <c r="N782" s="3106">
        <f>(G782 * M782)</f>
        <v>0</v>
      </c>
      <c r="O782">
        <v>0</v>
      </c>
      <c r="P782">
        <v>0</v>
      </c>
      <c r="Q782">
        <f>IF(O782&gt;G782,(O782-G782),0)</f>
        <v>0</v>
      </c>
      <c r="R782">
        <v>1</v>
      </c>
      <c r="S782">
        <f>IF(Q782&gt;0,Int(P782/Q782),0)</f>
        <v>0</v>
      </c>
      <c r="T782">
        <f>0</f>
        <v>0</v>
      </c>
      <c r="U782"/>
      <c r="V782">
        <v>0</v>
      </c>
      <c r="W782">
        <v>0</v>
      </c>
      <c r="X782"/>
    </row>
    <row r="783" spans="1:27">
      <c r="A783" t="s">
        <v>35</v>
      </c>
      <c r="B783" t="s">
        <v>29</v>
      </c>
      <c r="C783" t="s">
        <v>2788</v>
      </c>
      <c r="D783" t="s">
        <v>2789</v>
      </c>
      <c r="E783" t="s">
        <v>2790</v>
      </c>
      <c r="F783" t="s">
        <v>33</v>
      </c>
      <c r="G783">
        <v>0</v>
      </c>
      <c r="H783">
        <f>((0/1000) * G783)</f>
        <v>0</v>
      </c>
      <c r="I783">
        <v>0</v>
      </c>
      <c r="J783">
        <v>0</v>
      </c>
      <c r="K783" s="3107">
        <v>0</v>
      </c>
      <c r="L783" s="3108">
        <f>(K783 * G783)</f>
        <v>0</v>
      </c>
      <c r="M783" s="3109">
        <v>0</v>
      </c>
      <c r="N783" s="3110">
        <f>(G783 * M783)</f>
        <v>0</v>
      </c>
      <c r="O783">
        <v>0</v>
      </c>
      <c r="P783">
        <v>0</v>
      </c>
      <c r="Q783">
        <f>IF(O783&gt;G783,(O783-G783),0)</f>
        <v>0</v>
      </c>
      <c r="R783">
        <v>1</v>
      </c>
      <c r="S783">
        <f>IF(Q783&gt;0,Int(P783/Q783),0)</f>
        <v>0</v>
      </c>
      <c r="T783">
        <f>0</f>
        <v>0</v>
      </c>
      <c r="U783"/>
      <c r="V783">
        <v>0</v>
      </c>
      <c r="W783">
        <v>0</v>
      </c>
      <c r="X783"/>
    </row>
    <row r="784" spans="1:27">
      <c r="A784" t="s">
        <v>35</v>
      </c>
      <c r="B784" t="s">
        <v>29</v>
      </c>
      <c r="C784" t="s">
        <v>2791</v>
      </c>
      <c r="D784" t="s">
        <v>2792</v>
      </c>
      <c r="E784" t="s">
        <v>2793</v>
      </c>
      <c r="F784" t="s">
        <v>33</v>
      </c>
      <c r="G784">
        <v>0</v>
      </c>
      <c r="H784">
        <f>((0/1000) * G784)</f>
        <v>0</v>
      </c>
      <c r="I784">
        <v>0</v>
      </c>
      <c r="J784">
        <v>0</v>
      </c>
      <c r="K784" s="3111">
        <v>0</v>
      </c>
      <c r="L784" s="3112">
        <f>(K784 * G784)</f>
        <v>0</v>
      </c>
      <c r="M784" s="3113">
        <v>0</v>
      </c>
      <c r="N784" s="3114">
        <f>(G784 * M784)</f>
        <v>0</v>
      </c>
      <c r="O784">
        <v>0</v>
      </c>
      <c r="P784">
        <v>0</v>
      </c>
      <c r="Q784">
        <f>IF(O784&gt;G784,(O784-G784),0)</f>
        <v>0</v>
      </c>
      <c r="R784">
        <v>1</v>
      </c>
      <c r="S784">
        <f>IF(Q784&gt;0,Int(P784/Q784),0)</f>
        <v>0</v>
      </c>
      <c r="T784">
        <f>0</f>
        <v>0</v>
      </c>
      <c r="U784"/>
      <c r="V784">
        <v>0</v>
      </c>
      <c r="W784">
        <v>0</v>
      </c>
      <c r="X784"/>
    </row>
    <row r="785" spans="1:27">
      <c r="A785" t="s">
        <v>35</v>
      </c>
      <c r="B785" t="s">
        <v>29</v>
      </c>
      <c r="C785" t="s">
        <v>2794</v>
      </c>
      <c r="D785" t="s">
        <v>2795</v>
      </c>
      <c r="E785" t="s">
        <v>2796</v>
      </c>
      <c r="F785" t="s">
        <v>33</v>
      </c>
      <c r="G785">
        <v>0</v>
      </c>
      <c r="H785">
        <f>((0/1000) * G785)</f>
        <v>0</v>
      </c>
      <c r="I785">
        <v>0</v>
      </c>
      <c r="J785">
        <v>0</v>
      </c>
      <c r="K785" s="3115">
        <v>0</v>
      </c>
      <c r="L785" s="3116">
        <f>(K785 * G785)</f>
        <v>0</v>
      </c>
      <c r="M785" s="3117">
        <v>0</v>
      </c>
      <c r="N785" s="3118">
        <f>(G785 * M785)</f>
        <v>0</v>
      </c>
      <c r="O785">
        <v>0</v>
      </c>
      <c r="P785">
        <v>0</v>
      </c>
      <c r="Q785">
        <f>IF(O785&gt;G785,(O785-G785),0)</f>
        <v>0</v>
      </c>
      <c r="R785">
        <v>1</v>
      </c>
      <c r="S785">
        <f>IF(Q785&gt;0,Int(P785/Q785),0)</f>
        <v>0</v>
      </c>
      <c r="T785">
        <f>0</f>
        <v>0</v>
      </c>
      <c r="U785"/>
      <c r="V785">
        <v>0</v>
      </c>
      <c r="W785">
        <v>0</v>
      </c>
      <c r="X785"/>
    </row>
    <row r="786" spans="1:27">
      <c r="A786" t="s">
        <v>35</v>
      </c>
      <c r="B786" t="s">
        <v>29</v>
      </c>
      <c r="C786" t="s">
        <v>2797</v>
      </c>
      <c r="D786" t="s">
        <v>2798</v>
      </c>
      <c r="E786" t="s">
        <v>2799</v>
      </c>
      <c r="F786" t="s">
        <v>33</v>
      </c>
      <c r="G786">
        <v>0</v>
      </c>
      <c r="H786">
        <f>((0/1000) * G786)</f>
        <v>0</v>
      </c>
      <c r="I786">
        <v>0</v>
      </c>
      <c r="J786">
        <v>0</v>
      </c>
      <c r="K786" s="3119">
        <v>50011.81</v>
      </c>
      <c r="L786" s="3120">
        <f>(K786 * G786)</f>
        <v>0</v>
      </c>
      <c r="M786" s="3121">
        <v>70016.54</v>
      </c>
      <c r="N786" s="3122">
        <f>(G786 * M786)</f>
        <v>0</v>
      </c>
      <c r="O786">
        <v>0</v>
      </c>
      <c r="P786">
        <v>0</v>
      </c>
      <c r="Q786">
        <f>IF(O786&gt;G786,(O786-G786),0)</f>
        <v>0</v>
      </c>
      <c r="R786">
        <v>1</v>
      </c>
      <c r="S786">
        <f>IF(Q786&gt;0,Int(P786/Q786),0)</f>
        <v>0</v>
      </c>
      <c r="T786">
        <f>0</f>
        <v>0</v>
      </c>
      <c r="U786"/>
      <c r="V786">
        <v>50011.81</v>
      </c>
      <c r="W786" t="s">
        <v>75</v>
      </c>
      <c r="X786"/>
    </row>
    <row r="787" spans="1:27">
      <c r="A787" t="s">
        <v>35</v>
      </c>
      <c r="B787" t="s">
        <v>29</v>
      </c>
      <c r="C787" t="s">
        <v>2800</v>
      </c>
      <c r="D787" t="s">
        <v>2801</v>
      </c>
      <c r="E787" t="s">
        <v>2802</v>
      </c>
      <c r="F787" t="s">
        <v>33</v>
      </c>
      <c r="G787">
        <v>0</v>
      </c>
      <c r="H787">
        <f>((0/1000) * G787)</f>
        <v>0</v>
      </c>
      <c r="I787">
        <v>0</v>
      </c>
      <c r="J787">
        <v>0</v>
      </c>
      <c r="K787" s="3123">
        <v>183017.16</v>
      </c>
      <c r="L787" s="3124">
        <f>(K787 * G787)</f>
        <v>0</v>
      </c>
      <c r="M787" s="3125">
        <v>256224.03</v>
      </c>
      <c r="N787" s="3126">
        <f>(G787 * M787)</f>
        <v>0</v>
      </c>
      <c r="O787">
        <v>0</v>
      </c>
      <c r="P787">
        <v>0</v>
      </c>
      <c r="Q787">
        <f>IF(O787&gt;G787,(O787-G787),0)</f>
        <v>0</v>
      </c>
      <c r="R787">
        <v>1</v>
      </c>
      <c r="S787">
        <f>IF(Q787&gt;0,Int(P787/Q787),0)</f>
        <v>0</v>
      </c>
      <c r="T787">
        <f>0</f>
        <v>0</v>
      </c>
      <c r="U787"/>
      <c r="V787">
        <v>183017.16</v>
      </c>
      <c r="W787" t="s">
        <v>182</v>
      </c>
      <c r="X787"/>
    </row>
    <row r="788" spans="1:27">
      <c r="A788" t="s">
        <v>35</v>
      </c>
      <c r="B788" t="s">
        <v>29</v>
      </c>
      <c r="C788" t="s">
        <v>2803</v>
      </c>
      <c r="D788" t="s">
        <v>2804</v>
      </c>
      <c r="E788" t="s">
        <v>2805</v>
      </c>
      <c r="F788" t="s">
        <v>33</v>
      </c>
      <c r="G788">
        <v>0</v>
      </c>
      <c r="H788">
        <f>((0/1000) * G788)</f>
        <v>0</v>
      </c>
      <c r="I788">
        <v>0</v>
      </c>
      <c r="J788">
        <v>0</v>
      </c>
      <c r="K788" s="3127">
        <v>207288.54</v>
      </c>
      <c r="L788" s="3128">
        <f>(K788 * G788)</f>
        <v>0</v>
      </c>
      <c r="M788" s="3129">
        <v>290203.96</v>
      </c>
      <c r="N788" s="3130">
        <f>(G788 * M788)</f>
        <v>0</v>
      </c>
      <c r="O788">
        <v>0</v>
      </c>
      <c r="P788">
        <v>0</v>
      </c>
      <c r="Q788">
        <f>IF(O788&gt;G788,(O788-G788),0)</f>
        <v>0</v>
      </c>
      <c r="R788">
        <v>1</v>
      </c>
      <c r="S788">
        <f>IF(Q788&gt;0,Int(P788/Q788),0)</f>
        <v>0</v>
      </c>
      <c r="T788">
        <f>0</f>
        <v>0</v>
      </c>
      <c r="U788"/>
      <c r="V788">
        <v>207288.54</v>
      </c>
      <c r="W788" t="s">
        <v>182</v>
      </c>
      <c r="X788"/>
    </row>
    <row r="789" spans="1:27">
      <c r="A789" t="s">
        <v>35</v>
      </c>
      <c r="B789" t="s">
        <v>29</v>
      </c>
      <c r="C789" t="s">
        <v>2806</v>
      </c>
      <c r="D789" t="s">
        <v>2807</v>
      </c>
      <c r="E789" t="s">
        <v>2808</v>
      </c>
      <c r="F789" t="s">
        <v>41</v>
      </c>
      <c r="G789">
        <v>0</v>
      </c>
      <c r="H789">
        <f>((1/1000) * G789)</f>
        <v>0</v>
      </c>
      <c r="I789">
        <v>0</v>
      </c>
      <c r="J789">
        <v>0</v>
      </c>
      <c r="K789" s="3131">
        <v>122727</v>
      </c>
      <c r="L789" s="3132">
        <f>(K789 * G789)</f>
        <v>0</v>
      </c>
      <c r="M789" s="3133">
        <v>177317.8</v>
      </c>
      <c r="N789" s="3134">
        <f>(G789 * M789)</f>
        <v>0</v>
      </c>
      <c r="O789">
        <v>0</v>
      </c>
      <c r="P789">
        <v>0</v>
      </c>
      <c r="Q789">
        <f>IF(O789&gt;G789,(O789-G789),0)</f>
        <v>0</v>
      </c>
      <c r="R789">
        <v>1</v>
      </c>
      <c r="S789">
        <f>IF(Q789&gt;0,Int(P789/Q789),0)</f>
        <v>0</v>
      </c>
      <c r="T789">
        <f>0</f>
        <v>0</v>
      </c>
      <c r="U789"/>
      <c r="V789">
        <v>122727</v>
      </c>
      <c r="W789" t="s">
        <v>43</v>
      </c>
      <c r="X789"/>
    </row>
    <row r="790" spans="1:27">
      <c r="A790" t="s">
        <v>35</v>
      </c>
      <c r="B790" t="s">
        <v>29</v>
      </c>
      <c r="C790" t="s">
        <v>2809</v>
      </c>
      <c r="D790" t="s">
        <v>2810</v>
      </c>
      <c r="E790" t="s">
        <v>2811</v>
      </c>
      <c r="F790" t="s">
        <v>33</v>
      </c>
      <c r="G790">
        <v>0</v>
      </c>
      <c r="H790">
        <f>((0/1000) * G790)</f>
        <v>0</v>
      </c>
      <c r="I790">
        <v>0</v>
      </c>
      <c r="J790">
        <v>0</v>
      </c>
      <c r="K790" s="3135">
        <v>39182.29</v>
      </c>
      <c r="L790" s="3136">
        <f>(K790 * G790)</f>
        <v>0</v>
      </c>
      <c r="M790" s="3137">
        <v>54855.2</v>
      </c>
      <c r="N790" s="3138">
        <f>(G790 * M790)</f>
        <v>0</v>
      </c>
      <c r="O790">
        <v>0</v>
      </c>
      <c r="P790">
        <v>0</v>
      </c>
      <c r="Q790">
        <f>IF(O790&gt;G790,(O790-G790),0)</f>
        <v>0</v>
      </c>
      <c r="R790">
        <v>1</v>
      </c>
      <c r="S790">
        <f>IF(Q790&gt;0,Int(P790/Q790),0)</f>
        <v>0</v>
      </c>
      <c r="T790">
        <f>0</f>
        <v>0</v>
      </c>
      <c r="U790"/>
      <c r="V790">
        <v>39182.29</v>
      </c>
      <c r="W790" t="s">
        <v>75</v>
      </c>
      <c r="X790"/>
    </row>
    <row r="791" spans="1:27">
      <c r="A791" t="s">
        <v>35</v>
      </c>
      <c r="B791" t="s">
        <v>29</v>
      </c>
      <c r="C791" t="s">
        <v>2812</v>
      </c>
      <c r="D791" t="s">
        <v>2813</v>
      </c>
      <c r="E791" t="s">
        <v>2814</v>
      </c>
      <c r="F791" t="s">
        <v>33</v>
      </c>
      <c r="G791">
        <v>0</v>
      </c>
      <c r="H791">
        <f>((0/1000) * G791)</f>
        <v>0</v>
      </c>
      <c r="I791">
        <v>0</v>
      </c>
      <c r="J791">
        <v>0</v>
      </c>
      <c r="K791" s="3139">
        <v>46046.25</v>
      </c>
      <c r="L791" s="3140">
        <f>(K791 * G791)</f>
        <v>0</v>
      </c>
      <c r="M791" s="3141">
        <v>64464.75</v>
      </c>
      <c r="N791" s="3142">
        <f>(G791 * M791)</f>
        <v>0</v>
      </c>
      <c r="O791">
        <v>0</v>
      </c>
      <c r="P791">
        <v>0</v>
      </c>
      <c r="Q791">
        <f>IF(O791&gt;G791,(O791-G791),0)</f>
        <v>0</v>
      </c>
      <c r="R791">
        <v>1</v>
      </c>
      <c r="S791">
        <f>IF(Q791&gt;0,Int(P791/Q791),0)</f>
        <v>0</v>
      </c>
      <c r="T791">
        <f>0</f>
        <v>0</v>
      </c>
      <c r="U791"/>
      <c r="V791">
        <v>46046.25</v>
      </c>
      <c r="W791" t="s">
        <v>75</v>
      </c>
      <c r="X791"/>
    </row>
    <row r="792" spans="1:27">
      <c r="A792" t="s">
        <v>35</v>
      </c>
      <c r="B792" t="s">
        <v>29</v>
      </c>
      <c r="C792" t="s">
        <v>2815</v>
      </c>
      <c r="D792" t="s">
        <v>2816</v>
      </c>
      <c r="E792" t="s">
        <v>2817</v>
      </c>
      <c r="F792" t="s">
        <v>33</v>
      </c>
      <c r="G792">
        <v>0</v>
      </c>
      <c r="H792">
        <f>((0/1000) * G792)</f>
        <v>0</v>
      </c>
      <c r="I792">
        <v>0</v>
      </c>
      <c r="J792">
        <v>0</v>
      </c>
      <c r="K792" s="3143">
        <v>54012.04</v>
      </c>
      <c r="L792" s="3144">
        <f>(K792 * G792)</f>
        <v>0</v>
      </c>
      <c r="M792" s="3145">
        <v>75616.85</v>
      </c>
      <c r="N792" s="3146">
        <f>(G792 * M792)</f>
        <v>0</v>
      </c>
      <c r="O792">
        <v>0</v>
      </c>
      <c r="P792">
        <v>0</v>
      </c>
      <c r="Q792">
        <f>IF(O792&gt;G792,(O792-G792),0)</f>
        <v>0</v>
      </c>
      <c r="R792">
        <v>1</v>
      </c>
      <c r="S792">
        <f>IF(Q792&gt;0,Int(P792/Q792),0)</f>
        <v>0</v>
      </c>
      <c r="T792">
        <f>0</f>
        <v>0</v>
      </c>
      <c r="U792"/>
      <c r="V792">
        <v>54012.04</v>
      </c>
      <c r="W792" t="s">
        <v>75</v>
      </c>
      <c r="X792"/>
    </row>
    <row r="793" spans="1:27">
      <c r="A793" t="s">
        <v>35</v>
      </c>
      <c r="B793" t="s">
        <v>29</v>
      </c>
      <c r="C793" t="s">
        <v>2818</v>
      </c>
      <c r="D793" t="s">
        <v>2819</v>
      </c>
      <c r="E793" t="s">
        <v>2820</v>
      </c>
      <c r="F793" t="s">
        <v>33</v>
      </c>
      <c r="G793">
        <v>0</v>
      </c>
      <c r="H793">
        <f>((0/1000) * G793)</f>
        <v>0</v>
      </c>
      <c r="I793">
        <v>0</v>
      </c>
      <c r="J793">
        <v>0</v>
      </c>
      <c r="K793" s="3147">
        <v>41837.04</v>
      </c>
      <c r="L793" s="3148">
        <f>(K793 * G793)</f>
        <v>0</v>
      </c>
      <c r="M793" s="3149">
        <v>58571.85</v>
      </c>
      <c r="N793" s="3150">
        <f>(G793 * M793)</f>
        <v>0</v>
      </c>
      <c r="O793">
        <v>0</v>
      </c>
      <c r="P793">
        <v>0</v>
      </c>
      <c r="Q793">
        <f>IF(O793&gt;G793,(O793-G793),0)</f>
        <v>0</v>
      </c>
      <c r="R793">
        <v>1</v>
      </c>
      <c r="S793">
        <f>IF(Q793&gt;0,Int(P793/Q793),0)</f>
        <v>0</v>
      </c>
      <c r="T793">
        <f>0</f>
        <v>0</v>
      </c>
      <c r="U793"/>
      <c r="V793">
        <v>41837.04</v>
      </c>
      <c r="W793" t="s">
        <v>75</v>
      </c>
      <c r="X793"/>
    </row>
    <row r="794" spans="1:27">
      <c r="A794" t="s">
        <v>35</v>
      </c>
      <c r="B794" t="s">
        <v>29</v>
      </c>
      <c r="C794" t="s">
        <v>2821</v>
      </c>
      <c r="D794" t="s">
        <v>2822</v>
      </c>
      <c r="E794" t="s">
        <v>2823</v>
      </c>
      <c r="F794" t="s">
        <v>33</v>
      </c>
      <c r="G794">
        <v>0</v>
      </c>
      <c r="H794">
        <f>((0/1000) * G794)</f>
        <v>0</v>
      </c>
      <c r="I794">
        <v>0</v>
      </c>
      <c r="J794">
        <v>0</v>
      </c>
      <c r="K794" s="3151">
        <v>238036.44</v>
      </c>
      <c r="L794" s="3152">
        <f>(K794 * G794)</f>
        <v>0</v>
      </c>
      <c r="M794" s="3153">
        <v>333251.01</v>
      </c>
      <c r="N794" s="3154">
        <f>(G794 * M794)</f>
        <v>0</v>
      </c>
      <c r="O794">
        <v>0</v>
      </c>
      <c r="P794">
        <v>0</v>
      </c>
      <c r="Q794">
        <f>IF(O794&gt;G794,(O794-G794),0)</f>
        <v>0</v>
      </c>
      <c r="R794">
        <v>1</v>
      </c>
      <c r="S794">
        <f>IF(Q794&gt;0,Int(P794/Q794),0)</f>
        <v>0</v>
      </c>
      <c r="T794">
        <f>0</f>
        <v>0</v>
      </c>
      <c r="U794"/>
      <c r="V794">
        <v>238036.44</v>
      </c>
      <c r="W794" t="s">
        <v>182</v>
      </c>
      <c r="X794"/>
    </row>
    <row r="795" spans="1:27">
      <c r="A795" t="s">
        <v>35</v>
      </c>
      <c r="B795" t="s">
        <v>29</v>
      </c>
      <c r="C795" t="s">
        <v>2824</v>
      </c>
      <c r="D795" t="s">
        <v>2825</v>
      </c>
      <c r="E795" t="s">
        <v>2826</v>
      </c>
      <c r="F795" t="s">
        <v>33</v>
      </c>
      <c r="G795">
        <v>0</v>
      </c>
      <c r="H795">
        <f>((0/1000) * G795)</f>
        <v>0</v>
      </c>
      <c r="I795">
        <v>0</v>
      </c>
      <c r="J795">
        <v>0</v>
      </c>
      <c r="K795" s="3155">
        <v>0</v>
      </c>
      <c r="L795" s="3156">
        <f>(K795 * G795)</f>
        <v>0</v>
      </c>
      <c r="M795" s="3157">
        <v>0</v>
      </c>
      <c r="N795" s="3158">
        <f>(G795 * M795)</f>
        <v>0</v>
      </c>
      <c r="O795">
        <v>0</v>
      </c>
      <c r="P795">
        <v>0</v>
      </c>
      <c r="Q795">
        <f>IF(O795&gt;G795,(O795-G795),0)</f>
        <v>0</v>
      </c>
      <c r="R795">
        <v>1</v>
      </c>
      <c r="S795">
        <f>IF(Q795&gt;0,Int(P795/Q795),0)</f>
        <v>0</v>
      </c>
      <c r="T795">
        <f>0</f>
        <v>0</v>
      </c>
      <c r="U795"/>
      <c r="V795">
        <v>0</v>
      </c>
      <c r="W795">
        <v>0</v>
      </c>
      <c r="X795"/>
    </row>
    <row r="796" spans="1:27">
      <c r="A796" t="s">
        <v>35</v>
      </c>
      <c r="B796" t="s">
        <v>29</v>
      </c>
      <c r="C796" t="s">
        <v>154</v>
      </c>
      <c r="D796" t="s">
        <v>2827</v>
      </c>
      <c r="E796" t="s">
        <v>2828</v>
      </c>
      <c r="F796" t="s">
        <v>33</v>
      </c>
      <c r="G796">
        <v>0</v>
      </c>
      <c r="H796">
        <f>((0/1000) * G796)</f>
        <v>0</v>
      </c>
      <c r="I796">
        <v>0</v>
      </c>
      <c r="J796">
        <v>0</v>
      </c>
      <c r="K796" s="3159">
        <v>106697.01</v>
      </c>
      <c r="L796" s="3160">
        <f>(K796 * G796)</f>
        <v>0</v>
      </c>
      <c r="M796" s="3161">
        <v>149375.82</v>
      </c>
      <c r="N796" s="3162">
        <f>(G796 * M796)</f>
        <v>0</v>
      </c>
      <c r="O796">
        <v>0</v>
      </c>
      <c r="P796">
        <v>0</v>
      </c>
      <c r="Q796">
        <f>IF(O796&gt;G796,(O796-G796),0)</f>
        <v>0</v>
      </c>
      <c r="R796">
        <v>0</v>
      </c>
      <c r="S796">
        <f>IF(Q796&gt;0,Int(P796/Q796),0)</f>
        <v>0</v>
      </c>
      <c r="T796">
        <f>0</f>
        <v>0</v>
      </c>
      <c r="U796"/>
      <c r="V796">
        <v>106697.01</v>
      </c>
      <c r="W796" t="s">
        <v>75</v>
      </c>
      <c r="X796"/>
    </row>
    <row r="797" spans="1:27">
      <c r="A797" t="s">
        <v>35</v>
      </c>
      <c r="B797" t="s">
        <v>29</v>
      </c>
      <c r="C797" t="s">
        <v>2829</v>
      </c>
      <c r="D797" t="s">
        <v>2830</v>
      </c>
      <c r="E797" t="s">
        <v>2831</v>
      </c>
      <c r="F797" t="s">
        <v>33</v>
      </c>
      <c r="G797">
        <v>0</v>
      </c>
      <c r="H797">
        <f>((0/1000) * G797)</f>
        <v>0</v>
      </c>
      <c r="I797">
        <v>0</v>
      </c>
      <c r="J797">
        <v>0</v>
      </c>
      <c r="K797" s="3163">
        <v>145619.83</v>
      </c>
      <c r="L797" s="3164">
        <f>(K797 * G797)</f>
        <v>0</v>
      </c>
      <c r="M797" s="3165">
        <v>160181.82</v>
      </c>
      <c r="N797" s="3166">
        <f>(G797 * M797)</f>
        <v>0</v>
      </c>
      <c r="O797">
        <v>0</v>
      </c>
      <c r="P797">
        <v>0</v>
      </c>
      <c r="Q797">
        <f>IF(O797&gt;G797,(O797-G797),0)</f>
        <v>0</v>
      </c>
      <c r="R797">
        <v>1</v>
      </c>
      <c r="S797">
        <f>IF(Q797&gt;0,Int(P797/Q797),0)</f>
        <v>0</v>
      </c>
      <c r="T797">
        <f>75161.41</f>
        <v>75161.41</v>
      </c>
      <c r="U797" t="s">
        <v>2832</v>
      </c>
      <c r="V797">
        <v>145619.83</v>
      </c>
      <c r="W797" t="s">
        <v>43</v>
      </c>
      <c r="X797"/>
    </row>
    <row r="798" spans="1:27">
      <c r="A798" t="s">
        <v>35</v>
      </c>
      <c r="B798" t="s">
        <v>29</v>
      </c>
      <c r="C798" t="s">
        <v>2833</v>
      </c>
      <c r="D798" t="s">
        <v>2834</v>
      </c>
      <c r="E798" t="s">
        <v>2835</v>
      </c>
      <c r="F798" t="s">
        <v>33</v>
      </c>
      <c r="G798">
        <v>32</v>
      </c>
      <c r="H798">
        <f>((0/1000) * G798)</f>
        <v>0</v>
      </c>
      <c r="I798">
        <v>0</v>
      </c>
      <c r="J798">
        <v>32</v>
      </c>
      <c r="K798" s="3167">
        <v>67571</v>
      </c>
      <c r="L798" s="3168">
        <f>(K798 * G798)</f>
        <v>2162272</v>
      </c>
      <c r="M798" s="3169">
        <v>114870.7</v>
      </c>
      <c r="N798" s="3170">
        <f>(G798 * M798)</f>
        <v>3675862.4</v>
      </c>
      <c r="O798">
        <v>0</v>
      </c>
      <c r="P798">
        <v>0</v>
      </c>
      <c r="Q798">
        <f>IF(O798&gt;G798,(O798-G798),0)</f>
        <v>0</v>
      </c>
      <c r="R798">
        <v>1</v>
      </c>
      <c r="S798">
        <f>IF(Q798&gt;0,Int(P798/Q798),0)</f>
        <v>0</v>
      </c>
      <c r="T798">
        <f>67571</f>
        <v>67571</v>
      </c>
      <c r="U798" t="s">
        <v>573</v>
      </c>
      <c r="V798">
        <v>67571</v>
      </c>
      <c r="W798" t="s">
        <v>144</v>
      </c>
      <c r="X798" t="s">
        <v>280</v>
      </c>
    </row>
    <row r="799" spans="1:27">
      <c r="A799" t="s">
        <v>35</v>
      </c>
      <c r="B799" t="s">
        <v>29</v>
      </c>
      <c r="C799" t="s">
        <v>2836</v>
      </c>
      <c r="D799" t="s">
        <v>2837</v>
      </c>
      <c r="E799" t="s">
        <v>2838</v>
      </c>
      <c r="F799" t="s">
        <v>41</v>
      </c>
      <c r="G799">
        <v>1</v>
      </c>
      <c r="H799">
        <f>((0/1000) * G799)</f>
        <v>0</v>
      </c>
      <c r="I799">
        <v>0</v>
      </c>
      <c r="J799">
        <v>1</v>
      </c>
      <c r="K799" s="3171">
        <v>148400</v>
      </c>
      <c r="L799" s="3172">
        <f>(K799 * G799)</f>
        <v>148400</v>
      </c>
      <c r="M799" s="3173">
        <v>207760</v>
      </c>
      <c r="N799" s="3174">
        <f>(G799 * M799)</f>
        <v>207760</v>
      </c>
      <c r="O799">
        <v>0</v>
      </c>
      <c r="P799">
        <v>0</v>
      </c>
      <c r="Q799">
        <f>IF(O799&gt;G799,(O799-G799),0)</f>
        <v>0</v>
      </c>
      <c r="R799">
        <v>1</v>
      </c>
      <c r="S799">
        <f>IF(Q799&gt;0,Int(P799/Q799),0)</f>
        <v>0</v>
      </c>
      <c r="T799">
        <f>133586.78</f>
        <v>133586.78</v>
      </c>
      <c r="U799" t="s">
        <v>2839</v>
      </c>
      <c r="V799">
        <v>148400</v>
      </c>
      <c r="W799" t="s">
        <v>75</v>
      </c>
      <c r="X799" t="s">
        <v>354</v>
      </c>
    </row>
    <row r="800" spans="1:27">
      <c r="A800" t="s">
        <v>35</v>
      </c>
      <c r="B800" t="s">
        <v>29</v>
      </c>
      <c r="C800" t="s">
        <v>2840</v>
      </c>
      <c r="D800" t="s">
        <v>2841</v>
      </c>
      <c r="E800" t="s">
        <v>2842</v>
      </c>
      <c r="F800" t="s">
        <v>41</v>
      </c>
      <c r="G800">
        <v>0</v>
      </c>
      <c r="H800">
        <f>((0/1000) * G800)</f>
        <v>0</v>
      </c>
      <c r="I800">
        <v>0</v>
      </c>
      <c r="J800">
        <v>0</v>
      </c>
      <c r="K800" s="3175">
        <v>251090.92</v>
      </c>
      <c r="L800" s="3176">
        <f>(K800 * G800)</f>
        <v>0</v>
      </c>
      <c r="M800" s="3177">
        <v>351527.29</v>
      </c>
      <c r="N800" s="3178">
        <f>(G800 * M800)</f>
        <v>0</v>
      </c>
      <c r="O800">
        <v>0</v>
      </c>
      <c r="P800">
        <v>0</v>
      </c>
      <c r="Q800">
        <f>IF(O800&gt;G800,(O800-G800),0)</f>
        <v>0</v>
      </c>
      <c r="R800">
        <v>1</v>
      </c>
      <c r="S800">
        <f>IF(Q800&gt;0,Int(P800/Q800),0)</f>
        <v>0</v>
      </c>
      <c r="T800">
        <f>88279.49</f>
        <v>88279.49</v>
      </c>
      <c r="U800" t="s">
        <v>2843</v>
      </c>
      <c r="V800">
        <v>251090.92</v>
      </c>
      <c r="W800" t="s">
        <v>75</v>
      </c>
      <c r="X800"/>
    </row>
    <row r="801" spans="1:27">
      <c r="A801" t="s">
        <v>35</v>
      </c>
      <c r="B801" t="s">
        <v>29</v>
      </c>
      <c r="C801" t="s">
        <v>2844</v>
      </c>
      <c r="D801" t="s">
        <v>2845</v>
      </c>
      <c r="E801" t="s">
        <v>2846</v>
      </c>
      <c r="F801" t="s">
        <v>41</v>
      </c>
      <c r="G801">
        <v>4</v>
      </c>
      <c r="H801">
        <f>((0/1000) * G801)</f>
        <v>0</v>
      </c>
      <c r="I801">
        <v>4</v>
      </c>
      <c r="J801">
        <v>0</v>
      </c>
      <c r="K801" s="3179">
        <v>198362.32</v>
      </c>
      <c r="L801" s="3180">
        <f>(K801 * G801)</f>
        <v>793449.28</v>
      </c>
      <c r="M801" s="3181">
        <v>277707.25</v>
      </c>
      <c r="N801" s="3182">
        <f>(G801 * M801)</f>
        <v>1110829</v>
      </c>
      <c r="O801">
        <v>0</v>
      </c>
      <c r="P801">
        <v>0</v>
      </c>
      <c r="Q801">
        <f>IF(O801&gt;G801,(O801-G801),0)</f>
        <v>0</v>
      </c>
      <c r="R801">
        <v>1</v>
      </c>
      <c r="S801">
        <f>IF(Q801&gt;0,Int(P801/Q801),0)</f>
        <v>0</v>
      </c>
      <c r="T801">
        <f>176343.74</f>
        <v>176343.74</v>
      </c>
      <c r="U801" t="s">
        <v>2847</v>
      </c>
      <c r="V801">
        <v>198362.32</v>
      </c>
      <c r="W801" t="s">
        <v>182</v>
      </c>
      <c r="X801"/>
    </row>
    <row r="802" spans="1:27">
      <c r="A802" t="s">
        <v>35</v>
      </c>
      <c r="B802" t="s">
        <v>29</v>
      </c>
      <c r="C802" t="s">
        <v>2848</v>
      </c>
      <c r="D802" t="s">
        <v>2849</v>
      </c>
      <c r="E802" t="s">
        <v>2850</v>
      </c>
      <c r="F802" t="s">
        <v>41</v>
      </c>
      <c r="G802">
        <v>0</v>
      </c>
      <c r="H802">
        <f>((1/1000) * G802)</f>
        <v>0</v>
      </c>
      <c r="I802">
        <v>0</v>
      </c>
      <c r="J802">
        <v>0</v>
      </c>
      <c r="K802" s="3183">
        <v>185561.82</v>
      </c>
      <c r="L802" s="3184">
        <f>(K802 * G802)</f>
        <v>0</v>
      </c>
      <c r="M802" s="3185">
        <v>185561.82</v>
      </c>
      <c r="N802" s="3186">
        <f>(G802 * M802)</f>
        <v>0</v>
      </c>
      <c r="O802">
        <v>0</v>
      </c>
      <c r="P802">
        <v>0</v>
      </c>
      <c r="Q802">
        <f>IF(O802&gt;G802,(O802-G802),0)</f>
        <v>0</v>
      </c>
      <c r="R802">
        <v>1</v>
      </c>
      <c r="S802">
        <f>IF(Q802&gt;0,Int(P802/Q802),0)</f>
        <v>0</v>
      </c>
      <c r="T802">
        <f>145531.88</f>
        <v>145531.88</v>
      </c>
      <c r="U802" t="s">
        <v>2851</v>
      </c>
      <c r="V802">
        <v>185561.82</v>
      </c>
      <c r="W802" t="s">
        <v>43</v>
      </c>
      <c r="X802"/>
    </row>
    <row r="803" spans="1:27">
      <c r="A803" t="s">
        <v>35</v>
      </c>
      <c r="B803" t="s">
        <v>29</v>
      </c>
      <c r="C803" t="s">
        <v>2852</v>
      </c>
      <c r="D803" t="s">
        <v>2853</v>
      </c>
      <c r="E803" t="s">
        <v>2854</v>
      </c>
      <c r="F803" t="s">
        <v>41</v>
      </c>
      <c r="G803">
        <v>0</v>
      </c>
      <c r="H803">
        <f>((0/1000) * G803)</f>
        <v>0</v>
      </c>
      <c r="I803">
        <v>0</v>
      </c>
      <c r="J803">
        <v>0</v>
      </c>
      <c r="K803" s="3187">
        <v>138842.98</v>
      </c>
      <c r="L803" s="3188">
        <f>(K803 * G803)</f>
        <v>0</v>
      </c>
      <c r="M803" s="3189">
        <v>152727.27</v>
      </c>
      <c r="N803" s="3190">
        <f>(G803 * M803)</f>
        <v>0</v>
      </c>
      <c r="O803">
        <v>0</v>
      </c>
      <c r="P803">
        <v>0</v>
      </c>
      <c r="Q803">
        <f>IF(O803&gt;G803,(O803-G803),0)</f>
        <v>0</v>
      </c>
      <c r="R803">
        <v>1</v>
      </c>
      <c r="S803">
        <f>IF(Q803&gt;0,Int(P803/Q803),0)</f>
        <v>0</v>
      </c>
      <c r="T803">
        <f>106882.04</f>
        <v>106882.04</v>
      </c>
      <c r="U803" t="s">
        <v>2855</v>
      </c>
      <c r="V803">
        <v>138842.98</v>
      </c>
      <c r="W803" t="s">
        <v>43</v>
      </c>
      <c r="X803"/>
    </row>
    <row r="804" spans="1:27">
      <c r="A804" t="s">
        <v>28</v>
      </c>
      <c r="B804" t="s">
        <v>29</v>
      </c>
      <c r="C804" t="s">
        <v>2856</v>
      </c>
      <c r="D804" t="s">
        <v>2857</v>
      </c>
      <c r="E804" t="s">
        <v>2858</v>
      </c>
      <c r="F804" t="s">
        <v>33</v>
      </c>
      <c r="G804">
        <v>0</v>
      </c>
      <c r="H804">
        <f>((0/1000) * G804)</f>
        <v>0</v>
      </c>
      <c r="I804">
        <v>0</v>
      </c>
      <c r="J804">
        <v>0</v>
      </c>
      <c r="K804" s="3191">
        <v>102507.43</v>
      </c>
      <c r="L804" s="3192">
        <f>(K804 * G804)</f>
        <v>0</v>
      </c>
      <c r="M804" s="3193">
        <v>143510.4</v>
      </c>
      <c r="N804" s="3194">
        <f>(G804 * M804)</f>
        <v>0</v>
      </c>
      <c r="O804">
        <v>0</v>
      </c>
      <c r="P804">
        <v>0</v>
      </c>
      <c r="Q804">
        <f>IF(O804&gt;G804,(O804-G804),0)</f>
        <v>0</v>
      </c>
      <c r="R804">
        <v>1</v>
      </c>
      <c r="S804">
        <f>IF(Q804&gt;0,Int(P804/Q804),0)</f>
        <v>0</v>
      </c>
      <c r="T804">
        <f>93188.57</f>
        <v>93188.57</v>
      </c>
      <c r="U804" t="s">
        <v>2859</v>
      </c>
      <c r="V804">
        <v>102507.43</v>
      </c>
      <c r="W804" t="s">
        <v>75</v>
      </c>
      <c r="X804"/>
    </row>
    <row r="805" spans="1:27">
      <c r="A805" t="s">
        <v>35</v>
      </c>
      <c r="B805" t="s">
        <v>29</v>
      </c>
      <c r="C805" t="s">
        <v>2860</v>
      </c>
      <c r="D805" t="s">
        <v>2861</v>
      </c>
      <c r="E805" t="s">
        <v>2862</v>
      </c>
      <c r="F805" t="s">
        <v>33</v>
      </c>
      <c r="G805">
        <v>0</v>
      </c>
      <c r="H805">
        <f>((0/1000) * G805)</f>
        <v>0</v>
      </c>
      <c r="I805">
        <v>0</v>
      </c>
      <c r="J805">
        <v>0</v>
      </c>
      <c r="K805" s="3195">
        <v>41310.91</v>
      </c>
      <c r="L805" s="3196">
        <f>(K805 * G805)</f>
        <v>0</v>
      </c>
      <c r="M805" s="3197">
        <v>57835.28</v>
      </c>
      <c r="N805" s="3198">
        <f>(G805 * M805)</f>
        <v>0</v>
      </c>
      <c r="O805">
        <v>0</v>
      </c>
      <c r="P805">
        <v>0</v>
      </c>
      <c r="Q805">
        <f>IF(O805&gt;G805,(O805-G805),0)</f>
        <v>0</v>
      </c>
      <c r="R805">
        <v>1</v>
      </c>
      <c r="S805">
        <f>IF(Q805&gt;0,Int(P805/Q805),0)</f>
        <v>0</v>
      </c>
      <c r="T805">
        <f>0</f>
        <v>0</v>
      </c>
      <c r="U805"/>
      <c r="V805">
        <v>41310.91</v>
      </c>
      <c r="W805" t="s">
        <v>75</v>
      </c>
      <c r="X805"/>
    </row>
    <row r="806" spans="1:27">
      <c r="A806" t="s">
        <v>35</v>
      </c>
      <c r="B806" t="s">
        <v>29</v>
      </c>
      <c r="C806" t="s">
        <v>2863</v>
      </c>
      <c r="D806" t="s">
        <v>2864</v>
      </c>
      <c r="E806" t="s">
        <v>2865</v>
      </c>
      <c r="F806" t="s">
        <v>33</v>
      </c>
      <c r="G806">
        <v>0</v>
      </c>
      <c r="H806">
        <f>((0/1000) * G806)</f>
        <v>0</v>
      </c>
      <c r="I806">
        <v>0</v>
      </c>
      <c r="J806">
        <v>0</v>
      </c>
      <c r="K806" s="3199">
        <v>0</v>
      </c>
      <c r="L806" s="3200">
        <f>(K806 * G806)</f>
        <v>0</v>
      </c>
      <c r="M806" s="3201">
        <v>0</v>
      </c>
      <c r="N806" s="3202">
        <f>(G806 * M806)</f>
        <v>0</v>
      </c>
      <c r="O806">
        <v>0</v>
      </c>
      <c r="P806">
        <v>0</v>
      </c>
      <c r="Q806">
        <f>IF(O806&gt;G806,(O806-G806),0)</f>
        <v>0</v>
      </c>
      <c r="R806">
        <v>1</v>
      </c>
      <c r="S806">
        <f>IF(Q806&gt;0,Int(P806/Q806),0)</f>
        <v>0</v>
      </c>
      <c r="T806">
        <f>0</f>
        <v>0</v>
      </c>
      <c r="U806"/>
      <c r="V806">
        <v>0</v>
      </c>
      <c r="W806">
        <v>0</v>
      </c>
      <c r="X806"/>
    </row>
    <row r="807" spans="1:27">
      <c r="A807" t="s">
        <v>35</v>
      </c>
      <c r="B807" t="s">
        <v>29</v>
      </c>
      <c r="C807" t="s">
        <v>2866</v>
      </c>
      <c r="D807" t="s">
        <v>2867</v>
      </c>
      <c r="E807" t="s">
        <v>2868</v>
      </c>
      <c r="F807" t="s">
        <v>41</v>
      </c>
      <c r="G807">
        <v>0</v>
      </c>
      <c r="H807">
        <f>((0/1000) * G807)</f>
        <v>0</v>
      </c>
      <c r="I807">
        <v>0</v>
      </c>
      <c r="J807">
        <v>0</v>
      </c>
      <c r="K807" s="3203">
        <v>78037</v>
      </c>
      <c r="L807" s="3204">
        <f>(K807 * G807)</f>
        <v>0</v>
      </c>
      <c r="M807" s="3205">
        <v>132662.9</v>
      </c>
      <c r="N807" s="3206">
        <f>(G807 * M807)</f>
        <v>0</v>
      </c>
      <c r="O807">
        <v>0</v>
      </c>
      <c r="P807">
        <v>0</v>
      </c>
      <c r="Q807">
        <f>IF(O807&gt;G807,(O807-G807),0)</f>
        <v>0</v>
      </c>
      <c r="R807">
        <v>1</v>
      </c>
      <c r="S807">
        <f>IF(Q807&gt;0,Int(P807/Q807),0)</f>
        <v>0</v>
      </c>
      <c r="T807">
        <f>81000</f>
        <v>81000</v>
      </c>
      <c r="U807" t="s">
        <v>2493</v>
      </c>
      <c r="V807">
        <v>78037</v>
      </c>
      <c r="W807" t="s">
        <v>651</v>
      </c>
      <c r="X807" t="s">
        <v>275</v>
      </c>
    </row>
    <row r="808" spans="1:27">
      <c r="A808" t="s">
        <v>35</v>
      </c>
      <c r="B808" t="s">
        <v>29</v>
      </c>
      <c r="C808" t="s">
        <v>2869</v>
      </c>
      <c r="D808" t="s">
        <v>2870</v>
      </c>
      <c r="E808" t="s">
        <v>2871</v>
      </c>
      <c r="F808" t="s">
        <v>41</v>
      </c>
      <c r="G808">
        <v>0</v>
      </c>
      <c r="H808">
        <f>((0/1000) * G808)</f>
        <v>0</v>
      </c>
      <c r="I808">
        <v>0</v>
      </c>
      <c r="J808">
        <v>0</v>
      </c>
      <c r="K808" s="3207">
        <v>0</v>
      </c>
      <c r="L808" s="3208">
        <f>(K808 * G808)</f>
        <v>0</v>
      </c>
      <c r="M808" s="3209">
        <v>0</v>
      </c>
      <c r="N808" s="3210">
        <f>(G808 * M808)</f>
        <v>0</v>
      </c>
      <c r="O808">
        <v>0</v>
      </c>
      <c r="P808">
        <v>0</v>
      </c>
      <c r="Q808">
        <f>IF(O808&gt;G808,(O808-G808),0)</f>
        <v>0</v>
      </c>
      <c r="R808">
        <v>1</v>
      </c>
      <c r="S808">
        <f>IF(Q808&gt;0,Int(P808/Q808),0)</f>
        <v>0</v>
      </c>
      <c r="T808">
        <f>106348.61</f>
        <v>106348.61</v>
      </c>
      <c r="U808" t="s">
        <v>2872</v>
      </c>
      <c r="V808">
        <v>0</v>
      </c>
      <c r="W808">
        <v>0</v>
      </c>
      <c r="X808"/>
    </row>
    <row r="809" spans="1:27">
      <c r="A809" t="s">
        <v>35</v>
      </c>
      <c r="B809" t="s">
        <v>29</v>
      </c>
      <c r="C809" t="s">
        <v>2873</v>
      </c>
      <c r="D809" t="s">
        <v>2874</v>
      </c>
      <c r="E809" t="s">
        <v>2875</v>
      </c>
      <c r="F809" t="s">
        <v>33</v>
      </c>
      <c r="G809">
        <v>0</v>
      </c>
      <c r="H809">
        <f>((0/1000) * G809)</f>
        <v>0</v>
      </c>
      <c r="I809">
        <v>0</v>
      </c>
      <c r="J809">
        <v>0</v>
      </c>
      <c r="K809" s="3211">
        <v>197336.48</v>
      </c>
      <c r="L809" s="3212">
        <f>(K809 * G809)</f>
        <v>0</v>
      </c>
      <c r="M809" s="3213">
        <v>217070.13</v>
      </c>
      <c r="N809" s="3214">
        <f>(G809 * M809)</f>
        <v>0</v>
      </c>
      <c r="O809">
        <v>0</v>
      </c>
      <c r="P809">
        <v>0</v>
      </c>
      <c r="Q809">
        <f>IF(O809&gt;G809,(O809-G809),0)</f>
        <v>0</v>
      </c>
      <c r="R809">
        <v>1</v>
      </c>
      <c r="S809">
        <f>IF(Q809&gt;0,Int(P809/Q809),0)</f>
        <v>0</v>
      </c>
      <c r="T809">
        <f>62589</f>
        <v>62589</v>
      </c>
      <c r="U809" t="s">
        <v>2876</v>
      </c>
      <c r="V809">
        <v>197336.48</v>
      </c>
      <c r="W809" t="s">
        <v>43</v>
      </c>
      <c r="X809"/>
    </row>
    <row r="810" spans="1:27">
      <c r="A810" t="s">
        <v>35</v>
      </c>
      <c r="B810" t="s">
        <v>29</v>
      </c>
      <c r="C810" t="s">
        <v>2877</v>
      </c>
      <c r="D810" t="s">
        <v>2878</v>
      </c>
      <c r="E810" t="s">
        <v>2879</v>
      </c>
      <c r="F810" t="s">
        <v>33</v>
      </c>
      <c r="G810">
        <v>0</v>
      </c>
      <c r="H810">
        <f>((0/1000) * G810)</f>
        <v>0</v>
      </c>
      <c r="I810">
        <v>0</v>
      </c>
      <c r="J810">
        <v>0</v>
      </c>
      <c r="K810" s="3215">
        <v>194628.1</v>
      </c>
      <c r="L810" s="3216">
        <f>(K810 * G810)</f>
        <v>0</v>
      </c>
      <c r="M810" s="3217">
        <v>214090.91</v>
      </c>
      <c r="N810" s="3218">
        <f>(G810 * M810)</f>
        <v>0</v>
      </c>
      <c r="O810">
        <v>0</v>
      </c>
      <c r="P810">
        <v>0</v>
      </c>
      <c r="Q810">
        <f>IF(O810&gt;G810,(O810-G810),0)</f>
        <v>0</v>
      </c>
      <c r="R810">
        <v>1</v>
      </c>
      <c r="S810">
        <f>IF(Q810&gt;0,Int(P810/Q810),0)</f>
        <v>0</v>
      </c>
      <c r="T810">
        <f>58903.08</f>
        <v>58903.08</v>
      </c>
      <c r="U810" t="s">
        <v>2880</v>
      </c>
      <c r="V810">
        <v>194628.1</v>
      </c>
      <c r="W810" t="s">
        <v>43</v>
      </c>
      <c r="X810"/>
    </row>
    <row r="811" spans="1:27">
      <c r="A811" t="s">
        <v>28</v>
      </c>
      <c r="B811" t="s">
        <v>29</v>
      </c>
      <c r="C811" t="s">
        <v>2881</v>
      </c>
      <c r="D811" t="s">
        <v>2882</v>
      </c>
      <c r="E811" t="s">
        <v>2883</v>
      </c>
      <c r="F811" t="s">
        <v>33</v>
      </c>
      <c r="G811">
        <v>0</v>
      </c>
      <c r="H811">
        <f>((0/1000) * G811)</f>
        <v>0</v>
      </c>
      <c r="I811">
        <v>0</v>
      </c>
      <c r="J811">
        <v>0</v>
      </c>
      <c r="K811" s="3219">
        <v>64404.37</v>
      </c>
      <c r="L811" s="3220">
        <f>(K811 * G811)</f>
        <v>0</v>
      </c>
      <c r="M811" s="3221">
        <v>90166.12</v>
      </c>
      <c r="N811" s="3222">
        <f>(G811 * M811)</f>
        <v>0</v>
      </c>
      <c r="O811">
        <v>0</v>
      </c>
      <c r="P811">
        <v>0</v>
      </c>
      <c r="Q811">
        <f>IF(O811&gt;G811,(O811-G811),0)</f>
        <v>0</v>
      </c>
      <c r="R811">
        <v>0</v>
      </c>
      <c r="S811">
        <f>IF(Q811&gt;0,Int(P811/Q811),0)</f>
        <v>0</v>
      </c>
      <c r="T811">
        <f>0</f>
        <v>0</v>
      </c>
      <c r="U811"/>
      <c r="V811">
        <v>64404.37</v>
      </c>
      <c r="W811" t="s">
        <v>529</v>
      </c>
      <c r="X811"/>
    </row>
    <row r="812" spans="1:27">
      <c r="A812" t="s">
        <v>35</v>
      </c>
      <c r="B812" t="s">
        <v>29</v>
      </c>
      <c r="C812" t="s">
        <v>2884</v>
      </c>
      <c r="D812" t="s">
        <v>2885</v>
      </c>
      <c r="E812" t="s">
        <v>2886</v>
      </c>
      <c r="F812" t="s">
        <v>41</v>
      </c>
      <c r="G812">
        <v>0</v>
      </c>
      <c r="H812">
        <f>((0/1000) * G812)</f>
        <v>0</v>
      </c>
      <c r="I812">
        <v>0</v>
      </c>
      <c r="J812">
        <v>0</v>
      </c>
      <c r="K812" s="3223">
        <v>56243</v>
      </c>
      <c r="L812" s="3224">
        <f>(K812 * G812)</f>
        <v>0</v>
      </c>
      <c r="M812" s="3225">
        <v>101237.4</v>
      </c>
      <c r="N812" s="3226">
        <f>(G812 * M812)</f>
        <v>0</v>
      </c>
      <c r="O812">
        <v>0</v>
      </c>
      <c r="P812">
        <v>0</v>
      </c>
      <c r="Q812">
        <f>IF(O812&gt;G812,(O812-G812),0)</f>
        <v>0</v>
      </c>
      <c r="R812">
        <v>0</v>
      </c>
      <c r="S812">
        <f>IF(Q812&gt;0,Int(P812/Q812),0)</f>
        <v>0</v>
      </c>
      <c r="T812">
        <f>56243</f>
        <v>56243</v>
      </c>
      <c r="U812" t="s">
        <v>2887</v>
      </c>
      <c r="V812">
        <v>56243</v>
      </c>
      <c r="W812" t="s">
        <v>2888</v>
      </c>
      <c r="X812"/>
    </row>
    <row r="813" spans="1:27">
      <c r="A813" t="s">
        <v>28</v>
      </c>
      <c r="B813" t="s">
        <v>29</v>
      </c>
      <c r="C813" t="s">
        <v>2889</v>
      </c>
      <c r="D813" t="s">
        <v>2890</v>
      </c>
      <c r="E813" t="s">
        <v>2891</v>
      </c>
      <c r="F813" t="s">
        <v>33</v>
      </c>
      <c r="G813">
        <v>0</v>
      </c>
      <c r="H813">
        <f>((0/1000) * G813)</f>
        <v>0</v>
      </c>
      <c r="I813">
        <v>0</v>
      </c>
      <c r="J813">
        <v>0</v>
      </c>
      <c r="K813" s="3227">
        <v>76528.57</v>
      </c>
      <c r="L813" s="3228">
        <f>(K813 * G813)</f>
        <v>0</v>
      </c>
      <c r="M813" s="3229">
        <v>107140</v>
      </c>
      <c r="N813" s="3230">
        <f>(G813 * M813)</f>
        <v>0</v>
      </c>
      <c r="O813">
        <v>0</v>
      </c>
      <c r="P813">
        <v>0</v>
      </c>
      <c r="Q813">
        <f>IF(O813&gt;G813,(O813-G813),0)</f>
        <v>0</v>
      </c>
      <c r="R813">
        <v>1</v>
      </c>
      <c r="S813">
        <f>IF(Q813&gt;0,Int(P813/Q813),0)</f>
        <v>0</v>
      </c>
      <c r="T813">
        <f>99173.55</f>
        <v>99173.55</v>
      </c>
      <c r="U813" t="s">
        <v>2892</v>
      </c>
      <c r="V813">
        <v>76528.57</v>
      </c>
      <c r="W813" t="s">
        <v>301</v>
      </c>
      <c r="X813"/>
    </row>
    <row r="814" spans="1:27">
      <c r="A814" t="s">
        <v>35</v>
      </c>
      <c r="B814" t="s">
        <v>29</v>
      </c>
      <c r="C814" t="s">
        <v>2893</v>
      </c>
      <c r="D814" t="s">
        <v>2894</v>
      </c>
      <c r="E814" t="s">
        <v>2895</v>
      </c>
      <c r="F814" t="s">
        <v>33</v>
      </c>
      <c r="G814">
        <v>3</v>
      </c>
      <c r="H814">
        <f>((0/1000) * G814)</f>
        <v>0</v>
      </c>
      <c r="I814">
        <v>0</v>
      </c>
      <c r="J814">
        <v>3</v>
      </c>
      <c r="K814" s="3231">
        <v>124590.06</v>
      </c>
      <c r="L814" s="3232">
        <f>(K814 * G814)</f>
        <v>373770.18</v>
      </c>
      <c r="M814" s="3233">
        <v>199344.1</v>
      </c>
      <c r="N814" s="3234">
        <f>(G814 * M814)</f>
        <v>598032.3</v>
      </c>
      <c r="O814">
        <v>0</v>
      </c>
      <c r="P814">
        <v>0</v>
      </c>
      <c r="Q814">
        <f>IF(O814&gt;G814,(O814-G814),0)</f>
        <v>0</v>
      </c>
      <c r="R814">
        <v>0</v>
      </c>
      <c r="S814">
        <f>IF(Q814&gt;0,Int(P814/Q814),0)</f>
        <v>0</v>
      </c>
      <c r="T814">
        <f>124590.06</f>
        <v>124590.06</v>
      </c>
      <c r="U814" t="s">
        <v>135</v>
      </c>
      <c r="V814">
        <v>124590.06</v>
      </c>
      <c r="W814" t="s">
        <v>898</v>
      </c>
      <c r="X814"/>
    </row>
    <row r="815" spans="1:27">
      <c r="A815" t="s">
        <v>35</v>
      </c>
      <c r="B815" t="s">
        <v>29</v>
      </c>
      <c r="C815" t="s">
        <v>2896</v>
      </c>
      <c r="D815" t="s">
        <v>2897</v>
      </c>
      <c r="E815" t="s">
        <v>2898</v>
      </c>
      <c r="F815" t="s">
        <v>41</v>
      </c>
      <c r="G815">
        <v>0</v>
      </c>
      <c r="H815">
        <f>((0/1000) * G815)</f>
        <v>0</v>
      </c>
      <c r="I815">
        <v>0</v>
      </c>
      <c r="J815">
        <v>0</v>
      </c>
      <c r="K815" s="3235">
        <v>285321.07</v>
      </c>
      <c r="L815" s="3236">
        <f>(K815 * G815)</f>
        <v>0</v>
      </c>
      <c r="M815" s="3237">
        <v>399449.5</v>
      </c>
      <c r="N815" s="3238">
        <f>(G815 * M815)</f>
        <v>0</v>
      </c>
      <c r="O815">
        <v>0</v>
      </c>
      <c r="P815">
        <v>0</v>
      </c>
      <c r="Q815">
        <f>IF(O815&gt;G815,(O815-G815),0)</f>
        <v>0</v>
      </c>
      <c r="R815">
        <v>1</v>
      </c>
      <c r="S815">
        <f>IF(Q815&gt;0,Int(P815/Q815),0)</f>
        <v>0</v>
      </c>
      <c r="T815">
        <f>393180</f>
        <v>393180</v>
      </c>
      <c r="U815" t="s">
        <v>2899</v>
      </c>
      <c r="V815">
        <v>285321.07</v>
      </c>
      <c r="W815" t="s">
        <v>182</v>
      </c>
      <c r="X815"/>
    </row>
    <row r="816" spans="1:27">
      <c r="A816" t="s">
        <v>35</v>
      </c>
      <c r="B816" t="s">
        <v>29</v>
      </c>
      <c r="C816" t="s">
        <v>2900</v>
      </c>
      <c r="D816" t="s">
        <v>2901</v>
      </c>
      <c r="E816" t="s">
        <v>2902</v>
      </c>
      <c r="F816" t="s">
        <v>33</v>
      </c>
      <c r="G816">
        <v>0</v>
      </c>
      <c r="H816">
        <f>((0/1000) * G816)</f>
        <v>0</v>
      </c>
      <c r="I816">
        <v>0</v>
      </c>
      <c r="J816">
        <v>0</v>
      </c>
      <c r="K816" s="3239">
        <v>118893.39</v>
      </c>
      <c r="L816" s="3240">
        <f>(K816 * G816)</f>
        <v>0</v>
      </c>
      <c r="M816" s="3241">
        <v>190229.42</v>
      </c>
      <c r="N816" s="3242">
        <f>(G816 * M816)</f>
        <v>0</v>
      </c>
      <c r="O816">
        <v>0</v>
      </c>
      <c r="P816">
        <v>0</v>
      </c>
      <c r="Q816">
        <f>IF(O816&gt;G816,(O816-G816),0)</f>
        <v>0</v>
      </c>
      <c r="R816">
        <v>0</v>
      </c>
      <c r="S816">
        <f>IF(Q816&gt;0,Int(P816/Q816),0)</f>
        <v>0</v>
      </c>
      <c r="T816">
        <f>0</f>
        <v>0</v>
      </c>
      <c r="U816" t="s">
        <v>164</v>
      </c>
      <c r="V816">
        <v>118893.39</v>
      </c>
      <c r="W816" t="s">
        <v>2366</v>
      </c>
      <c r="X816"/>
    </row>
    <row r="817" spans="1:27">
      <c r="A817" t="s">
        <v>35</v>
      </c>
      <c r="B817" t="s">
        <v>29</v>
      </c>
      <c r="C817" t="s">
        <v>2903</v>
      </c>
      <c r="D817" t="s">
        <v>2904</v>
      </c>
      <c r="E817" t="s">
        <v>2905</v>
      </c>
      <c r="F817" t="s">
        <v>33</v>
      </c>
      <c r="G817">
        <v>0</v>
      </c>
      <c r="H817">
        <f>((0/1000) * G817)</f>
        <v>0</v>
      </c>
      <c r="I817">
        <v>0</v>
      </c>
      <c r="J817">
        <v>0</v>
      </c>
      <c r="K817" s="3243">
        <v>56957.09</v>
      </c>
      <c r="L817" s="3244">
        <f>(K817 * G817)</f>
        <v>0</v>
      </c>
      <c r="M817" s="3245">
        <v>79739.93</v>
      </c>
      <c r="N817" s="3246">
        <f>(G817 * M817)</f>
        <v>0</v>
      </c>
      <c r="O817">
        <v>0</v>
      </c>
      <c r="P817">
        <v>0</v>
      </c>
      <c r="Q817">
        <f>IF(O817&gt;G817,(O817-G817),0)</f>
        <v>0</v>
      </c>
      <c r="R817">
        <v>1</v>
      </c>
      <c r="S817">
        <f>IF(Q817&gt;0,Int(P817/Q817),0)</f>
        <v>0</v>
      </c>
      <c r="T817">
        <f>0</f>
        <v>0</v>
      </c>
      <c r="U817"/>
      <c r="V817">
        <v>56957.09</v>
      </c>
      <c r="W817" t="s">
        <v>75</v>
      </c>
      <c r="X817"/>
    </row>
    <row r="818" spans="1:27">
      <c r="A818" t="s">
        <v>35</v>
      </c>
      <c r="B818" t="s">
        <v>29</v>
      </c>
      <c r="C818" t="s">
        <v>2906</v>
      </c>
      <c r="D818" t="s">
        <v>2907</v>
      </c>
      <c r="E818" t="s">
        <v>2908</v>
      </c>
      <c r="F818" t="s">
        <v>33</v>
      </c>
      <c r="G818">
        <v>0</v>
      </c>
      <c r="H818">
        <f>((0/1000) * G818)</f>
        <v>0</v>
      </c>
      <c r="I818">
        <v>0</v>
      </c>
      <c r="J818">
        <v>0</v>
      </c>
      <c r="K818" s="3247">
        <v>69721.76</v>
      </c>
      <c r="L818" s="3248">
        <f>(K818 * G818)</f>
        <v>0</v>
      </c>
      <c r="M818" s="3249">
        <v>97610.46</v>
      </c>
      <c r="N818" s="3250">
        <f>(G818 * M818)</f>
        <v>0</v>
      </c>
      <c r="O818">
        <v>0</v>
      </c>
      <c r="P818">
        <v>0</v>
      </c>
      <c r="Q818">
        <f>IF(O818&gt;G818,(O818-G818),0)</f>
        <v>0</v>
      </c>
      <c r="R818">
        <v>1</v>
      </c>
      <c r="S818">
        <f>IF(Q818&gt;0,Int(P818/Q818),0)</f>
        <v>0</v>
      </c>
      <c r="T818">
        <f>0</f>
        <v>0</v>
      </c>
      <c r="U818"/>
      <c r="V818">
        <v>69721.76</v>
      </c>
      <c r="W818" t="s">
        <v>75</v>
      </c>
      <c r="X818"/>
    </row>
    <row r="819" spans="1:27">
      <c r="A819" t="s">
        <v>35</v>
      </c>
      <c r="B819" t="s">
        <v>29</v>
      </c>
      <c r="C819" t="s">
        <v>2909</v>
      </c>
      <c r="D819" t="s">
        <v>2910</v>
      </c>
      <c r="E819" t="s">
        <v>2911</v>
      </c>
      <c r="F819" t="s">
        <v>33</v>
      </c>
      <c r="G819">
        <v>0</v>
      </c>
      <c r="H819">
        <f>((0/1000) * G819)</f>
        <v>0</v>
      </c>
      <c r="I819">
        <v>0</v>
      </c>
      <c r="J819">
        <v>0</v>
      </c>
      <c r="K819" s="3251">
        <v>150447.47</v>
      </c>
      <c r="L819" s="3252">
        <f>(K819 * G819)</f>
        <v>0</v>
      </c>
      <c r="M819" s="3253">
        <v>210626.46</v>
      </c>
      <c r="N819" s="3254">
        <f>(G819 * M819)</f>
        <v>0</v>
      </c>
      <c r="O819">
        <v>0</v>
      </c>
      <c r="P819">
        <v>0</v>
      </c>
      <c r="Q819">
        <f>IF(O819&gt;G819,(O819-G819),0)</f>
        <v>0</v>
      </c>
      <c r="R819">
        <v>1</v>
      </c>
      <c r="S819">
        <f>IF(Q819&gt;0,Int(P819/Q819),0)</f>
        <v>0</v>
      </c>
      <c r="T819">
        <f>0</f>
        <v>0</v>
      </c>
      <c r="U819"/>
      <c r="V819">
        <v>150447.47</v>
      </c>
      <c r="W819" t="s">
        <v>75</v>
      </c>
      <c r="X819"/>
    </row>
    <row r="820" spans="1:27">
      <c r="A820" t="s">
        <v>35</v>
      </c>
      <c r="B820" t="s">
        <v>29</v>
      </c>
      <c r="C820" t="s">
        <v>2912</v>
      </c>
      <c r="D820" t="s">
        <v>2913</v>
      </c>
      <c r="E820" t="s">
        <v>2914</v>
      </c>
      <c r="F820" t="s">
        <v>41</v>
      </c>
      <c r="G820">
        <v>0</v>
      </c>
      <c r="H820">
        <f>((0/1000) * G820)</f>
        <v>0</v>
      </c>
      <c r="I820">
        <v>0</v>
      </c>
      <c r="J820">
        <v>0</v>
      </c>
      <c r="K820" s="3255">
        <v>312771.46</v>
      </c>
      <c r="L820" s="3256">
        <f>(K820 * G820)</f>
        <v>0</v>
      </c>
      <c r="M820" s="3257">
        <v>437880.04</v>
      </c>
      <c r="N820" s="3258">
        <f>(G820 * M820)</f>
        <v>0</v>
      </c>
      <c r="O820">
        <v>0</v>
      </c>
      <c r="P820">
        <v>0</v>
      </c>
      <c r="Q820">
        <f>IF(O820&gt;G820,(O820-G820),0)</f>
        <v>0</v>
      </c>
      <c r="R820">
        <v>1</v>
      </c>
      <c r="S820">
        <f>IF(Q820&gt;0,Int(P820/Q820),0)</f>
        <v>0</v>
      </c>
      <c r="T820">
        <f>273929.38</f>
        <v>273929.38</v>
      </c>
      <c r="U820" t="s">
        <v>2915</v>
      </c>
      <c r="V820">
        <v>312771.46</v>
      </c>
      <c r="W820" t="s">
        <v>75</v>
      </c>
      <c r="X820"/>
    </row>
    <row r="821" spans="1:27">
      <c r="A821" t="s">
        <v>35</v>
      </c>
      <c r="B821" t="s">
        <v>29</v>
      </c>
      <c r="C821" t="s">
        <v>2916</v>
      </c>
      <c r="D821" t="s">
        <v>2917</v>
      </c>
      <c r="E821" t="s">
        <v>2918</v>
      </c>
      <c r="F821" t="s">
        <v>33</v>
      </c>
      <c r="G821">
        <v>0</v>
      </c>
      <c r="H821">
        <f>((0/1000) * G821)</f>
        <v>0</v>
      </c>
      <c r="I821">
        <v>0</v>
      </c>
      <c r="J821">
        <v>0</v>
      </c>
      <c r="K821" s="3259">
        <v>271054.73</v>
      </c>
      <c r="L821" s="3260">
        <f>(K821 * G821)</f>
        <v>0</v>
      </c>
      <c r="M821" s="3261">
        <v>379476.62</v>
      </c>
      <c r="N821" s="3262">
        <f>(G821 * M821)</f>
        <v>0</v>
      </c>
      <c r="O821">
        <v>0</v>
      </c>
      <c r="P821">
        <v>0</v>
      </c>
      <c r="Q821">
        <f>IF(O821&gt;G821,(O821-G821),0)</f>
        <v>0</v>
      </c>
      <c r="R821">
        <v>1</v>
      </c>
      <c r="S821">
        <f>IF(Q821&gt;0,Int(P821/Q821),0)</f>
        <v>0</v>
      </c>
      <c r="T821">
        <f>251180.81</f>
        <v>251180.81</v>
      </c>
      <c r="U821" t="s">
        <v>2919</v>
      </c>
      <c r="V821">
        <v>271054.73</v>
      </c>
      <c r="W821" t="s">
        <v>182</v>
      </c>
      <c r="X821"/>
    </row>
    <row r="822" spans="1:27">
      <c r="A822" t="s">
        <v>35</v>
      </c>
      <c r="B822" t="s">
        <v>29</v>
      </c>
      <c r="C822" t="s">
        <v>2920</v>
      </c>
      <c r="D822" t="s">
        <v>2921</v>
      </c>
      <c r="E822" t="s">
        <v>2922</v>
      </c>
      <c r="F822" t="s">
        <v>41</v>
      </c>
      <c r="G822">
        <v>0</v>
      </c>
      <c r="H822">
        <f>((0/1000) * G822)</f>
        <v>0</v>
      </c>
      <c r="I822">
        <v>0</v>
      </c>
      <c r="J822">
        <v>0</v>
      </c>
      <c r="K822" s="3263">
        <v>430637.46</v>
      </c>
      <c r="L822" s="3264">
        <f>(K822 * G822)</f>
        <v>0</v>
      </c>
      <c r="M822" s="3265">
        <v>602892.44</v>
      </c>
      <c r="N822" s="3266">
        <f>(G822 * M822)</f>
        <v>0</v>
      </c>
      <c r="O822">
        <v>0</v>
      </c>
      <c r="P822">
        <v>0</v>
      </c>
      <c r="Q822">
        <f>IF(O822&gt;G822,(O822-G822),0)</f>
        <v>0</v>
      </c>
      <c r="R822">
        <v>1</v>
      </c>
      <c r="S822">
        <f>IF(Q822&gt;0,Int(P822/Q822),0)</f>
        <v>0</v>
      </c>
      <c r="T822">
        <f>400661.91</f>
        <v>400661.91</v>
      </c>
      <c r="U822" t="s">
        <v>2923</v>
      </c>
      <c r="V822">
        <v>430637.46</v>
      </c>
      <c r="W822" t="s">
        <v>75</v>
      </c>
      <c r="X822"/>
    </row>
    <row r="823" spans="1:27">
      <c r="A823" t="s">
        <v>35</v>
      </c>
      <c r="B823" t="s">
        <v>29</v>
      </c>
      <c r="C823" t="s">
        <v>2924</v>
      </c>
      <c r="D823" t="s">
        <v>2925</v>
      </c>
      <c r="E823" t="s">
        <v>2926</v>
      </c>
      <c r="F823" t="s">
        <v>33</v>
      </c>
      <c r="G823">
        <v>0</v>
      </c>
      <c r="H823">
        <f>((0/1000) * G823)</f>
        <v>0</v>
      </c>
      <c r="I823">
        <v>0</v>
      </c>
      <c r="J823">
        <v>0</v>
      </c>
      <c r="K823" s="3267">
        <v>116668.26</v>
      </c>
      <c r="L823" s="3268">
        <f>(K823 * G823)</f>
        <v>0</v>
      </c>
      <c r="M823" s="3269">
        <v>163335.56</v>
      </c>
      <c r="N823" s="3270">
        <f>(G823 * M823)</f>
        <v>0</v>
      </c>
      <c r="O823">
        <v>0</v>
      </c>
      <c r="P823">
        <v>0</v>
      </c>
      <c r="Q823">
        <f>IF(O823&gt;G823,(O823-G823),0)</f>
        <v>0</v>
      </c>
      <c r="R823">
        <v>1</v>
      </c>
      <c r="S823">
        <f>IF(Q823&gt;0,Int(P823/Q823),0)</f>
        <v>0</v>
      </c>
      <c r="T823">
        <f>0</f>
        <v>0</v>
      </c>
      <c r="U823"/>
      <c r="V823">
        <v>116668.26</v>
      </c>
      <c r="W823" t="s">
        <v>75</v>
      </c>
      <c r="X823"/>
    </row>
    <row r="824" spans="1:27">
      <c r="A824" t="s">
        <v>35</v>
      </c>
      <c r="B824" t="s">
        <v>29</v>
      </c>
      <c r="C824" t="s">
        <v>2927</v>
      </c>
      <c r="D824" t="s">
        <v>2928</v>
      </c>
      <c r="E824" t="s">
        <v>2929</v>
      </c>
      <c r="F824" t="s">
        <v>33</v>
      </c>
      <c r="G824">
        <v>0</v>
      </c>
      <c r="H824">
        <f>((0/1000) * G824)</f>
        <v>0</v>
      </c>
      <c r="I824">
        <v>0</v>
      </c>
      <c r="J824">
        <v>0</v>
      </c>
      <c r="K824" s="3271">
        <v>60134.58</v>
      </c>
      <c r="L824" s="3272">
        <f>(K824 * G824)</f>
        <v>0</v>
      </c>
      <c r="M824" s="3273">
        <v>84188.41</v>
      </c>
      <c r="N824" s="3274">
        <f>(G824 * M824)</f>
        <v>0</v>
      </c>
      <c r="O824">
        <v>0</v>
      </c>
      <c r="P824">
        <v>0</v>
      </c>
      <c r="Q824">
        <f>IF(O824&gt;G824,(O824-G824),0)</f>
        <v>0</v>
      </c>
      <c r="R824">
        <v>1</v>
      </c>
      <c r="S824">
        <f>IF(Q824&gt;0,Int(P824/Q824),0)</f>
        <v>0</v>
      </c>
      <c r="T824">
        <f>0</f>
        <v>0</v>
      </c>
      <c r="U824"/>
      <c r="V824">
        <v>60134.58</v>
      </c>
      <c r="W824" t="s">
        <v>75</v>
      </c>
      <c r="X824"/>
    </row>
    <row r="825" spans="1:27">
      <c r="A825" t="s">
        <v>35</v>
      </c>
      <c r="B825" t="s">
        <v>29</v>
      </c>
      <c r="C825" t="s">
        <v>2930</v>
      </c>
      <c r="D825" t="s">
        <v>2931</v>
      </c>
      <c r="E825" t="s">
        <v>2932</v>
      </c>
      <c r="F825" t="s">
        <v>33</v>
      </c>
      <c r="G825">
        <v>0</v>
      </c>
      <c r="H825">
        <f>((0/1000) * G825)</f>
        <v>0</v>
      </c>
      <c r="I825">
        <v>0</v>
      </c>
      <c r="J825">
        <v>0</v>
      </c>
      <c r="K825" s="3275">
        <v>58063.21</v>
      </c>
      <c r="L825" s="3276">
        <f>(K825 * G825)</f>
        <v>0</v>
      </c>
      <c r="M825" s="3277">
        <v>81288.49</v>
      </c>
      <c r="N825" s="3278">
        <f>(G825 * M825)</f>
        <v>0</v>
      </c>
      <c r="O825">
        <v>0</v>
      </c>
      <c r="P825">
        <v>0</v>
      </c>
      <c r="Q825">
        <f>IF(O825&gt;G825,(O825-G825),0)</f>
        <v>0</v>
      </c>
      <c r="R825">
        <v>1</v>
      </c>
      <c r="S825">
        <f>IF(Q825&gt;0,Int(P825/Q825),0)</f>
        <v>0</v>
      </c>
      <c r="T825">
        <f>0</f>
        <v>0</v>
      </c>
      <c r="U825"/>
      <c r="V825">
        <v>58063.21</v>
      </c>
      <c r="W825" t="s">
        <v>75</v>
      </c>
      <c r="X825"/>
    </row>
    <row r="826" spans="1:27">
      <c r="A826" t="s">
        <v>35</v>
      </c>
      <c r="B826" t="s">
        <v>29</v>
      </c>
      <c r="C826" t="s">
        <v>2933</v>
      </c>
      <c r="D826" t="s">
        <v>2934</v>
      </c>
      <c r="E826" t="s">
        <v>2935</v>
      </c>
      <c r="F826" t="s">
        <v>33</v>
      </c>
      <c r="G826">
        <v>0</v>
      </c>
      <c r="H826">
        <f>((0/1000) * G826)</f>
        <v>0</v>
      </c>
      <c r="I826">
        <v>0</v>
      </c>
      <c r="J826">
        <v>0</v>
      </c>
      <c r="K826" s="3279">
        <v>58063.21</v>
      </c>
      <c r="L826" s="3280">
        <f>(K826 * G826)</f>
        <v>0</v>
      </c>
      <c r="M826" s="3281">
        <v>81288.49</v>
      </c>
      <c r="N826" s="3282">
        <f>(G826 * M826)</f>
        <v>0</v>
      </c>
      <c r="O826">
        <v>0</v>
      </c>
      <c r="P826">
        <v>0</v>
      </c>
      <c r="Q826">
        <f>IF(O826&gt;G826,(O826-G826),0)</f>
        <v>0</v>
      </c>
      <c r="R826">
        <v>1</v>
      </c>
      <c r="S826">
        <f>IF(Q826&gt;0,Int(P826/Q826),0)</f>
        <v>0</v>
      </c>
      <c r="T826">
        <f>0</f>
        <v>0</v>
      </c>
      <c r="U826"/>
      <c r="V826">
        <v>58063.21</v>
      </c>
      <c r="W826" t="s">
        <v>75</v>
      </c>
      <c r="X826"/>
    </row>
    <row r="827" spans="1:27">
      <c r="A827" t="s">
        <v>35</v>
      </c>
      <c r="B827" t="s">
        <v>29</v>
      </c>
      <c r="C827" t="s">
        <v>2936</v>
      </c>
      <c r="D827" t="s">
        <v>2937</v>
      </c>
      <c r="E827" t="s">
        <v>2938</v>
      </c>
      <c r="F827" t="s">
        <v>41</v>
      </c>
      <c r="G827">
        <v>0</v>
      </c>
      <c r="H827">
        <f>((0/1000) * G827)</f>
        <v>0</v>
      </c>
      <c r="I827">
        <v>0</v>
      </c>
      <c r="J827">
        <v>0</v>
      </c>
      <c r="K827" s="3283">
        <v>473937.24</v>
      </c>
      <c r="L827" s="3284">
        <f>(K827 * G827)</f>
        <v>0</v>
      </c>
      <c r="M827" s="3285">
        <v>663512.14</v>
      </c>
      <c r="N827" s="3286">
        <f>(G827 * M827)</f>
        <v>0</v>
      </c>
      <c r="O827">
        <v>0</v>
      </c>
      <c r="P827">
        <v>0</v>
      </c>
      <c r="Q827">
        <f>IF(O827&gt;G827,(O827-G827),0)</f>
        <v>0</v>
      </c>
      <c r="R827">
        <v>0</v>
      </c>
      <c r="S827">
        <f>IF(Q827&gt;0,Int(P827/Q827),0)</f>
        <v>0</v>
      </c>
      <c r="T827">
        <f>0</f>
        <v>0</v>
      </c>
      <c r="U827"/>
      <c r="V827">
        <v>473937.24</v>
      </c>
      <c r="W827" t="s">
        <v>182</v>
      </c>
      <c r="X827"/>
    </row>
    <row r="828" spans="1:27">
      <c r="A828" t="s">
        <v>35</v>
      </c>
      <c r="B828" t="s">
        <v>29</v>
      </c>
      <c r="C828" t="s">
        <v>2939</v>
      </c>
      <c r="D828" t="s">
        <v>2940</v>
      </c>
      <c r="E828" t="s">
        <v>2941</v>
      </c>
      <c r="F828" t="s">
        <v>33</v>
      </c>
      <c r="G828">
        <v>0</v>
      </c>
      <c r="H828">
        <f>((0/1000) * G828)</f>
        <v>0</v>
      </c>
      <c r="I828">
        <v>0</v>
      </c>
      <c r="J828">
        <v>0</v>
      </c>
      <c r="K828" s="3287">
        <v>388325.07</v>
      </c>
      <c r="L828" s="3288">
        <f>(K828 * G828)</f>
        <v>0</v>
      </c>
      <c r="M828" s="3289">
        <v>543655.1</v>
      </c>
      <c r="N828" s="3290">
        <f>(G828 * M828)</f>
        <v>0</v>
      </c>
      <c r="O828">
        <v>0</v>
      </c>
      <c r="P828">
        <v>0</v>
      </c>
      <c r="Q828">
        <f>IF(O828&gt;G828,(O828-G828),0)</f>
        <v>0</v>
      </c>
      <c r="R828">
        <v>1</v>
      </c>
      <c r="S828">
        <f>IF(Q828&gt;0,Int(P828/Q828),0)</f>
        <v>0</v>
      </c>
      <c r="T828">
        <f>0</f>
        <v>0</v>
      </c>
      <c r="U828"/>
      <c r="V828">
        <v>388325.07</v>
      </c>
      <c r="W828" t="s">
        <v>75</v>
      </c>
      <c r="X828"/>
    </row>
    <row r="829" spans="1:27">
      <c r="A829" t="s">
        <v>28</v>
      </c>
      <c r="B829" t="s">
        <v>29</v>
      </c>
      <c r="C829" t="s">
        <v>2942</v>
      </c>
      <c r="D829" t="s">
        <v>2943</v>
      </c>
      <c r="E829" t="s">
        <v>2944</v>
      </c>
      <c r="F829" t="s">
        <v>33</v>
      </c>
      <c r="G829">
        <v>0</v>
      </c>
      <c r="H829">
        <f>((0/1000) * G829)</f>
        <v>0</v>
      </c>
      <c r="I829">
        <v>0</v>
      </c>
      <c r="J829">
        <v>0</v>
      </c>
      <c r="K829" s="3291">
        <v>151202.07</v>
      </c>
      <c r="L829" s="3292">
        <f>(K829 * G829)</f>
        <v>0</v>
      </c>
      <c r="M829" s="3293">
        <v>211682.9</v>
      </c>
      <c r="N829" s="3294">
        <f>(G829 * M829)</f>
        <v>0</v>
      </c>
      <c r="O829">
        <v>0</v>
      </c>
      <c r="P829">
        <v>0</v>
      </c>
      <c r="Q829">
        <f>IF(O829&gt;G829,(O829-G829),0)</f>
        <v>0</v>
      </c>
      <c r="R829">
        <v>0</v>
      </c>
      <c r="S829">
        <f>IF(Q829&gt;0,Int(P829/Q829),0)</f>
        <v>0</v>
      </c>
      <c r="T829">
        <f>0</f>
        <v>0</v>
      </c>
      <c r="U829"/>
      <c r="V829">
        <v>151202.07</v>
      </c>
      <c r="W829" t="s">
        <v>148</v>
      </c>
      <c r="X829"/>
    </row>
    <row r="830" spans="1:27">
      <c r="A830" t="s">
        <v>35</v>
      </c>
      <c r="B830" t="s">
        <v>29</v>
      </c>
      <c r="C830" t="s">
        <v>2945</v>
      </c>
      <c r="D830" t="s">
        <v>2946</v>
      </c>
      <c r="E830" t="s">
        <v>2947</v>
      </c>
      <c r="F830" t="s">
        <v>41</v>
      </c>
      <c r="G830">
        <v>0</v>
      </c>
      <c r="H830">
        <f>((0/1000) * G830)</f>
        <v>0</v>
      </c>
      <c r="I830">
        <v>0</v>
      </c>
      <c r="J830">
        <v>0</v>
      </c>
      <c r="K830" s="3295">
        <v>394948.02</v>
      </c>
      <c r="L830" s="3296">
        <f>(K830 * G830)</f>
        <v>0</v>
      </c>
      <c r="M830" s="3297">
        <v>552927.23</v>
      </c>
      <c r="N830" s="3298">
        <f>(G830 * M830)</f>
        <v>0</v>
      </c>
      <c r="O830">
        <v>0</v>
      </c>
      <c r="P830">
        <v>0</v>
      </c>
      <c r="Q830">
        <f>IF(O830&gt;G830,(O830-G830),0)</f>
        <v>0</v>
      </c>
      <c r="R830">
        <v>0</v>
      </c>
      <c r="S830">
        <f>IF(Q830&gt;0,Int(P830/Q830),0)</f>
        <v>0</v>
      </c>
      <c r="T830">
        <f>0</f>
        <v>0</v>
      </c>
      <c r="U830"/>
      <c r="V830">
        <v>394948.02</v>
      </c>
      <c r="W830" t="s">
        <v>182</v>
      </c>
      <c r="X830"/>
    </row>
    <row r="831" spans="1:27">
      <c r="A831" t="s">
        <v>35</v>
      </c>
      <c r="B831" t="s">
        <v>29</v>
      </c>
      <c r="C831" t="s">
        <v>2948</v>
      </c>
      <c r="D831" t="s">
        <v>2948</v>
      </c>
      <c r="E831" t="s">
        <v>2949</v>
      </c>
      <c r="F831" t="s">
        <v>33</v>
      </c>
      <c r="G831">
        <v>0</v>
      </c>
      <c r="H831">
        <f>((1/1000) * G831)</f>
        <v>0</v>
      </c>
      <c r="I831">
        <v>0</v>
      </c>
      <c r="J831">
        <v>0</v>
      </c>
      <c r="K831" s="3299">
        <v>0</v>
      </c>
      <c r="L831" s="3300">
        <f>(K831 * G831)</f>
        <v>0</v>
      </c>
      <c r="M831" s="3301">
        <v>0</v>
      </c>
      <c r="N831" s="3302">
        <f>(G831 * M831)</f>
        <v>0</v>
      </c>
      <c r="O831">
        <v>0</v>
      </c>
      <c r="P831">
        <v>0</v>
      </c>
      <c r="Q831">
        <f>IF(O831&gt;G831,(O831-G831),0)</f>
        <v>0</v>
      </c>
      <c r="R831">
        <v>0</v>
      </c>
      <c r="S831">
        <f>IF(Q831&gt;0,Int(P831/Q831),0)</f>
        <v>0</v>
      </c>
      <c r="T831">
        <f>0</f>
        <v>0</v>
      </c>
      <c r="U831"/>
      <c r="V831">
        <v>0</v>
      </c>
      <c r="W831">
        <v>0</v>
      </c>
      <c r="X831"/>
    </row>
    <row r="832" spans="1:27">
      <c r="A832" t="s">
        <v>35</v>
      </c>
      <c r="B832" t="s">
        <v>29</v>
      </c>
      <c r="C832" t="s">
        <v>2950</v>
      </c>
      <c r="D832" t="s">
        <v>2950</v>
      </c>
      <c r="E832" t="s">
        <v>2951</v>
      </c>
      <c r="F832" t="s">
        <v>33</v>
      </c>
      <c r="G832">
        <v>0</v>
      </c>
      <c r="H832">
        <f>((1/1000) * G832)</f>
        <v>0</v>
      </c>
      <c r="I832">
        <v>0</v>
      </c>
      <c r="J832">
        <v>0</v>
      </c>
      <c r="K832" s="3303">
        <v>0</v>
      </c>
      <c r="L832" s="3304">
        <f>(K832 * G832)</f>
        <v>0</v>
      </c>
      <c r="M832" s="3305">
        <v>0</v>
      </c>
      <c r="N832" s="3306">
        <f>(G832 * M832)</f>
        <v>0</v>
      </c>
      <c r="O832">
        <v>0</v>
      </c>
      <c r="P832">
        <v>0</v>
      </c>
      <c r="Q832">
        <f>IF(O832&gt;G832,(O832-G832),0)</f>
        <v>0</v>
      </c>
      <c r="R832">
        <v>0</v>
      </c>
      <c r="S832">
        <f>IF(Q832&gt;0,Int(P832/Q832),0)</f>
        <v>0</v>
      </c>
      <c r="T832">
        <f>0</f>
        <v>0</v>
      </c>
      <c r="U832"/>
      <c r="V832">
        <v>0</v>
      </c>
      <c r="W832">
        <v>0</v>
      </c>
      <c r="X832"/>
    </row>
    <row r="833" spans="1:27">
      <c r="A833" t="s">
        <v>35</v>
      </c>
      <c r="B833" t="s">
        <v>29</v>
      </c>
      <c r="C833" t="s">
        <v>2952</v>
      </c>
      <c r="D833" t="s">
        <v>2953</v>
      </c>
      <c r="E833" t="s">
        <v>2954</v>
      </c>
      <c r="F833" t="s">
        <v>33</v>
      </c>
      <c r="G833">
        <v>0</v>
      </c>
      <c r="H833">
        <f>((0/1000) * G833)</f>
        <v>0</v>
      </c>
      <c r="I833">
        <v>0</v>
      </c>
      <c r="J833">
        <v>0</v>
      </c>
      <c r="K833" s="3307">
        <v>62124.99</v>
      </c>
      <c r="L833" s="3308">
        <f>(K833 * G833)</f>
        <v>0</v>
      </c>
      <c r="M833" s="3309">
        <v>86974.98</v>
      </c>
      <c r="N833" s="3310">
        <f>(G833 * M833)</f>
        <v>0</v>
      </c>
      <c r="O833">
        <v>0</v>
      </c>
      <c r="P833">
        <v>0</v>
      </c>
      <c r="Q833">
        <f>IF(O833&gt;G833,(O833-G833),0)</f>
        <v>0</v>
      </c>
      <c r="R833">
        <v>1</v>
      </c>
      <c r="S833">
        <f>IF(Q833&gt;0,Int(P833/Q833),0)</f>
        <v>0</v>
      </c>
      <c r="T833">
        <f>0</f>
        <v>0</v>
      </c>
      <c r="U833"/>
      <c r="V833">
        <v>62124.99</v>
      </c>
      <c r="W833" t="s">
        <v>75</v>
      </c>
      <c r="X833"/>
    </row>
    <row r="834" spans="1:27">
      <c r="A834" t="s">
        <v>35</v>
      </c>
      <c r="B834" t="s">
        <v>29</v>
      </c>
      <c r="C834" t="s">
        <v>2955</v>
      </c>
      <c r="D834" t="s">
        <v>2956</v>
      </c>
      <c r="E834" t="s">
        <v>2957</v>
      </c>
      <c r="F834" t="s">
        <v>41</v>
      </c>
      <c r="G834">
        <v>2</v>
      </c>
      <c r="H834">
        <f>((0/1000) * G834)</f>
        <v>0</v>
      </c>
      <c r="I834">
        <v>2</v>
      </c>
      <c r="J834">
        <v>0</v>
      </c>
      <c r="K834" s="3311">
        <v>108909.09</v>
      </c>
      <c r="L834" s="3312">
        <f>(K834 * G834)</f>
        <v>217818.18</v>
      </c>
      <c r="M834" s="3313">
        <v>152472.73</v>
      </c>
      <c r="N834" s="3314">
        <f>(G834 * M834)</f>
        <v>304945.46</v>
      </c>
      <c r="O834">
        <v>0</v>
      </c>
      <c r="P834">
        <v>0</v>
      </c>
      <c r="Q834">
        <f>IF(O834&gt;G834,(O834-G834),0)</f>
        <v>0</v>
      </c>
      <c r="R834">
        <v>1</v>
      </c>
      <c r="S834">
        <f>IF(Q834&gt;0,Int(P834/Q834),0)</f>
        <v>0</v>
      </c>
      <c r="T834">
        <f>90007.51</f>
        <v>90007.51</v>
      </c>
      <c r="U834" t="s">
        <v>2958</v>
      </c>
      <c r="V834">
        <v>108909.09</v>
      </c>
      <c r="W834" t="s">
        <v>75</v>
      </c>
      <c r="X834"/>
    </row>
    <row r="835" spans="1:27">
      <c r="A835" t="s">
        <v>35</v>
      </c>
      <c r="B835" t="s">
        <v>29</v>
      </c>
      <c r="C835" t="s">
        <v>2959</v>
      </c>
      <c r="D835" t="s">
        <v>2960</v>
      </c>
      <c r="E835" t="s">
        <v>2961</v>
      </c>
      <c r="F835" t="s">
        <v>33</v>
      </c>
      <c r="G835">
        <v>0</v>
      </c>
      <c r="H835">
        <f>((0/1000) * G835)</f>
        <v>0</v>
      </c>
      <c r="I835">
        <v>0</v>
      </c>
      <c r="J835">
        <v>0</v>
      </c>
      <c r="K835" s="3315">
        <v>63388.71</v>
      </c>
      <c r="L835" s="3316">
        <f>(K835 * G835)</f>
        <v>0</v>
      </c>
      <c r="M835" s="3317">
        <v>88744.2</v>
      </c>
      <c r="N835" s="3318">
        <f>(G835 * M835)</f>
        <v>0</v>
      </c>
      <c r="O835">
        <v>0</v>
      </c>
      <c r="P835">
        <v>0</v>
      </c>
      <c r="Q835">
        <f>IF(O835&gt;G835,(O835-G835),0)</f>
        <v>0</v>
      </c>
      <c r="R835">
        <v>1</v>
      </c>
      <c r="S835">
        <f>IF(Q835&gt;0,Int(P835/Q835),0)</f>
        <v>0</v>
      </c>
      <c r="T835">
        <f>0</f>
        <v>0</v>
      </c>
      <c r="U835"/>
      <c r="V835">
        <v>63388.71</v>
      </c>
      <c r="W835" t="s">
        <v>75</v>
      </c>
      <c r="X835"/>
    </row>
    <row r="836" spans="1:27">
      <c r="A836" t="s">
        <v>35</v>
      </c>
      <c r="B836" t="s">
        <v>29</v>
      </c>
      <c r="C836" t="s">
        <v>2962</v>
      </c>
      <c r="D836" t="s">
        <v>2963</v>
      </c>
      <c r="E836" t="s">
        <v>2964</v>
      </c>
      <c r="F836" t="s">
        <v>41</v>
      </c>
      <c r="G836">
        <v>0</v>
      </c>
      <c r="H836">
        <f>((0/1000) * G836)</f>
        <v>0</v>
      </c>
      <c r="I836">
        <v>0</v>
      </c>
      <c r="J836">
        <v>0</v>
      </c>
      <c r="K836" s="3319">
        <v>242000</v>
      </c>
      <c r="L836" s="3320">
        <f>(K836 * G836)</f>
        <v>0</v>
      </c>
      <c r="M836" s="3321">
        <v>338800</v>
      </c>
      <c r="N836" s="3322">
        <f>(G836 * M836)</f>
        <v>0</v>
      </c>
      <c r="O836">
        <v>0</v>
      </c>
      <c r="P836">
        <v>0</v>
      </c>
      <c r="Q836">
        <f>IF(O836&gt;G836,(O836-G836),0)</f>
        <v>0</v>
      </c>
      <c r="R836">
        <v>1</v>
      </c>
      <c r="S836">
        <f>IF(Q836&gt;0,Int(P836/Q836),0)</f>
        <v>0</v>
      </c>
      <c r="T836">
        <f>0</f>
        <v>0</v>
      </c>
      <c r="U836" t="s">
        <v>2965</v>
      </c>
      <c r="V836">
        <v>242000</v>
      </c>
      <c r="W836" t="s">
        <v>75</v>
      </c>
      <c r="X836"/>
    </row>
    <row r="837" spans="1:27">
      <c r="A837" t="s">
        <v>35</v>
      </c>
      <c r="B837" t="s">
        <v>29</v>
      </c>
      <c r="C837" t="s">
        <v>2966</v>
      </c>
      <c r="D837" t="s">
        <v>2967</v>
      </c>
      <c r="E837" t="s">
        <v>2968</v>
      </c>
      <c r="F837" t="s">
        <v>33</v>
      </c>
      <c r="G837">
        <v>0</v>
      </c>
      <c r="H837">
        <f>((0/1000) * G837)</f>
        <v>0</v>
      </c>
      <c r="I837">
        <v>0</v>
      </c>
      <c r="J837">
        <v>0</v>
      </c>
      <c r="K837" s="3323">
        <v>272211.79</v>
      </c>
      <c r="L837" s="3324">
        <f>(K837 * G837)</f>
        <v>0</v>
      </c>
      <c r="M837" s="3325">
        <v>381096.51</v>
      </c>
      <c r="N837" s="3326">
        <f>(G837 * M837)</f>
        <v>0</v>
      </c>
      <c r="O837">
        <v>0</v>
      </c>
      <c r="P837">
        <v>0</v>
      </c>
      <c r="Q837">
        <f>IF(O837&gt;G837,(O837-G837),0)</f>
        <v>0</v>
      </c>
      <c r="R837">
        <v>1</v>
      </c>
      <c r="S837">
        <f>IF(Q837&gt;0,Int(P837/Q837),0)</f>
        <v>0</v>
      </c>
      <c r="T837">
        <f>0</f>
        <v>0</v>
      </c>
      <c r="U837"/>
      <c r="V837">
        <v>272211.79</v>
      </c>
      <c r="W837" t="s">
        <v>182</v>
      </c>
      <c r="X837"/>
    </row>
    <row r="838" spans="1:27">
      <c r="A838" t="s">
        <v>35</v>
      </c>
      <c r="B838" t="s">
        <v>29</v>
      </c>
      <c r="C838" t="s">
        <v>2969</v>
      </c>
      <c r="D838" t="s">
        <v>2970</v>
      </c>
      <c r="E838" t="s">
        <v>2971</v>
      </c>
      <c r="F838" t="s">
        <v>33</v>
      </c>
      <c r="G838">
        <v>0</v>
      </c>
      <c r="H838">
        <f>((0/1000) * G838)</f>
        <v>0</v>
      </c>
      <c r="I838">
        <v>0</v>
      </c>
      <c r="J838">
        <v>0</v>
      </c>
      <c r="K838" s="3327">
        <v>43759.97</v>
      </c>
      <c r="L838" s="3328">
        <f>(K838 * G838)</f>
        <v>0</v>
      </c>
      <c r="M838" s="3329">
        <v>61263.95</v>
      </c>
      <c r="N838" s="3330">
        <f>(G838 * M838)</f>
        <v>0</v>
      </c>
      <c r="O838">
        <v>0</v>
      </c>
      <c r="P838">
        <v>0</v>
      </c>
      <c r="Q838">
        <f>IF(O838&gt;G838,(O838-G838),0)</f>
        <v>0</v>
      </c>
      <c r="R838">
        <v>1</v>
      </c>
      <c r="S838">
        <f>IF(Q838&gt;0,Int(P838/Q838),0)</f>
        <v>0</v>
      </c>
      <c r="T838">
        <f>39781.79</f>
        <v>39781.79</v>
      </c>
      <c r="U838" t="s">
        <v>2972</v>
      </c>
      <c r="V838">
        <v>43759.97</v>
      </c>
      <c r="W838" t="s">
        <v>75</v>
      </c>
      <c r="X838"/>
    </row>
    <row r="839" spans="1:27">
      <c r="A839" t="s">
        <v>35</v>
      </c>
      <c r="B839" t="s">
        <v>29</v>
      </c>
      <c r="C839" t="s">
        <v>2973</v>
      </c>
      <c r="D839" t="s">
        <v>2974</v>
      </c>
      <c r="E839" t="s">
        <v>2975</v>
      </c>
      <c r="F839" t="s">
        <v>41</v>
      </c>
      <c r="G839">
        <v>0</v>
      </c>
      <c r="H839">
        <f>((0/1000) * G839)</f>
        <v>0</v>
      </c>
      <c r="I839">
        <v>0</v>
      </c>
      <c r="J839">
        <v>0</v>
      </c>
      <c r="K839" s="3331">
        <v>19818.56</v>
      </c>
      <c r="L839" s="3332">
        <f>(K839 * G839)</f>
        <v>0</v>
      </c>
      <c r="M839" s="3333">
        <v>21800.42</v>
      </c>
      <c r="N839" s="3334">
        <f>(G839 * M839)</f>
        <v>0</v>
      </c>
      <c r="O839">
        <v>0</v>
      </c>
      <c r="P839">
        <v>0</v>
      </c>
      <c r="Q839">
        <f>IF(O839&gt;G839,(O839-G839),0)</f>
        <v>0</v>
      </c>
      <c r="R839">
        <v>1</v>
      </c>
      <c r="S839">
        <f>IF(Q839&gt;0,Int(P839/Q839),0)</f>
        <v>0</v>
      </c>
      <c r="T839">
        <f>0</f>
        <v>0</v>
      </c>
      <c r="U839"/>
      <c r="V839">
        <v>19818.56</v>
      </c>
      <c r="W839" t="s">
        <v>43</v>
      </c>
      <c r="X839"/>
    </row>
    <row r="840" spans="1:27">
      <c r="A840" t="s">
        <v>35</v>
      </c>
      <c r="B840" t="s">
        <v>29</v>
      </c>
      <c r="C840" t="s">
        <v>2976</v>
      </c>
      <c r="D840" t="s">
        <v>2977</v>
      </c>
      <c r="E840" t="s">
        <v>2978</v>
      </c>
      <c r="F840" t="s">
        <v>41</v>
      </c>
      <c r="G840">
        <v>1</v>
      </c>
      <c r="H840">
        <f>((0/1000) * G840)</f>
        <v>0</v>
      </c>
      <c r="I840">
        <v>0</v>
      </c>
      <c r="J840">
        <v>1</v>
      </c>
      <c r="K840" s="3335">
        <v>429363.64</v>
      </c>
      <c r="L840" s="3336">
        <f>(K840 * G840)</f>
        <v>429363.64</v>
      </c>
      <c r="M840" s="3337">
        <v>601109.1</v>
      </c>
      <c r="N840" s="3338">
        <f>(G840 * M840)</f>
        <v>601109.1</v>
      </c>
      <c r="O840">
        <v>0</v>
      </c>
      <c r="P840">
        <v>0</v>
      </c>
      <c r="Q840">
        <f>IF(O840&gt;G840,(O840-G840),0)</f>
        <v>0</v>
      </c>
      <c r="R840">
        <v>1</v>
      </c>
      <c r="S840">
        <f>IF(Q840&gt;0,Int(P840/Q840),0)</f>
        <v>0</v>
      </c>
      <c r="T840">
        <f>429363.64</f>
        <v>429363.64</v>
      </c>
      <c r="U840" t="s">
        <v>2979</v>
      </c>
      <c r="V840">
        <v>429363.64</v>
      </c>
      <c r="W840" t="s">
        <v>75</v>
      </c>
      <c r="X840"/>
    </row>
    <row r="841" spans="1:27">
      <c r="A841" t="s">
        <v>35</v>
      </c>
      <c r="B841" t="s">
        <v>29</v>
      </c>
      <c r="C841" t="s">
        <v>2980</v>
      </c>
      <c r="D841" t="s">
        <v>2981</v>
      </c>
      <c r="E841" t="s">
        <v>2982</v>
      </c>
      <c r="F841" t="s">
        <v>33</v>
      </c>
      <c r="G841">
        <v>0</v>
      </c>
      <c r="H841">
        <f>((0/1000) * G841)</f>
        <v>0</v>
      </c>
      <c r="I841">
        <v>0</v>
      </c>
      <c r="J841">
        <v>0</v>
      </c>
      <c r="K841" s="3339">
        <v>398068.36</v>
      </c>
      <c r="L841" s="3340">
        <f>(K841 * G841)</f>
        <v>0</v>
      </c>
      <c r="M841" s="3341">
        <v>557295.7</v>
      </c>
      <c r="N841" s="3342">
        <f>(G841 * M841)</f>
        <v>0</v>
      </c>
      <c r="O841">
        <v>0</v>
      </c>
      <c r="P841">
        <v>0</v>
      </c>
      <c r="Q841">
        <f>IF(O841&gt;G841,(O841-G841),0)</f>
        <v>0</v>
      </c>
      <c r="R841">
        <v>1</v>
      </c>
      <c r="S841">
        <f>IF(Q841&gt;0,Int(P841/Q841),0)</f>
        <v>0</v>
      </c>
      <c r="T841">
        <f>0</f>
        <v>0</v>
      </c>
      <c r="U841"/>
      <c r="V841">
        <v>398068.36</v>
      </c>
      <c r="W841" t="s">
        <v>75</v>
      </c>
      <c r="X841"/>
    </row>
    <row r="842" spans="1:27">
      <c r="A842" t="s">
        <v>35</v>
      </c>
      <c r="B842" t="s">
        <v>29</v>
      </c>
      <c r="C842" t="s">
        <v>2983</v>
      </c>
      <c r="D842" t="s">
        <v>2984</v>
      </c>
      <c r="E842" t="s">
        <v>2985</v>
      </c>
      <c r="F842" t="s">
        <v>33</v>
      </c>
      <c r="G842">
        <v>0</v>
      </c>
      <c r="H842">
        <f>((0/1000) * G842)</f>
        <v>0</v>
      </c>
      <c r="I842">
        <v>0</v>
      </c>
      <c r="J842">
        <v>0</v>
      </c>
      <c r="K842" s="3343">
        <v>60914.81</v>
      </c>
      <c r="L842" s="3344">
        <f>(K842 * G842)</f>
        <v>0</v>
      </c>
      <c r="M842" s="3345">
        <v>85280.73</v>
      </c>
      <c r="N842" s="3346">
        <f>(G842 * M842)</f>
        <v>0</v>
      </c>
      <c r="O842">
        <v>0</v>
      </c>
      <c r="P842">
        <v>0</v>
      </c>
      <c r="Q842">
        <f>IF(O842&gt;G842,(O842-G842),0)</f>
        <v>0</v>
      </c>
      <c r="R842">
        <v>1</v>
      </c>
      <c r="S842">
        <f>IF(Q842&gt;0,Int(P842/Q842),0)</f>
        <v>0</v>
      </c>
      <c r="T842">
        <f>0</f>
        <v>0</v>
      </c>
      <c r="U842"/>
      <c r="V842">
        <v>60914.81</v>
      </c>
      <c r="W842" t="s">
        <v>75</v>
      </c>
      <c r="X842"/>
    </row>
    <row r="843" spans="1:27">
      <c r="A843" t="s">
        <v>35</v>
      </c>
      <c r="B843" t="s">
        <v>29</v>
      </c>
      <c r="C843" t="s">
        <v>2986</v>
      </c>
      <c r="D843" t="s">
        <v>2987</v>
      </c>
      <c r="E843" t="s">
        <v>2988</v>
      </c>
      <c r="F843" t="s">
        <v>33</v>
      </c>
      <c r="G843">
        <v>0</v>
      </c>
      <c r="H843">
        <f>((0/1000) * G843)</f>
        <v>0</v>
      </c>
      <c r="I843">
        <v>0</v>
      </c>
      <c r="J843">
        <v>0</v>
      </c>
      <c r="K843" s="3347">
        <v>49412.6</v>
      </c>
      <c r="L843" s="3348">
        <f>(K843 * G843)</f>
        <v>0</v>
      </c>
      <c r="M843" s="3349">
        <v>69177.64</v>
      </c>
      <c r="N843" s="3350">
        <f>(G843 * M843)</f>
        <v>0</v>
      </c>
      <c r="O843">
        <v>0</v>
      </c>
      <c r="P843">
        <v>0</v>
      </c>
      <c r="Q843">
        <f>IF(O843&gt;G843,(O843-G843),0)</f>
        <v>0</v>
      </c>
      <c r="R843">
        <v>1</v>
      </c>
      <c r="S843">
        <f>IF(Q843&gt;0,Int(P843/Q843),0)</f>
        <v>0</v>
      </c>
      <c r="T843">
        <f>0</f>
        <v>0</v>
      </c>
      <c r="U843"/>
      <c r="V843">
        <v>49412.6</v>
      </c>
      <c r="W843" t="s">
        <v>75</v>
      </c>
      <c r="X843"/>
    </row>
    <row r="844" spans="1:27">
      <c r="A844" t="s">
        <v>35</v>
      </c>
      <c r="B844" t="s">
        <v>29</v>
      </c>
      <c r="C844" t="s">
        <v>2989</v>
      </c>
      <c r="D844" t="s">
        <v>2990</v>
      </c>
      <c r="E844" t="s">
        <v>2991</v>
      </c>
      <c r="F844" t="s">
        <v>33</v>
      </c>
      <c r="G844">
        <v>0</v>
      </c>
      <c r="H844">
        <f>((0/1000) * G844)</f>
        <v>0</v>
      </c>
      <c r="I844">
        <v>0</v>
      </c>
      <c r="J844">
        <v>0</v>
      </c>
      <c r="K844" s="3351">
        <v>60924.01</v>
      </c>
      <c r="L844" s="3352">
        <f>(K844 * G844)</f>
        <v>0</v>
      </c>
      <c r="M844" s="3353">
        <v>85293.61</v>
      </c>
      <c r="N844" s="3354">
        <f>(G844 * M844)</f>
        <v>0</v>
      </c>
      <c r="O844">
        <v>0</v>
      </c>
      <c r="P844">
        <v>0</v>
      </c>
      <c r="Q844">
        <f>IF(O844&gt;G844,(O844-G844),0)</f>
        <v>0</v>
      </c>
      <c r="R844">
        <v>1</v>
      </c>
      <c r="S844">
        <f>IF(Q844&gt;0,Int(P844/Q844),0)</f>
        <v>0</v>
      </c>
      <c r="T844">
        <f>0</f>
        <v>0</v>
      </c>
      <c r="U844"/>
      <c r="V844">
        <v>60924.01</v>
      </c>
      <c r="W844" t="s">
        <v>75</v>
      </c>
      <c r="X844"/>
    </row>
    <row r="845" spans="1:27">
      <c r="A845" t="s">
        <v>35</v>
      </c>
      <c r="B845" t="s">
        <v>29</v>
      </c>
      <c r="C845" t="s">
        <v>2992</v>
      </c>
      <c r="D845" t="s">
        <v>2993</v>
      </c>
      <c r="E845" t="s">
        <v>2994</v>
      </c>
      <c r="F845" t="s">
        <v>41</v>
      </c>
      <c r="G845">
        <v>0</v>
      </c>
      <c r="H845">
        <f>((0/1000) * G845)</f>
        <v>0</v>
      </c>
      <c r="I845">
        <v>0</v>
      </c>
      <c r="J845">
        <v>0</v>
      </c>
      <c r="K845" s="3355">
        <v>266942.15</v>
      </c>
      <c r="L845" s="3356">
        <f>(K845 * G845)</f>
        <v>0</v>
      </c>
      <c r="M845" s="3357">
        <v>293636.36</v>
      </c>
      <c r="N845" s="3358">
        <f>(G845 * M845)</f>
        <v>0</v>
      </c>
      <c r="O845">
        <v>0</v>
      </c>
      <c r="P845">
        <v>0</v>
      </c>
      <c r="Q845">
        <f>IF(O845&gt;G845,(O845-G845),0)</f>
        <v>0</v>
      </c>
      <c r="R845">
        <v>1</v>
      </c>
      <c r="S845">
        <f>IF(Q845&gt;0,Int(P845/Q845),0)</f>
        <v>0</v>
      </c>
      <c r="T845">
        <f>183035.31</f>
        <v>183035.31</v>
      </c>
      <c r="U845" t="s">
        <v>2995</v>
      </c>
      <c r="V845">
        <v>266942.15</v>
      </c>
      <c r="W845" t="s">
        <v>43</v>
      </c>
      <c r="X845"/>
    </row>
    <row r="846" spans="1:27">
      <c r="A846" t="s">
        <v>35</v>
      </c>
      <c r="B846" t="s">
        <v>29</v>
      </c>
      <c r="C846" t="s">
        <v>2996</v>
      </c>
      <c r="D846" t="s">
        <v>2997</v>
      </c>
      <c r="E846" t="s">
        <v>2998</v>
      </c>
      <c r="F846" t="s">
        <v>33</v>
      </c>
      <c r="G846">
        <v>0</v>
      </c>
      <c r="H846">
        <f>((0/1000) * G846)</f>
        <v>0</v>
      </c>
      <c r="I846">
        <v>0</v>
      </c>
      <c r="J846">
        <v>0</v>
      </c>
      <c r="K846" s="3359">
        <v>66153.84</v>
      </c>
      <c r="L846" s="3360">
        <f>(K846 * G846)</f>
        <v>0</v>
      </c>
      <c r="M846" s="3361">
        <v>92615.37</v>
      </c>
      <c r="N846" s="3362">
        <f>(G846 * M846)</f>
        <v>0</v>
      </c>
      <c r="O846">
        <v>0</v>
      </c>
      <c r="P846">
        <v>0</v>
      </c>
      <c r="Q846">
        <f>IF(O846&gt;G846,(O846-G846),0)</f>
        <v>0</v>
      </c>
      <c r="R846">
        <v>1</v>
      </c>
      <c r="S846">
        <f>IF(Q846&gt;0,Int(P846/Q846),0)</f>
        <v>0</v>
      </c>
      <c r="T846">
        <f>0</f>
        <v>0</v>
      </c>
      <c r="U846"/>
      <c r="V846">
        <v>66153.84</v>
      </c>
      <c r="W846" t="s">
        <v>75</v>
      </c>
      <c r="X846"/>
    </row>
    <row r="847" spans="1:27">
      <c r="A847" t="s">
        <v>35</v>
      </c>
      <c r="B847" t="s">
        <v>29</v>
      </c>
      <c r="C847" t="s">
        <v>2999</v>
      </c>
      <c r="D847" t="s">
        <v>3000</v>
      </c>
      <c r="E847" t="s">
        <v>3001</v>
      </c>
      <c r="F847" t="s">
        <v>33</v>
      </c>
      <c r="G847">
        <v>0</v>
      </c>
      <c r="H847">
        <f>((0/1000) * G847)</f>
        <v>0</v>
      </c>
      <c r="I847">
        <v>0</v>
      </c>
      <c r="J847">
        <v>0</v>
      </c>
      <c r="K847" s="3363">
        <v>59228.58</v>
      </c>
      <c r="L847" s="3364">
        <f>(K847 * G847)</f>
        <v>0</v>
      </c>
      <c r="M847" s="3365">
        <v>82920.01</v>
      </c>
      <c r="N847" s="3366">
        <f>(G847 * M847)</f>
        <v>0</v>
      </c>
      <c r="O847">
        <v>0</v>
      </c>
      <c r="P847">
        <v>0</v>
      </c>
      <c r="Q847">
        <f>IF(O847&gt;G847,(O847-G847),0)</f>
        <v>0</v>
      </c>
      <c r="R847">
        <v>1</v>
      </c>
      <c r="S847">
        <f>IF(Q847&gt;0,Int(P847/Q847),0)</f>
        <v>0</v>
      </c>
      <c r="T847">
        <f>0</f>
        <v>0</v>
      </c>
      <c r="U847"/>
      <c r="V847">
        <v>59228.58</v>
      </c>
      <c r="W847" t="s">
        <v>75</v>
      </c>
      <c r="X847"/>
    </row>
    <row r="848" spans="1:27">
      <c r="A848" t="s">
        <v>35</v>
      </c>
      <c r="B848" t="s">
        <v>29</v>
      </c>
      <c r="C848" t="s">
        <v>3002</v>
      </c>
      <c r="D848" t="s">
        <v>3003</v>
      </c>
      <c r="E848" t="s">
        <v>3004</v>
      </c>
      <c r="F848" t="s">
        <v>41</v>
      </c>
      <c r="G848">
        <v>0</v>
      </c>
      <c r="H848">
        <f>((0/1000) * G848)</f>
        <v>0</v>
      </c>
      <c r="I848">
        <v>0</v>
      </c>
      <c r="J848">
        <v>0</v>
      </c>
      <c r="K848" s="3367">
        <v>330818.18</v>
      </c>
      <c r="L848" s="3368">
        <f>(K848 * G848)</f>
        <v>0</v>
      </c>
      <c r="M848" s="3369">
        <v>463145.45</v>
      </c>
      <c r="N848" s="3370">
        <f>(G848 * M848)</f>
        <v>0</v>
      </c>
      <c r="O848">
        <v>0</v>
      </c>
      <c r="P848">
        <v>0</v>
      </c>
      <c r="Q848">
        <f>IF(O848&gt;G848,(O848-G848),0)</f>
        <v>0</v>
      </c>
      <c r="R848">
        <v>1</v>
      </c>
      <c r="S848">
        <f>IF(Q848&gt;0,Int(P848/Q848),0)</f>
        <v>0</v>
      </c>
      <c r="T848">
        <f>113974.46</f>
        <v>113974.46</v>
      </c>
      <c r="U848" t="s">
        <v>3005</v>
      </c>
      <c r="V848">
        <v>330818.18</v>
      </c>
      <c r="W848" t="s">
        <v>75</v>
      </c>
      <c r="X848"/>
    </row>
    <row r="849" spans="1:27">
      <c r="A849" t="s">
        <v>35</v>
      </c>
      <c r="B849" t="s">
        <v>29</v>
      </c>
      <c r="C849" t="s">
        <v>3006</v>
      </c>
      <c r="D849" t="s">
        <v>3007</v>
      </c>
      <c r="E849" t="s">
        <v>3008</v>
      </c>
      <c r="F849" t="s">
        <v>33</v>
      </c>
      <c r="G849">
        <v>0</v>
      </c>
      <c r="H849">
        <f>((0/1000) * G849)</f>
        <v>0</v>
      </c>
      <c r="I849">
        <v>0</v>
      </c>
      <c r="J849">
        <v>0</v>
      </c>
      <c r="K849" s="3371">
        <v>309927.28</v>
      </c>
      <c r="L849" s="3372">
        <f>(K849 * G849)</f>
        <v>0</v>
      </c>
      <c r="M849" s="3373">
        <v>433898.19</v>
      </c>
      <c r="N849" s="3374">
        <f>(G849 * M849)</f>
        <v>0</v>
      </c>
      <c r="O849">
        <v>0</v>
      </c>
      <c r="P849">
        <v>0</v>
      </c>
      <c r="Q849">
        <f>IF(O849&gt;G849,(O849-G849),0)</f>
        <v>0</v>
      </c>
      <c r="R849">
        <v>1</v>
      </c>
      <c r="S849">
        <f>IF(Q849&gt;0,Int(P849/Q849),0)</f>
        <v>0</v>
      </c>
      <c r="T849">
        <f>282745.12</f>
        <v>282745.12</v>
      </c>
      <c r="U849" t="s">
        <v>3009</v>
      </c>
      <c r="V849">
        <v>309927.28</v>
      </c>
      <c r="W849" t="s">
        <v>182</v>
      </c>
      <c r="X849"/>
    </row>
    <row r="850" spans="1:27">
      <c r="A850" t="s">
        <v>35</v>
      </c>
      <c r="B850" t="s">
        <v>29</v>
      </c>
      <c r="C850" t="s">
        <v>3010</v>
      </c>
      <c r="D850" t="s">
        <v>3011</v>
      </c>
      <c r="E850" t="s">
        <v>3012</v>
      </c>
      <c r="F850" t="s">
        <v>41</v>
      </c>
      <c r="G850">
        <v>0</v>
      </c>
      <c r="H850">
        <f>((0/1000) * G850)</f>
        <v>0</v>
      </c>
      <c r="I850">
        <v>0</v>
      </c>
      <c r="J850">
        <v>0</v>
      </c>
      <c r="K850" s="3375">
        <v>363909.1</v>
      </c>
      <c r="L850" s="3376">
        <f>(K850 * G850)</f>
        <v>0</v>
      </c>
      <c r="M850" s="3377">
        <v>509472.74</v>
      </c>
      <c r="N850" s="3378">
        <f>(G850 * M850)</f>
        <v>0</v>
      </c>
      <c r="O850">
        <v>0</v>
      </c>
      <c r="P850">
        <v>0</v>
      </c>
      <c r="Q850">
        <f>IF(O850&gt;G850,(O850-G850),0)</f>
        <v>0</v>
      </c>
      <c r="R850">
        <v>0</v>
      </c>
      <c r="S850">
        <f>IF(Q850&gt;0,Int(P850/Q850),0)</f>
        <v>0</v>
      </c>
      <c r="T850">
        <f>0</f>
        <v>0</v>
      </c>
      <c r="U850"/>
      <c r="V850">
        <v>363909.1</v>
      </c>
      <c r="W850" t="s">
        <v>75</v>
      </c>
      <c r="X850"/>
    </row>
    <row r="851" spans="1:27">
      <c r="A851" t="s">
        <v>35</v>
      </c>
      <c r="B851" t="s">
        <v>29</v>
      </c>
      <c r="C851" t="s">
        <v>3013</v>
      </c>
      <c r="D851" t="s">
        <v>3014</v>
      </c>
      <c r="E851" t="s">
        <v>3015</v>
      </c>
      <c r="F851" t="s">
        <v>33</v>
      </c>
      <c r="G851">
        <v>0</v>
      </c>
      <c r="H851">
        <f>((0/1000) * G851)</f>
        <v>0</v>
      </c>
      <c r="I851">
        <v>0</v>
      </c>
      <c r="J851">
        <v>0</v>
      </c>
      <c r="K851" s="3379">
        <v>47760.14</v>
      </c>
      <c r="L851" s="3380">
        <f>(K851 * G851)</f>
        <v>0</v>
      </c>
      <c r="M851" s="3381">
        <v>66864.19</v>
      </c>
      <c r="N851" s="3382">
        <f>(G851 * M851)</f>
        <v>0</v>
      </c>
      <c r="O851">
        <v>0</v>
      </c>
      <c r="P851">
        <v>0</v>
      </c>
      <c r="Q851">
        <f>IF(O851&gt;G851,(O851-G851),0)</f>
        <v>0</v>
      </c>
      <c r="R851">
        <v>1</v>
      </c>
      <c r="S851">
        <f>IF(Q851&gt;0,Int(P851/Q851),0)</f>
        <v>0</v>
      </c>
      <c r="T851">
        <f>0</f>
        <v>0</v>
      </c>
      <c r="U851"/>
      <c r="V851">
        <v>47760.14</v>
      </c>
      <c r="W851" t="s">
        <v>75</v>
      </c>
      <c r="X851"/>
    </row>
    <row r="852" spans="1:27">
      <c r="A852" t="s">
        <v>35</v>
      </c>
      <c r="B852" t="s">
        <v>29</v>
      </c>
      <c r="C852" t="s">
        <v>3016</v>
      </c>
      <c r="D852" t="s">
        <v>3017</v>
      </c>
      <c r="E852" t="s">
        <v>3018</v>
      </c>
      <c r="F852" t="s">
        <v>33</v>
      </c>
      <c r="G852">
        <v>0</v>
      </c>
      <c r="H852">
        <f>((0/1000) * G852)</f>
        <v>0</v>
      </c>
      <c r="I852">
        <v>0</v>
      </c>
      <c r="J852">
        <v>0</v>
      </c>
      <c r="K852" s="3383">
        <v>49412.6</v>
      </c>
      <c r="L852" s="3384">
        <f>(K852 * G852)</f>
        <v>0</v>
      </c>
      <c r="M852" s="3385">
        <v>69177.64</v>
      </c>
      <c r="N852" s="3386">
        <f>(G852 * M852)</f>
        <v>0</v>
      </c>
      <c r="O852">
        <v>0</v>
      </c>
      <c r="P852">
        <v>0</v>
      </c>
      <c r="Q852">
        <f>IF(O852&gt;G852,(O852-G852),0)</f>
        <v>0</v>
      </c>
      <c r="R852">
        <v>1</v>
      </c>
      <c r="S852">
        <f>IF(Q852&gt;0,Int(P852/Q852),0)</f>
        <v>0</v>
      </c>
      <c r="T852">
        <f>0</f>
        <v>0</v>
      </c>
      <c r="U852"/>
      <c r="V852">
        <v>49412.6</v>
      </c>
      <c r="W852" t="s">
        <v>75</v>
      </c>
      <c r="X852"/>
    </row>
    <row r="853" spans="1:27">
      <c r="A853" t="s">
        <v>28</v>
      </c>
      <c r="B853" t="s">
        <v>29</v>
      </c>
      <c r="C853" t="s">
        <v>3019</v>
      </c>
      <c r="D853" t="s">
        <v>3020</v>
      </c>
      <c r="E853" t="s">
        <v>3021</v>
      </c>
      <c r="F853" t="s">
        <v>41</v>
      </c>
      <c r="G853">
        <v>0</v>
      </c>
      <c r="H853">
        <f>((0/1000) * G853)</f>
        <v>0</v>
      </c>
      <c r="I853">
        <v>0</v>
      </c>
      <c r="J853">
        <v>0</v>
      </c>
      <c r="K853" s="3387">
        <v>163636.36</v>
      </c>
      <c r="L853" s="3388">
        <f>(K853 * G853)</f>
        <v>0</v>
      </c>
      <c r="M853" s="3389">
        <v>180000</v>
      </c>
      <c r="N853" s="3390">
        <f>(G853 * M853)</f>
        <v>0</v>
      </c>
      <c r="O853">
        <v>0</v>
      </c>
      <c r="P853">
        <v>0</v>
      </c>
      <c r="Q853">
        <f>IF(O853&gt;G853,(O853-G853),0)</f>
        <v>0</v>
      </c>
      <c r="R853">
        <v>1</v>
      </c>
      <c r="S853">
        <f>IF(Q853&gt;0,Int(P853/Q853),0)</f>
        <v>0</v>
      </c>
      <c r="T853">
        <f>126671.68</f>
        <v>126671.68</v>
      </c>
      <c r="U853" t="s">
        <v>3022</v>
      </c>
      <c r="V853">
        <v>163636.36</v>
      </c>
      <c r="W853" t="s">
        <v>43</v>
      </c>
      <c r="X853" t="s">
        <v>386</v>
      </c>
    </row>
    <row r="854" spans="1:27">
      <c r="A854" t="s">
        <v>35</v>
      </c>
      <c r="B854" t="s">
        <v>29</v>
      </c>
      <c r="C854" t="s">
        <v>3023</v>
      </c>
      <c r="D854" t="s">
        <v>3024</v>
      </c>
      <c r="E854" t="s">
        <v>3025</v>
      </c>
      <c r="F854" t="s">
        <v>33</v>
      </c>
      <c r="G854">
        <v>0</v>
      </c>
      <c r="H854">
        <f>((0/1000) * G854)</f>
        <v>0</v>
      </c>
      <c r="I854">
        <v>0</v>
      </c>
      <c r="J854">
        <v>0</v>
      </c>
      <c r="K854" s="3391">
        <v>43995.45</v>
      </c>
      <c r="L854" s="3392">
        <f>(K854 * G854)</f>
        <v>0</v>
      </c>
      <c r="M854" s="3393">
        <v>61593.63</v>
      </c>
      <c r="N854" s="3394">
        <f>(G854 * M854)</f>
        <v>0</v>
      </c>
      <c r="O854">
        <v>0</v>
      </c>
      <c r="P854">
        <v>0</v>
      </c>
      <c r="Q854">
        <f>IF(O854&gt;G854,(O854-G854),0)</f>
        <v>0</v>
      </c>
      <c r="R854">
        <v>1</v>
      </c>
      <c r="S854">
        <f>IF(Q854&gt;0,Int(P854/Q854),0)</f>
        <v>0</v>
      </c>
      <c r="T854">
        <f>0</f>
        <v>0</v>
      </c>
      <c r="U854"/>
      <c r="V854">
        <v>43995.45</v>
      </c>
      <c r="W854" t="s">
        <v>75</v>
      </c>
      <c r="X854"/>
    </row>
    <row r="855" spans="1:27">
      <c r="A855" t="s">
        <v>35</v>
      </c>
      <c r="B855" t="s">
        <v>29</v>
      </c>
      <c r="C855" t="s">
        <v>3026</v>
      </c>
      <c r="D855" t="s">
        <v>3027</v>
      </c>
      <c r="E855" t="s">
        <v>3028</v>
      </c>
      <c r="F855" t="s">
        <v>41</v>
      </c>
      <c r="G855">
        <v>9</v>
      </c>
      <c r="H855">
        <f>((0/1000) * G855)</f>
        <v>0</v>
      </c>
      <c r="I855">
        <v>0</v>
      </c>
      <c r="J855">
        <v>9</v>
      </c>
      <c r="K855" s="3395">
        <v>86713</v>
      </c>
      <c r="L855" s="3396">
        <f>(K855 * G855)</f>
        <v>780417</v>
      </c>
      <c r="M855" s="3397">
        <v>163636.36</v>
      </c>
      <c r="N855" s="3398">
        <f>(G855 * M855)</f>
        <v>1472727.24</v>
      </c>
      <c r="O855">
        <v>0</v>
      </c>
      <c r="P855">
        <v>0</v>
      </c>
      <c r="Q855">
        <f>IF(O855&gt;G855,(O855-G855),0)</f>
        <v>0</v>
      </c>
      <c r="R855">
        <v>0</v>
      </c>
      <c r="S855">
        <f>IF(Q855&gt;0,Int(P855/Q855),0)</f>
        <v>0</v>
      </c>
      <c r="T855">
        <f>86713</f>
        <v>86713</v>
      </c>
      <c r="U855" t="s">
        <v>1497</v>
      </c>
      <c r="V855">
        <v>86713</v>
      </c>
      <c r="W855" t="s">
        <v>577</v>
      </c>
      <c r="X855" t="s">
        <v>753</v>
      </c>
    </row>
    <row r="856" spans="1:27">
      <c r="A856" t="s">
        <v>35</v>
      </c>
      <c r="B856" t="s">
        <v>29</v>
      </c>
      <c r="C856" t="s">
        <v>3029</v>
      </c>
      <c r="D856" t="s">
        <v>3030</v>
      </c>
      <c r="E856" t="s">
        <v>3031</v>
      </c>
      <c r="F856" t="s">
        <v>41</v>
      </c>
      <c r="G856">
        <v>1</v>
      </c>
      <c r="H856">
        <f>((0/1000) * G856)</f>
        <v>0</v>
      </c>
      <c r="I856">
        <v>0</v>
      </c>
      <c r="J856">
        <v>1</v>
      </c>
      <c r="K856" s="3399">
        <v>199917.36</v>
      </c>
      <c r="L856" s="3400">
        <f>(K856 * G856)</f>
        <v>199917.36</v>
      </c>
      <c r="M856" s="3401">
        <v>219909.09</v>
      </c>
      <c r="N856" s="3402">
        <f>(G856 * M856)</f>
        <v>219909.09</v>
      </c>
      <c r="O856">
        <v>0</v>
      </c>
      <c r="P856">
        <v>0</v>
      </c>
      <c r="Q856">
        <f>IF(O856&gt;G856,(O856-G856),0)</f>
        <v>0</v>
      </c>
      <c r="R856">
        <v>1</v>
      </c>
      <c r="S856">
        <f>IF(Q856&gt;0,Int(P856/Q856),0)</f>
        <v>0</v>
      </c>
      <c r="T856">
        <f>199917.36</f>
        <v>199917.36</v>
      </c>
      <c r="U856" t="s">
        <v>1651</v>
      </c>
      <c r="V856">
        <v>199917.36</v>
      </c>
      <c r="W856" t="s">
        <v>80</v>
      </c>
      <c r="X856" t="s">
        <v>81</v>
      </c>
    </row>
    <row r="857" spans="1:27">
      <c r="A857" t="s">
        <v>35</v>
      </c>
      <c r="B857" t="s">
        <v>29</v>
      </c>
      <c r="C857" t="s">
        <v>3032</v>
      </c>
      <c r="D857" t="s">
        <v>3033</v>
      </c>
      <c r="E857" t="s">
        <v>3034</v>
      </c>
      <c r="F857" t="s">
        <v>41</v>
      </c>
      <c r="G857">
        <v>0</v>
      </c>
      <c r="H857">
        <f>((1/1000) * G857)</f>
        <v>0</v>
      </c>
      <c r="I857">
        <v>0</v>
      </c>
      <c r="J857">
        <v>0</v>
      </c>
      <c r="K857" s="3403">
        <v>258227.27</v>
      </c>
      <c r="L857" s="3404">
        <f>(K857 * G857)</f>
        <v>0</v>
      </c>
      <c r="M857" s="3405">
        <v>258227.27</v>
      </c>
      <c r="N857" s="3406">
        <f>(G857 * M857)</f>
        <v>0</v>
      </c>
      <c r="O857">
        <v>0</v>
      </c>
      <c r="P857">
        <v>0</v>
      </c>
      <c r="Q857">
        <f>IF(O857&gt;G857,(O857-G857),0)</f>
        <v>0</v>
      </c>
      <c r="R857">
        <v>1</v>
      </c>
      <c r="S857">
        <f>IF(Q857&gt;0,Int(P857/Q857),0)</f>
        <v>0</v>
      </c>
      <c r="T857">
        <f>176105.83</f>
        <v>176105.83</v>
      </c>
      <c r="U857" t="s">
        <v>3035</v>
      </c>
      <c r="V857">
        <v>258227.27</v>
      </c>
      <c r="W857" t="s">
        <v>43</v>
      </c>
      <c r="X857"/>
    </row>
    <row r="858" spans="1:27">
      <c r="A858" t="s">
        <v>35</v>
      </c>
      <c r="B858" t="s">
        <v>29</v>
      </c>
      <c r="C858" t="s">
        <v>3036</v>
      </c>
      <c r="D858" t="s">
        <v>3037</v>
      </c>
      <c r="E858" t="s">
        <v>3034</v>
      </c>
      <c r="F858" t="s">
        <v>41</v>
      </c>
      <c r="G858">
        <v>0</v>
      </c>
      <c r="H858">
        <f>((1/1000) * G858)</f>
        <v>0</v>
      </c>
      <c r="I858">
        <v>0</v>
      </c>
      <c r="J858">
        <v>0</v>
      </c>
      <c r="K858" s="3407">
        <v>0</v>
      </c>
      <c r="L858" s="3408">
        <f>(K858 * G858)</f>
        <v>0</v>
      </c>
      <c r="M858" s="3409">
        <v>0</v>
      </c>
      <c r="N858" s="3410">
        <f>(G858 * M858)</f>
        <v>0</v>
      </c>
      <c r="O858">
        <v>0</v>
      </c>
      <c r="P858">
        <v>0</v>
      </c>
      <c r="Q858">
        <f>IF(O858&gt;G858,(O858-G858),0)</f>
        <v>0</v>
      </c>
      <c r="R858">
        <v>0</v>
      </c>
      <c r="S858">
        <f>IF(Q858&gt;0,Int(P858/Q858),0)</f>
        <v>0</v>
      </c>
      <c r="T858">
        <f>0</f>
        <v>0</v>
      </c>
      <c r="U858"/>
      <c r="V858">
        <v>0</v>
      </c>
      <c r="W858">
        <v>0</v>
      </c>
      <c r="X858"/>
    </row>
    <row r="859" spans="1:27">
      <c r="A859" t="s">
        <v>35</v>
      </c>
      <c r="B859" t="s">
        <v>29</v>
      </c>
      <c r="C859" t="s">
        <v>3038</v>
      </c>
      <c r="D859" t="s">
        <v>3039</v>
      </c>
      <c r="E859" t="s">
        <v>3040</v>
      </c>
      <c r="F859" t="s">
        <v>41</v>
      </c>
      <c r="G859">
        <v>0</v>
      </c>
      <c r="H859">
        <f>((0/1000) * G859)</f>
        <v>0</v>
      </c>
      <c r="I859">
        <v>0</v>
      </c>
      <c r="J859">
        <v>0</v>
      </c>
      <c r="K859" s="3411">
        <v>332662.94</v>
      </c>
      <c r="L859" s="3412">
        <f>(K859 * G859)</f>
        <v>0</v>
      </c>
      <c r="M859" s="3413">
        <v>465728.12</v>
      </c>
      <c r="N859" s="3414">
        <f>(G859 * M859)</f>
        <v>0</v>
      </c>
      <c r="O859">
        <v>0</v>
      </c>
      <c r="P859">
        <v>0</v>
      </c>
      <c r="Q859">
        <f>IF(O859&gt;G859,(O859-G859),0)</f>
        <v>0</v>
      </c>
      <c r="R859">
        <v>1</v>
      </c>
      <c r="S859">
        <f>IF(Q859&gt;0,Int(P859/Q859),0)</f>
        <v>0</v>
      </c>
      <c r="T859">
        <f>298722.76</f>
        <v>298722.76</v>
      </c>
      <c r="U859" t="s">
        <v>3041</v>
      </c>
      <c r="V859">
        <v>332662.94</v>
      </c>
      <c r="W859" t="s">
        <v>182</v>
      </c>
      <c r="X859"/>
    </row>
    <row r="860" spans="1:27">
      <c r="A860" t="s">
        <v>35</v>
      </c>
      <c r="B860" t="s">
        <v>29</v>
      </c>
      <c r="C860" t="s">
        <v>3042</v>
      </c>
      <c r="D860" t="s">
        <v>3043</v>
      </c>
      <c r="E860" t="s">
        <v>3044</v>
      </c>
      <c r="F860" t="s">
        <v>33</v>
      </c>
      <c r="G860">
        <v>0</v>
      </c>
      <c r="H860">
        <f>((0/1000) * G860)</f>
        <v>0</v>
      </c>
      <c r="I860">
        <v>0</v>
      </c>
      <c r="J860">
        <v>0</v>
      </c>
      <c r="K860" s="3415">
        <v>60191.48</v>
      </c>
      <c r="L860" s="3416">
        <f>(K860 * G860)</f>
        <v>0</v>
      </c>
      <c r="M860" s="3417">
        <v>84268.07</v>
      </c>
      <c r="N860" s="3418">
        <f>(G860 * M860)</f>
        <v>0</v>
      </c>
      <c r="O860">
        <v>0</v>
      </c>
      <c r="P860">
        <v>0</v>
      </c>
      <c r="Q860">
        <f>IF(O860&gt;G860,(O860-G860),0)</f>
        <v>0</v>
      </c>
      <c r="R860">
        <v>1</v>
      </c>
      <c r="S860">
        <f>IF(Q860&gt;0,Int(P860/Q860),0)</f>
        <v>0</v>
      </c>
      <c r="T860">
        <f>0</f>
        <v>0</v>
      </c>
      <c r="U860"/>
      <c r="V860">
        <v>60191.48</v>
      </c>
      <c r="W860" t="s">
        <v>75</v>
      </c>
      <c r="X860"/>
    </row>
    <row r="861" spans="1:27">
      <c r="A861" t="s">
        <v>35</v>
      </c>
      <c r="B861" t="s">
        <v>29</v>
      </c>
      <c r="C861" t="s">
        <v>3045</v>
      </c>
      <c r="D861" t="s">
        <v>3046</v>
      </c>
      <c r="E861" t="s">
        <v>3047</v>
      </c>
      <c r="F861" t="s">
        <v>41</v>
      </c>
      <c r="G861">
        <v>0</v>
      </c>
      <c r="H861">
        <f>((0/1000) * G861)</f>
        <v>0</v>
      </c>
      <c r="I861">
        <v>0</v>
      </c>
      <c r="J861">
        <v>0</v>
      </c>
      <c r="K861" s="3419">
        <v>298239.09</v>
      </c>
      <c r="L861" s="3420">
        <f>(K861 * G861)</f>
        <v>0</v>
      </c>
      <c r="M861" s="3421">
        <v>417534.73</v>
      </c>
      <c r="N861" s="3422">
        <f>(G861 * M861)</f>
        <v>0</v>
      </c>
      <c r="O861">
        <v>0</v>
      </c>
      <c r="P861">
        <v>0</v>
      </c>
      <c r="Q861">
        <f>IF(O861&gt;G861,(O861-G861),0)</f>
        <v>0</v>
      </c>
      <c r="R861">
        <v>1</v>
      </c>
      <c r="S861">
        <f>IF(Q861&gt;0,Int(P861/Q861),0)</f>
        <v>0</v>
      </c>
      <c r="T861">
        <f>124947.8</f>
        <v>124947.8</v>
      </c>
      <c r="U861" t="s">
        <v>3048</v>
      </c>
      <c r="V861">
        <v>298239.09</v>
      </c>
      <c r="W861" t="s">
        <v>182</v>
      </c>
      <c r="X861"/>
    </row>
    <row r="862" spans="1:27">
      <c r="A862" t="s">
        <v>35</v>
      </c>
      <c r="B862" t="s">
        <v>29</v>
      </c>
      <c r="C862" t="s">
        <v>3049</v>
      </c>
      <c r="D862" t="s">
        <v>3049</v>
      </c>
      <c r="E862" t="s">
        <v>3050</v>
      </c>
      <c r="F862" t="s">
        <v>33</v>
      </c>
      <c r="G862">
        <v>0</v>
      </c>
      <c r="H862">
        <f>((1/1000) * G862)</f>
        <v>0</v>
      </c>
      <c r="I862">
        <v>0</v>
      </c>
      <c r="J862">
        <v>0</v>
      </c>
      <c r="K862" s="3423">
        <v>0</v>
      </c>
      <c r="L862" s="3424">
        <f>(K862 * G862)</f>
        <v>0</v>
      </c>
      <c r="M862" s="3425">
        <v>0</v>
      </c>
      <c r="N862" s="3426">
        <f>(G862 * M862)</f>
        <v>0</v>
      </c>
      <c r="O862">
        <v>0</v>
      </c>
      <c r="P862">
        <v>0</v>
      </c>
      <c r="Q862">
        <f>IF(O862&gt;G862,(O862-G862),0)</f>
        <v>0</v>
      </c>
      <c r="R862">
        <v>0</v>
      </c>
      <c r="S862">
        <f>IF(Q862&gt;0,Int(P862/Q862),0)</f>
        <v>0</v>
      </c>
      <c r="T862">
        <f>0</f>
        <v>0</v>
      </c>
      <c r="U862"/>
      <c r="V862">
        <v>0</v>
      </c>
      <c r="W862">
        <v>0</v>
      </c>
      <c r="X862"/>
    </row>
    <row r="863" spans="1:27">
      <c r="A863" t="s">
        <v>35</v>
      </c>
      <c r="B863" t="s">
        <v>29</v>
      </c>
      <c r="C863" t="s">
        <v>3051</v>
      </c>
      <c r="D863" t="s">
        <v>3051</v>
      </c>
      <c r="E863" t="s">
        <v>3052</v>
      </c>
      <c r="F863" t="s">
        <v>33</v>
      </c>
      <c r="G863">
        <v>0</v>
      </c>
      <c r="H863">
        <f>((1/1000) * G863)</f>
        <v>0</v>
      </c>
      <c r="I863">
        <v>0</v>
      </c>
      <c r="J863">
        <v>0</v>
      </c>
      <c r="K863" s="3427">
        <v>0</v>
      </c>
      <c r="L863" s="3428">
        <f>(K863 * G863)</f>
        <v>0</v>
      </c>
      <c r="M863" s="3429">
        <v>0</v>
      </c>
      <c r="N863" s="3430">
        <f>(G863 * M863)</f>
        <v>0</v>
      </c>
      <c r="O863">
        <v>0</v>
      </c>
      <c r="P863">
        <v>0</v>
      </c>
      <c r="Q863">
        <f>IF(O863&gt;G863,(O863-G863),0)</f>
        <v>0</v>
      </c>
      <c r="R863">
        <v>0</v>
      </c>
      <c r="S863">
        <f>IF(Q863&gt;0,Int(P863/Q863),0)</f>
        <v>0</v>
      </c>
      <c r="T863">
        <f>0</f>
        <v>0</v>
      </c>
      <c r="U863"/>
      <c r="V863">
        <v>0</v>
      </c>
      <c r="W863">
        <v>0</v>
      </c>
      <c r="X863"/>
    </row>
    <row r="864" spans="1:27">
      <c r="A864" t="s">
        <v>35</v>
      </c>
      <c r="B864" t="s">
        <v>29</v>
      </c>
      <c r="C864" t="s">
        <v>3053</v>
      </c>
      <c r="D864" t="s">
        <v>3053</v>
      </c>
      <c r="E864" t="s">
        <v>3054</v>
      </c>
      <c r="F864" t="s">
        <v>33</v>
      </c>
      <c r="G864">
        <v>0</v>
      </c>
      <c r="H864">
        <f>((1/1000) * G864)</f>
        <v>0</v>
      </c>
      <c r="I864">
        <v>0</v>
      </c>
      <c r="J864">
        <v>0</v>
      </c>
      <c r="K864" s="3431">
        <v>0</v>
      </c>
      <c r="L864" s="3432">
        <f>(K864 * G864)</f>
        <v>0</v>
      </c>
      <c r="M864" s="3433">
        <v>0</v>
      </c>
      <c r="N864" s="3434">
        <f>(G864 * M864)</f>
        <v>0</v>
      </c>
      <c r="O864">
        <v>0</v>
      </c>
      <c r="P864">
        <v>0</v>
      </c>
      <c r="Q864">
        <f>IF(O864&gt;G864,(O864-G864),0)</f>
        <v>0</v>
      </c>
      <c r="R864">
        <v>0</v>
      </c>
      <c r="S864">
        <f>IF(Q864&gt;0,Int(P864/Q864),0)</f>
        <v>0</v>
      </c>
      <c r="T864">
        <f>0</f>
        <v>0</v>
      </c>
      <c r="U864"/>
      <c r="V864">
        <v>0</v>
      </c>
      <c r="W864">
        <v>0</v>
      </c>
      <c r="X864"/>
    </row>
    <row r="865" spans="1:27">
      <c r="A865" t="s">
        <v>35</v>
      </c>
      <c r="B865" t="s">
        <v>29</v>
      </c>
      <c r="C865" t="s">
        <v>3055</v>
      </c>
      <c r="D865" t="s">
        <v>3056</v>
      </c>
      <c r="E865" t="s">
        <v>3057</v>
      </c>
      <c r="F865" t="s">
        <v>33</v>
      </c>
      <c r="G865">
        <v>0</v>
      </c>
      <c r="H865">
        <f>((0/1000) * G865)</f>
        <v>0</v>
      </c>
      <c r="I865">
        <v>0</v>
      </c>
      <c r="J865">
        <v>0</v>
      </c>
      <c r="K865" s="3435">
        <v>256115.7</v>
      </c>
      <c r="L865" s="3436">
        <f>(K865 * G865)</f>
        <v>0</v>
      </c>
      <c r="M865" s="3437">
        <v>281727.27</v>
      </c>
      <c r="N865" s="3438">
        <f>(G865 * M865)</f>
        <v>0</v>
      </c>
      <c r="O865">
        <v>0</v>
      </c>
      <c r="P865">
        <v>0</v>
      </c>
      <c r="Q865">
        <f>IF(O865&gt;G865,(O865-G865),0)</f>
        <v>0</v>
      </c>
      <c r="R865">
        <v>1</v>
      </c>
      <c r="S865">
        <f>IF(Q865&gt;0,Int(P865/Q865),0)</f>
        <v>0</v>
      </c>
      <c r="T865">
        <f>182870.02</f>
        <v>182870.02</v>
      </c>
      <c r="U865" t="s">
        <v>3058</v>
      </c>
      <c r="V865">
        <v>256115.7</v>
      </c>
      <c r="W865" t="s">
        <v>43</v>
      </c>
      <c r="X865"/>
    </row>
    <row r="866" spans="1:27">
      <c r="A866" t="s">
        <v>35</v>
      </c>
      <c r="B866" t="s">
        <v>29</v>
      </c>
      <c r="C866" t="s">
        <v>3059</v>
      </c>
      <c r="D866" t="s">
        <v>3059</v>
      </c>
      <c r="E866" t="s">
        <v>3060</v>
      </c>
      <c r="F866" t="s">
        <v>33</v>
      </c>
      <c r="G866">
        <v>0</v>
      </c>
      <c r="H866">
        <f>((1/1000) * G866)</f>
        <v>0</v>
      </c>
      <c r="I866">
        <v>0</v>
      </c>
      <c r="J866">
        <v>0</v>
      </c>
      <c r="K866" s="3439">
        <v>0</v>
      </c>
      <c r="L866" s="3440">
        <f>(K866 * G866)</f>
        <v>0</v>
      </c>
      <c r="M866" s="3441">
        <v>0</v>
      </c>
      <c r="N866" s="3442">
        <f>(G866 * M866)</f>
        <v>0</v>
      </c>
      <c r="O866">
        <v>0</v>
      </c>
      <c r="P866">
        <v>0</v>
      </c>
      <c r="Q866">
        <f>IF(O866&gt;G866,(O866-G866),0)</f>
        <v>0</v>
      </c>
      <c r="R866">
        <v>0</v>
      </c>
      <c r="S866">
        <f>IF(Q866&gt;0,Int(P866/Q866),0)</f>
        <v>0</v>
      </c>
      <c r="T866">
        <f>0</f>
        <v>0</v>
      </c>
      <c r="U866"/>
      <c r="V866">
        <v>0</v>
      </c>
      <c r="W866">
        <v>0</v>
      </c>
      <c r="X866"/>
    </row>
    <row r="867" spans="1:27">
      <c r="A867" t="s">
        <v>35</v>
      </c>
      <c r="B867" t="s">
        <v>29</v>
      </c>
      <c r="C867" t="s">
        <v>3061</v>
      </c>
      <c r="D867" t="s">
        <v>3061</v>
      </c>
      <c r="E867" t="s">
        <v>3062</v>
      </c>
      <c r="F867" t="s">
        <v>33</v>
      </c>
      <c r="G867">
        <v>0</v>
      </c>
      <c r="H867">
        <f>((1/1000) * G867)</f>
        <v>0</v>
      </c>
      <c r="I867">
        <v>0</v>
      </c>
      <c r="J867">
        <v>0</v>
      </c>
      <c r="K867" s="3443">
        <v>0</v>
      </c>
      <c r="L867" s="3444">
        <f>(K867 * G867)</f>
        <v>0</v>
      </c>
      <c r="M867" s="3445">
        <v>0</v>
      </c>
      <c r="N867" s="3446">
        <f>(G867 * M867)</f>
        <v>0</v>
      </c>
      <c r="O867">
        <v>0</v>
      </c>
      <c r="P867">
        <v>0</v>
      </c>
      <c r="Q867">
        <f>IF(O867&gt;G867,(O867-G867),0)</f>
        <v>0</v>
      </c>
      <c r="R867">
        <v>0</v>
      </c>
      <c r="S867">
        <f>IF(Q867&gt;0,Int(P867/Q867),0)</f>
        <v>0</v>
      </c>
      <c r="T867">
        <f>0</f>
        <v>0</v>
      </c>
      <c r="U867"/>
      <c r="V867">
        <v>0</v>
      </c>
      <c r="W867">
        <v>0</v>
      </c>
      <c r="X867"/>
    </row>
    <row r="868" spans="1:27">
      <c r="A868" t="s">
        <v>35</v>
      </c>
      <c r="B868" t="s">
        <v>29</v>
      </c>
      <c r="C868" t="s">
        <v>3063</v>
      </c>
      <c r="D868" t="s">
        <v>3064</v>
      </c>
      <c r="E868" t="s">
        <v>3065</v>
      </c>
      <c r="F868" t="s">
        <v>33</v>
      </c>
      <c r="G868">
        <v>0</v>
      </c>
      <c r="H868">
        <f>((0/1000) * G868)</f>
        <v>0</v>
      </c>
      <c r="I868">
        <v>0</v>
      </c>
      <c r="J868">
        <v>0</v>
      </c>
      <c r="K868" s="3447">
        <v>207563.75</v>
      </c>
      <c r="L868" s="3448">
        <f>(K868 * G868)</f>
        <v>0</v>
      </c>
      <c r="M868" s="3449">
        <v>290589.26</v>
      </c>
      <c r="N868" s="3450">
        <f>(G868 * M868)</f>
        <v>0</v>
      </c>
      <c r="O868">
        <v>0</v>
      </c>
      <c r="P868">
        <v>0</v>
      </c>
      <c r="Q868">
        <f>IF(O868&gt;G868,(O868-G868),0)</f>
        <v>0</v>
      </c>
      <c r="R868">
        <v>0</v>
      </c>
      <c r="S868">
        <f>IF(Q868&gt;0,Int(P868/Q868),0)</f>
        <v>0</v>
      </c>
      <c r="T868">
        <f>0</f>
        <v>0</v>
      </c>
      <c r="U868"/>
      <c r="V868">
        <v>207563.75</v>
      </c>
      <c r="W868" t="s">
        <v>529</v>
      </c>
      <c r="X868"/>
    </row>
    <row r="869" spans="1:27">
      <c r="A869" t="s">
        <v>35</v>
      </c>
      <c r="B869" t="s">
        <v>29</v>
      </c>
      <c r="C869" t="s">
        <v>3066</v>
      </c>
      <c r="D869" t="s">
        <v>3067</v>
      </c>
      <c r="E869" t="s">
        <v>3068</v>
      </c>
      <c r="F869" t="s">
        <v>33</v>
      </c>
      <c r="G869">
        <v>0</v>
      </c>
      <c r="H869">
        <f>((0/1000) * G869)</f>
        <v>0</v>
      </c>
      <c r="I869">
        <v>0</v>
      </c>
      <c r="J869">
        <v>0</v>
      </c>
      <c r="K869" s="3451">
        <v>58461.47</v>
      </c>
      <c r="L869" s="3452">
        <f>(K869 * G869)</f>
        <v>0</v>
      </c>
      <c r="M869" s="3453">
        <v>81846.06</v>
      </c>
      <c r="N869" s="3454">
        <f>(G869 * M869)</f>
        <v>0</v>
      </c>
      <c r="O869">
        <v>0</v>
      </c>
      <c r="P869">
        <v>0</v>
      </c>
      <c r="Q869">
        <f>IF(O869&gt;G869,(O869-G869),0)</f>
        <v>0</v>
      </c>
      <c r="R869">
        <v>1</v>
      </c>
      <c r="S869">
        <f>IF(Q869&gt;0,Int(P869/Q869),0)</f>
        <v>0</v>
      </c>
      <c r="T869">
        <f>0</f>
        <v>0</v>
      </c>
      <c r="U869"/>
      <c r="V869">
        <v>58461.47</v>
      </c>
      <c r="W869" t="s">
        <v>75</v>
      </c>
      <c r="X869"/>
    </row>
    <row r="870" spans="1:27">
      <c r="A870" t="s">
        <v>35</v>
      </c>
      <c r="B870" t="s">
        <v>29</v>
      </c>
      <c r="C870" t="s">
        <v>3069</v>
      </c>
      <c r="D870" t="s">
        <v>3070</v>
      </c>
      <c r="E870" t="s">
        <v>3071</v>
      </c>
      <c r="F870" t="s">
        <v>33</v>
      </c>
      <c r="G870">
        <v>0</v>
      </c>
      <c r="H870">
        <f>((0/1000) * G870)</f>
        <v>0</v>
      </c>
      <c r="I870">
        <v>0</v>
      </c>
      <c r="J870">
        <v>0</v>
      </c>
      <c r="K870" s="3455">
        <v>55687.01</v>
      </c>
      <c r="L870" s="3456">
        <f>(K870 * G870)</f>
        <v>0</v>
      </c>
      <c r="M870" s="3457">
        <v>77961.81</v>
      </c>
      <c r="N870" s="3458">
        <f>(G870 * M870)</f>
        <v>0</v>
      </c>
      <c r="O870">
        <v>0</v>
      </c>
      <c r="P870">
        <v>0</v>
      </c>
      <c r="Q870">
        <f>IF(O870&gt;G870,(O870-G870),0)</f>
        <v>0</v>
      </c>
      <c r="R870">
        <v>1</v>
      </c>
      <c r="S870">
        <f>IF(Q870&gt;0,Int(P870/Q870),0)</f>
        <v>0</v>
      </c>
      <c r="T870">
        <f>0</f>
        <v>0</v>
      </c>
      <c r="U870"/>
      <c r="V870">
        <v>55687.01</v>
      </c>
      <c r="W870" t="s">
        <v>75</v>
      </c>
      <c r="X870"/>
    </row>
    <row r="871" spans="1:27">
      <c r="A871" t="s">
        <v>35</v>
      </c>
      <c r="B871" t="s">
        <v>29</v>
      </c>
      <c r="C871" t="s">
        <v>3072</v>
      </c>
      <c r="D871" t="s">
        <v>3073</v>
      </c>
      <c r="E871" t="s">
        <v>3074</v>
      </c>
      <c r="F871" t="s">
        <v>33</v>
      </c>
      <c r="G871">
        <v>0</v>
      </c>
      <c r="H871">
        <f>((0/1000) * G871)</f>
        <v>0</v>
      </c>
      <c r="I871">
        <v>0</v>
      </c>
      <c r="J871">
        <v>0</v>
      </c>
      <c r="K871" s="3459">
        <v>65323.87</v>
      </c>
      <c r="L871" s="3460">
        <f>(K871 * G871)</f>
        <v>0</v>
      </c>
      <c r="M871" s="3461">
        <v>91453.42</v>
      </c>
      <c r="N871" s="3462">
        <f>(G871 * M871)</f>
        <v>0</v>
      </c>
      <c r="O871">
        <v>0</v>
      </c>
      <c r="P871">
        <v>0</v>
      </c>
      <c r="Q871">
        <f>IF(O871&gt;G871,(O871-G871),0)</f>
        <v>0</v>
      </c>
      <c r="R871">
        <v>1</v>
      </c>
      <c r="S871">
        <f>IF(Q871&gt;0,Int(P871/Q871),0)</f>
        <v>0</v>
      </c>
      <c r="T871">
        <f>0</f>
        <v>0</v>
      </c>
      <c r="U871"/>
      <c r="V871">
        <v>65323.87</v>
      </c>
      <c r="W871" t="s">
        <v>75</v>
      </c>
      <c r="X871"/>
    </row>
    <row r="872" spans="1:27">
      <c r="A872" t="s">
        <v>35</v>
      </c>
      <c r="B872" t="s">
        <v>29</v>
      </c>
      <c r="C872" t="s">
        <v>3075</v>
      </c>
      <c r="D872" t="s">
        <v>3076</v>
      </c>
      <c r="E872" t="s">
        <v>3077</v>
      </c>
      <c r="F872" t="s">
        <v>33</v>
      </c>
      <c r="G872">
        <v>0</v>
      </c>
      <c r="H872">
        <f>((0/1000) * G872)</f>
        <v>0</v>
      </c>
      <c r="I872">
        <v>0</v>
      </c>
      <c r="J872">
        <v>0</v>
      </c>
      <c r="K872" s="3463">
        <v>62356.17</v>
      </c>
      <c r="L872" s="3464">
        <f>(K872 * G872)</f>
        <v>0</v>
      </c>
      <c r="M872" s="3465">
        <v>87298.63</v>
      </c>
      <c r="N872" s="3466">
        <f>(G872 * M872)</f>
        <v>0</v>
      </c>
      <c r="O872">
        <v>0</v>
      </c>
      <c r="P872">
        <v>0</v>
      </c>
      <c r="Q872">
        <f>IF(O872&gt;G872,(O872-G872),0)</f>
        <v>0</v>
      </c>
      <c r="R872">
        <v>1</v>
      </c>
      <c r="S872">
        <f>IF(Q872&gt;0,Int(P872/Q872),0)</f>
        <v>0</v>
      </c>
      <c r="T872">
        <f>0</f>
        <v>0</v>
      </c>
      <c r="U872"/>
      <c r="V872">
        <v>62356.17</v>
      </c>
      <c r="W872" t="s">
        <v>75</v>
      </c>
      <c r="X872"/>
    </row>
    <row r="873" spans="1:27">
      <c r="A873" t="s">
        <v>35</v>
      </c>
      <c r="B873" t="s">
        <v>29</v>
      </c>
      <c r="C873" t="s">
        <v>3078</v>
      </c>
      <c r="D873" t="s">
        <v>3079</v>
      </c>
      <c r="E873" t="s">
        <v>3080</v>
      </c>
      <c r="F873" t="s">
        <v>33</v>
      </c>
      <c r="G873">
        <v>0</v>
      </c>
      <c r="H873">
        <f>((0/1000) * G873)</f>
        <v>0</v>
      </c>
      <c r="I873">
        <v>0</v>
      </c>
      <c r="J873">
        <v>0</v>
      </c>
      <c r="K873" s="3467">
        <v>56660.33</v>
      </c>
      <c r="L873" s="3468">
        <f>(K873 * G873)</f>
        <v>0</v>
      </c>
      <c r="M873" s="3469">
        <v>79324.46</v>
      </c>
      <c r="N873" s="3470">
        <f>(G873 * M873)</f>
        <v>0</v>
      </c>
      <c r="O873">
        <v>0</v>
      </c>
      <c r="P873">
        <v>0</v>
      </c>
      <c r="Q873">
        <f>IF(O873&gt;G873,(O873-G873),0)</f>
        <v>0</v>
      </c>
      <c r="R873">
        <v>1</v>
      </c>
      <c r="S873">
        <f>IF(Q873&gt;0,Int(P873/Q873),0)</f>
        <v>0</v>
      </c>
      <c r="T873">
        <f>0</f>
        <v>0</v>
      </c>
      <c r="U873"/>
      <c r="V873">
        <v>56660.33</v>
      </c>
      <c r="W873" t="s">
        <v>75</v>
      </c>
      <c r="X873"/>
    </row>
    <row r="874" spans="1:27">
      <c r="A874" t="s">
        <v>35</v>
      </c>
      <c r="B874" t="s">
        <v>29</v>
      </c>
      <c r="C874" t="s">
        <v>3081</v>
      </c>
      <c r="D874" t="s">
        <v>3082</v>
      </c>
      <c r="E874" t="s">
        <v>3083</v>
      </c>
      <c r="F874" t="s">
        <v>33</v>
      </c>
      <c r="G874">
        <v>0</v>
      </c>
      <c r="H874">
        <f>((0/1000) * G874)</f>
        <v>0</v>
      </c>
      <c r="I874">
        <v>0</v>
      </c>
      <c r="J874">
        <v>0</v>
      </c>
      <c r="K874" s="3471">
        <v>132628.69</v>
      </c>
      <c r="L874" s="3472">
        <f>(K874 * G874)</f>
        <v>0</v>
      </c>
      <c r="M874" s="3473">
        <v>185680.17</v>
      </c>
      <c r="N874" s="3474">
        <f>(G874 * M874)</f>
        <v>0</v>
      </c>
      <c r="O874">
        <v>0</v>
      </c>
      <c r="P874">
        <v>0</v>
      </c>
      <c r="Q874">
        <f>IF(O874&gt;G874,(O874-G874),0)</f>
        <v>0</v>
      </c>
      <c r="R874">
        <v>0</v>
      </c>
      <c r="S874">
        <f>IF(Q874&gt;0,Int(P874/Q874),0)</f>
        <v>0</v>
      </c>
      <c r="T874">
        <f>0</f>
        <v>0</v>
      </c>
      <c r="U874"/>
      <c r="V874">
        <v>132628.69</v>
      </c>
      <c r="W874" t="s">
        <v>529</v>
      </c>
      <c r="X874"/>
    </row>
    <row r="875" spans="1:27">
      <c r="A875" t="s">
        <v>35</v>
      </c>
      <c r="B875" t="s">
        <v>29</v>
      </c>
      <c r="C875" t="s">
        <v>3084</v>
      </c>
      <c r="D875" t="s">
        <v>3085</v>
      </c>
      <c r="E875" t="s">
        <v>3086</v>
      </c>
      <c r="F875" t="s">
        <v>33</v>
      </c>
      <c r="G875">
        <v>0</v>
      </c>
      <c r="H875">
        <f>((0/1000) * G875)</f>
        <v>0</v>
      </c>
      <c r="I875">
        <v>0</v>
      </c>
      <c r="J875">
        <v>0</v>
      </c>
      <c r="K875" s="3475">
        <v>50125.81</v>
      </c>
      <c r="L875" s="3476">
        <f>(K875 * G875)</f>
        <v>0</v>
      </c>
      <c r="M875" s="3477">
        <v>70176.13</v>
      </c>
      <c r="N875" s="3478">
        <f>(G875 * M875)</f>
        <v>0</v>
      </c>
      <c r="O875">
        <v>0</v>
      </c>
      <c r="P875">
        <v>0</v>
      </c>
      <c r="Q875">
        <f>IF(O875&gt;G875,(O875-G875),0)</f>
        <v>0</v>
      </c>
      <c r="R875">
        <v>1</v>
      </c>
      <c r="S875">
        <f>IF(Q875&gt;0,Int(P875/Q875),0)</f>
        <v>0</v>
      </c>
      <c r="T875">
        <f>0</f>
        <v>0</v>
      </c>
      <c r="U875"/>
      <c r="V875">
        <v>50125.81</v>
      </c>
      <c r="W875" t="s">
        <v>75</v>
      </c>
      <c r="X875"/>
    </row>
    <row r="876" spans="1:27">
      <c r="A876" t="s">
        <v>35</v>
      </c>
      <c r="B876" t="s">
        <v>29</v>
      </c>
      <c r="C876" t="s">
        <v>3087</v>
      </c>
      <c r="D876" t="s">
        <v>3088</v>
      </c>
      <c r="E876" t="s">
        <v>3089</v>
      </c>
      <c r="F876" t="s">
        <v>33</v>
      </c>
      <c r="G876">
        <v>0</v>
      </c>
      <c r="H876">
        <f>((0/1000) * G876)</f>
        <v>0</v>
      </c>
      <c r="I876">
        <v>0</v>
      </c>
      <c r="J876">
        <v>0</v>
      </c>
      <c r="K876" s="3479">
        <v>59430.59</v>
      </c>
      <c r="L876" s="3480">
        <f>(K876 * G876)</f>
        <v>0</v>
      </c>
      <c r="M876" s="3481">
        <v>83202.83</v>
      </c>
      <c r="N876" s="3482">
        <f>(G876 * M876)</f>
        <v>0</v>
      </c>
      <c r="O876">
        <v>0</v>
      </c>
      <c r="P876">
        <v>0</v>
      </c>
      <c r="Q876">
        <f>IF(O876&gt;G876,(O876-G876),0)</f>
        <v>0</v>
      </c>
      <c r="R876">
        <v>1</v>
      </c>
      <c r="S876">
        <f>IF(Q876&gt;0,Int(P876/Q876),0)</f>
        <v>0</v>
      </c>
      <c r="T876">
        <f>0</f>
        <v>0</v>
      </c>
      <c r="U876"/>
      <c r="V876">
        <v>59430.59</v>
      </c>
      <c r="W876" t="s">
        <v>75</v>
      </c>
      <c r="X876"/>
    </row>
    <row r="877" spans="1:27">
      <c r="A877" t="s">
        <v>35</v>
      </c>
      <c r="B877" t="s">
        <v>29</v>
      </c>
      <c r="C877" t="s">
        <v>3090</v>
      </c>
      <c r="D877" t="s">
        <v>3091</v>
      </c>
      <c r="E877" t="s">
        <v>3092</v>
      </c>
      <c r="F877" t="s">
        <v>41</v>
      </c>
      <c r="G877">
        <v>0</v>
      </c>
      <c r="H877">
        <f>((0/1000) * G877)</f>
        <v>0</v>
      </c>
      <c r="I877">
        <v>0</v>
      </c>
      <c r="J877">
        <v>0</v>
      </c>
      <c r="K877" s="3483">
        <v>150090.91</v>
      </c>
      <c r="L877" s="3484">
        <f>(K877 * G877)</f>
        <v>0</v>
      </c>
      <c r="M877" s="3485">
        <v>210127.27</v>
      </c>
      <c r="N877" s="3486">
        <f>(G877 * M877)</f>
        <v>0</v>
      </c>
      <c r="O877">
        <v>0</v>
      </c>
      <c r="P877">
        <v>0</v>
      </c>
      <c r="Q877">
        <f>IF(O877&gt;G877,(O877-G877),0)</f>
        <v>0</v>
      </c>
      <c r="R877">
        <v>1</v>
      </c>
      <c r="S877">
        <f>IF(Q877&gt;0,Int(P877/Q877),0)</f>
        <v>0</v>
      </c>
      <c r="T877">
        <f>124042.07</f>
        <v>124042.07</v>
      </c>
      <c r="U877" t="s">
        <v>3093</v>
      </c>
      <c r="V877">
        <v>150090.91</v>
      </c>
      <c r="W877" t="s">
        <v>75</v>
      </c>
      <c r="X877"/>
    </row>
    <row r="878" spans="1:27">
      <c r="A878" t="s">
        <v>35</v>
      </c>
      <c r="B878" t="s">
        <v>29</v>
      </c>
      <c r="C878" t="s">
        <v>3094</v>
      </c>
      <c r="D878" t="s">
        <v>3095</v>
      </c>
      <c r="E878" t="s">
        <v>3096</v>
      </c>
      <c r="F878" t="s">
        <v>33</v>
      </c>
      <c r="G878">
        <v>0</v>
      </c>
      <c r="H878">
        <f>((0/1000) * G878)</f>
        <v>0</v>
      </c>
      <c r="I878">
        <v>0</v>
      </c>
      <c r="J878">
        <v>0</v>
      </c>
      <c r="K878" s="3487">
        <v>61552.67</v>
      </c>
      <c r="L878" s="3488">
        <f>(K878 * G878)</f>
        <v>0</v>
      </c>
      <c r="M878" s="3489">
        <v>86173.73</v>
      </c>
      <c r="N878" s="3490">
        <f>(G878 * M878)</f>
        <v>0</v>
      </c>
      <c r="O878">
        <v>0</v>
      </c>
      <c r="P878">
        <v>0</v>
      </c>
      <c r="Q878">
        <f>IF(O878&gt;G878,(O878-G878),0)</f>
        <v>0</v>
      </c>
      <c r="R878">
        <v>1</v>
      </c>
      <c r="S878">
        <f>IF(Q878&gt;0,Int(P878/Q878),0)</f>
        <v>0</v>
      </c>
      <c r="T878">
        <f>0</f>
        <v>0</v>
      </c>
      <c r="U878"/>
      <c r="V878">
        <v>61552.67</v>
      </c>
      <c r="W878" t="s">
        <v>75</v>
      </c>
      <c r="X878"/>
    </row>
    <row r="879" spans="1:27">
      <c r="A879" t="s">
        <v>28</v>
      </c>
      <c r="B879" t="s">
        <v>29</v>
      </c>
      <c r="C879" t="s">
        <v>3097</v>
      </c>
      <c r="D879" t="s">
        <v>3098</v>
      </c>
      <c r="E879" t="s">
        <v>3099</v>
      </c>
      <c r="F879" t="s">
        <v>33</v>
      </c>
      <c r="G879">
        <v>0</v>
      </c>
      <c r="H879">
        <f>((0/1000) * G879)</f>
        <v>0</v>
      </c>
      <c r="I879">
        <v>0</v>
      </c>
      <c r="J879">
        <v>0</v>
      </c>
      <c r="K879" s="3491">
        <v>0</v>
      </c>
      <c r="L879" s="3492">
        <f>(K879 * G879)</f>
        <v>0</v>
      </c>
      <c r="M879" s="3493">
        <v>0</v>
      </c>
      <c r="N879" s="3494">
        <f>(G879 * M879)</f>
        <v>0</v>
      </c>
      <c r="O879">
        <v>0</v>
      </c>
      <c r="P879">
        <v>0</v>
      </c>
      <c r="Q879">
        <f>IF(O879&gt;G879,(O879-G879),0)</f>
        <v>0</v>
      </c>
      <c r="R879">
        <v>1</v>
      </c>
      <c r="S879">
        <f>IF(Q879&gt;0,Int(P879/Q879),0)</f>
        <v>0</v>
      </c>
      <c r="T879">
        <f>124733.28</f>
        <v>124733.28</v>
      </c>
      <c r="U879" t="s">
        <v>3100</v>
      </c>
      <c r="V879">
        <v>0</v>
      </c>
      <c r="W879">
        <v>0</v>
      </c>
      <c r="X879"/>
    </row>
    <row r="880" spans="1:27">
      <c r="A880" t="s">
        <v>28</v>
      </c>
      <c r="B880" t="s">
        <v>29</v>
      </c>
      <c r="C880" t="s">
        <v>3101</v>
      </c>
      <c r="D880" t="s">
        <v>3102</v>
      </c>
      <c r="E880" t="s">
        <v>3103</v>
      </c>
      <c r="F880" t="s">
        <v>33</v>
      </c>
      <c r="G880">
        <v>1</v>
      </c>
      <c r="H880">
        <f>((0/1000) * G880)</f>
        <v>0</v>
      </c>
      <c r="I880">
        <v>0</v>
      </c>
      <c r="J880">
        <v>1</v>
      </c>
      <c r="K880" s="3495">
        <v>104000</v>
      </c>
      <c r="L880" s="3496">
        <f>(K880 * G880)</f>
        <v>104000</v>
      </c>
      <c r="M880" s="3497">
        <v>156000</v>
      </c>
      <c r="N880" s="3498">
        <f>(G880 * M880)</f>
        <v>156000</v>
      </c>
      <c r="O880">
        <v>0</v>
      </c>
      <c r="P880">
        <v>0</v>
      </c>
      <c r="Q880">
        <f>IF(O880&gt;G880,(O880-G880),0)</f>
        <v>0</v>
      </c>
      <c r="R880">
        <v>1</v>
      </c>
      <c r="S880">
        <f>IF(Q880&gt;0,Int(P880/Q880),0)</f>
        <v>0</v>
      </c>
      <c r="T880">
        <f>104000</f>
        <v>104000</v>
      </c>
      <c r="U880" t="s">
        <v>3104</v>
      </c>
      <c r="V880">
        <v>104000</v>
      </c>
      <c r="W880" t="s">
        <v>1498</v>
      </c>
      <c r="X880" t="s">
        <v>198</v>
      </c>
    </row>
    <row r="881" spans="1:27">
      <c r="A881" t="s">
        <v>28</v>
      </c>
      <c r="B881" t="s">
        <v>29</v>
      </c>
      <c r="C881" t="s">
        <v>3105</v>
      </c>
      <c r="D881" t="s">
        <v>3105</v>
      </c>
      <c r="E881" t="s">
        <v>3106</v>
      </c>
      <c r="F881" t="s">
        <v>33</v>
      </c>
      <c r="G881">
        <v>0</v>
      </c>
      <c r="H881">
        <f>((1/1000) * G881)</f>
        <v>0</v>
      </c>
      <c r="I881">
        <v>0</v>
      </c>
      <c r="J881">
        <v>0</v>
      </c>
      <c r="K881" s="3499">
        <v>118181.81</v>
      </c>
      <c r="L881" s="3500">
        <f>(K881 * G881)</f>
        <v>0</v>
      </c>
      <c r="M881" s="3501">
        <v>165454.54</v>
      </c>
      <c r="N881" s="3502">
        <f>(G881 * M881)</f>
        <v>0</v>
      </c>
      <c r="O881">
        <v>0</v>
      </c>
      <c r="P881">
        <v>0</v>
      </c>
      <c r="Q881">
        <f>IF(O881&gt;G881,(O881-G881),0)</f>
        <v>0</v>
      </c>
      <c r="R881">
        <v>1</v>
      </c>
      <c r="S881">
        <f>IF(Q881&gt;0,Int(P881/Q881),0)</f>
        <v>0</v>
      </c>
      <c r="T881">
        <f>0</f>
        <v>0</v>
      </c>
      <c r="U881" t="s">
        <v>3107</v>
      </c>
      <c r="V881">
        <v>118181.81</v>
      </c>
      <c r="W881" t="s">
        <v>75</v>
      </c>
      <c r="X881"/>
    </row>
    <row r="882" spans="1:27">
      <c r="A882" t="s">
        <v>35</v>
      </c>
      <c r="B882" t="s">
        <v>29</v>
      </c>
      <c r="C882" t="s">
        <v>3108</v>
      </c>
      <c r="D882" t="s">
        <v>3109</v>
      </c>
      <c r="E882" t="s">
        <v>3110</v>
      </c>
      <c r="F882" t="s">
        <v>33</v>
      </c>
      <c r="G882">
        <v>0</v>
      </c>
      <c r="H882">
        <f>((0/1000) * G882)</f>
        <v>0</v>
      </c>
      <c r="I882">
        <v>0</v>
      </c>
      <c r="J882">
        <v>0</v>
      </c>
      <c r="K882" s="3503">
        <v>63223.53</v>
      </c>
      <c r="L882" s="3504">
        <f>(K882 * G882)</f>
        <v>0</v>
      </c>
      <c r="M882" s="3505">
        <v>88512.94</v>
      </c>
      <c r="N882" s="3506">
        <f>(G882 * M882)</f>
        <v>0</v>
      </c>
      <c r="O882">
        <v>0</v>
      </c>
      <c r="P882">
        <v>0</v>
      </c>
      <c r="Q882">
        <f>IF(O882&gt;G882,(O882-G882),0)</f>
        <v>0</v>
      </c>
      <c r="R882">
        <v>1</v>
      </c>
      <c r="S882">
        <f>IF(Q882&gt;0,Int(P882/Q882),0)</f>
        <v>0</v>
      </c>
      <c r="T882">
        <f>0</f>
        <v>0</v>
      </c>
      <c r="U882"/>
      <c r="V882">
        <v>63223.53</v>
      </c>
      <c r="W882" t="s">
        <v>75</v>
      </c>
      <c r="X882"/>
    </row>
    <row r="883" spans="1:27">
      <c r="A883" t="s">
        <v>28</v>
      </c>
      <c r="B883" t="s">
        <v>29</v>
      </c>
      <c r="C883" t="s">
        <v>3111</v>
      </c>
      <c r="D883" t="s">
        <v>3112</v>
      </c>
      <c r="E883" t="s">
        <v>3113</v>
      </c>
      <c r="F883" t="s">
        <v>33</v>
      </c>
      <c r="G883">
        <v>0</v>
      </c>
      <c r="H883">
        <f>((0/1000) * G883)</f>
        <v>0</v>
      </c>
      <c r="I883">
        <v>0</v>
      </c>
      <c r="J883">
        <v>0</v>
      </c>
      <c r="K883" s="3507">
        <v>320610.68</v>
      </c>
      <c r="L883" s="3508">
        <f>(K883 * G883)</f>
        <v>0</v>
      </c>
      <c r="M883" s="3509">
        <v>448854.95</v>
      </c>
      <c r="N883" s="3510">
        <f>(G883 * M883)</f>
        <v>0</v>
      </c>
      <c r="O883">
        <v>0</v>
      </c>
      <c r="P883">
        <v>0</v>
      </c>
      <c r="Q883">
        <f>IF(O883&gt;G883,(O883-G883),0)</f>
        <v>0</v>
      </c>
      <c r="R883">
        <v>1</v>
      </c>
      <c r="S883">
        <f>IF(Q883&gt;0,Int(P883/Q883),0)</f>
        <v>0</v>
      </c>
      <c r="T883">
        <f>311742.45</f>
        <v>311742.45</v>
      </c>
      <c r="U883" t="s">
        <v>3114</v>
      </c>
      <c r="V883">
        <v>320610.68</v>
      </c>
      <c r="W883" t="s">
        <v>182</v>
      </c>
      <c r="X883"/>
    </row>
    <row r="884" spans="1:27">
      <c r="A884" t="s">
        <v>28</v>
      </c>
      <c r="B884" t="s">
        <v>29</v>
      </c>
      <c r="C884" t="s">
        <v>3115</v>
      </c>
      <c r="D884" t="s">
        <v>3116</v>
      </c>
      <c r="E884" t="s">
        <v>3117</v>
      </c>
      <c r="F884" t="s">
        <v>33</v>
      </c>
      <c r="G884">
        <v>0</v>
      </c>
      <c r="H884">
        <f>((0/1000) * G884)</f>
        <v>0</v>
      </c>
      <c r="I884">
        <v>0</v>
      </c>
      <c r="J884">
        <v>0</v>
      </c>
      <c r="K884" s="3511">
        <v>184014.29</v>
      </c>
      <c r="L884" s="3512">
        <f>(K884 * G884)</f>
        <v>0</v>
      </c>
      <c r="M884" s="3513">
        <v>257620</v>
      </c>
      <c r="N884" s="3514">
        <f>(G884 * M884)</f>
        <v>0</v>
      </c>
      <c r="O884">
        <v>0</v>
      </c>
      <c r="P884">
        <v>0</v>
      </c>
      <c r="Q884">
        <f>IF(O884&gt;G884,(O884-G884),0)</f>
        <v>0</v>
      </c>
      <c r="R884">
        <v>1</v>
      </c>
      <c r="S884">
        <f>IF(Q884&gt;0,Int(P884/Q884),0)</f>
        <v>0</v>
      </c>
      <c r="T884">
        <f>0</f>
        <v>0</v>
      </c>
      <c r="U884"/>
      <c r="V884">
        <v>184014.29</v>
      </c>
      <c r="W884" t="s">
        <v>301</v>
      </c>
      <c r="X884"/>
    </row>
    <row r="885" spans="1:27">
      <c r="A885" t="s">
        <v>28</v>
      </c>
      <c r="B885" t="s">
        <v>29</v>
      </c>
      <c r="C885" t="s">
        <v>3118</v>
      </c>
      <c r="D885" t="s">
        <v>3119</v>
      </c>
      <c r="E885" t="s">
        <v>3120</v>
      </c>
      <c r="F885" t="s">
        <v>33</v>
      </c>
      <c r="G885">
        <v>0</v>
      </c>
      <c r="H885">
        <f>((0/1000) * G885)</f>
        <v>0</v>
      </c>
      <c r="I885">
        <v>0</v>
      </c>
      <c r="J885">
        <v>0</v>
      </c>
      <c r="K885" s="3515">
        <v>335038.02</v>
      </c>
      <c r="L885" s="3516">
        <f>(K885 * G885)</f>
        <v>0</v>
      </c>
      <c r="M885" s="3517">
        <v>469053.23</v>
      </c>
      <c r="N885" s="3518">
        <f>(G885 * M885)</f>
        <v>0</v>
      </c>
      <c r="O885">
        <v>0</v>
      </c>
      <c r="P885">
        <v>0</v>
      </c>
      <c r="Q885">
        <f>IF(O885&gt;G885,(O885-G885),0)</f>
        <v>0</v>
      </c>
      <c r="R885">
        <v>1</v>
      </c>
      <c r="S885">
        <f>IF(Q885&gt;0,Int(P885/Q885),0)</f>
        <v>0</v>
      </c>
      <c r="T885">
        <f>294290.62</f>
        <v>294290.62</v>
      </c>
      <c r="U885" t="s">
        <v>3121</v>
      </c>
      <c r="V885">
        <v>335038.02</v>
      </c>
      <c r="W885" t="s">
        <v>182</v>
      </c>
      <c r="X885"/>
    </row>
    <row r="886" spans="1:27">
      <c r="A886" t="s">
        <v>28</v>
      </c>
      <c r="B886" t="s">
        <v>29</v>
      </c>
      <c r="C886" t="s">
        <v>3122</v>
      </c>
      <c r="D886" t="s">
        <v>3123</v>
      </c>
      <c r="E886" t="s">
        <v>3124</v>
      </c>
      <c r="F886" t="s">
        <v>41</v>
      </c>
      <c r="G886">
        <v>0</v>
      </c>
      <c r="H886">
        <f>((0/1000) * G886)</f>
        <v>0</v>
      </c>
      <c r="I886">
        <v>0</v>
      </c>
      <c r="J886">
        <v>0</v>
      </c>
      <c r="K886" s="3519">
        <v>374000</v>
      </c>
      <c r="L886" s="3520">
        <f>(K886 * G886)</f>
        <v>0</v>
      </c>
      <c r="M886" s="3521">
        <v>523600</v>
      </c>
      <c r="N886" s="3522">
        <f>(G886 * M886)</f>
        <v>0</v>
      </c>
      <c r="O886">
        <v>0</v>
      </c>
      <c r="P886">
        <v>0</v>
      </c>
      <c r="Q886">
        <f>IF(O886&gt;G886,(O886-G886),0)</f>
        <v>0</v>
      </c>
      <c r="R886">
        <v>1</v>
      </c>
      <c r="S886">
        <f>IF(Q886&gt;0,Int(P886/Q886),0)</f>
        <v>0</v>
      </c>
      <c r="T886">
        <f>64775.9</f>
        <v>64775.9</v>
      </c>
      <c r="U886" t="s">
        <v>3125</v>
      </c>
      <c r="V886">
        <v>374000</v>
      </c>
      <c r="W886" t="s">
        <v>75</v>
      </c>
      <c r="X886"/>
    </row>
    <row r="887" spans="1:27">
      <c r="A887" t="s">
        <v>28</v>
      </c>
      <c r="B887" t="s">
        <v>29</v>
      </c>
      <c r="C887" t="s">
        <v>3126</v>
      </c>
      <c r="D887" t="s">
        <v>3127</v>
      </c>
      <c r="E887" t="s">
        <v>3128</v>
      </c>
      <c r="F887" t="s">
        <v>33</v>
      </c>
      <c r="G887">
        <v>0</v>
      </c>
      <c r="H887">
        <f>((0/1000) * G887)</f>
        <v>0</v>
      </c>
      <c r="I887">
        <v>0</v>
      </c>
      <c r="J887">
        <v>0</v>
      </c>
      <c r="K887" s="3523">
        <v>155000</v>
      </c>
      <c r="L887" s="3524">
        <f>(K887 * G887)</f>
        <v>0</v>
      </c>
      <c r="M887" s="3525">
        <v>232500</v>
      </c>
      <c r="N887" s="3526">
        <f>(G887 * M887)</f>
        <v>0</v>
      </c>
      <c r="O887">
        <v>0</v>
      </c>
      <c r="P887">
        <v>0</v>
      </c>
      <c r="Q887">
        <f>IF(O887&gt;G887,(O887-G887),0)</f>
        <v>0</v>
      </c>
      <c r="R887">
        <v>1</v>
      </c>
      <c r="S887">
        <f>IF(Q887&gt;0,Int(P887/Q887),0)</f>
        <v>0</v>
      </c>
      <c r="T887">
        <f>286707.74</f>
        <v>286707.74</v>
      </c>
      <c r="U887" t="s">
        <v>3129</v>
      </c>
      <c r="V887">
        <v>155000</v>
      </c>
      <c r="W887" t="s">
        <v>80</v>
      </c>
      <c r="X887" t="s">
        <v>136</v>
      </c>
    </row>
    <row r="888" spans="1:27">
      <c r="A888" t="s">
        <v>28</v>
      </c>
      <c r="B888" t="s">
        <v>29</v>
      </c>
      <c r="C888" t="s">
        <v>3130</v>
      </c>
      <c r="D888" t="s">
        <v>3131</v>
      </c>
      <c r="E888" t="s">
        <v>3132</v>
      </c>
      <c r="F888" t="s">
        <v>33</v>
      </c>
      <c r="G888">
        <v>0</v>
      </c>
      <c r="H888">
        <f>((0/1000) * G888)</f>
        <v>0</v>
      </c>
      <c r="I888">
        <v>0</v>
      </c>
      <c r="J888">
        <v>0</v>
      </c>
      <c r="K888" s="3527">
        <v>181818.18</v>
      </c>
      <c r="L888" s="3528">
        <f>(K888 * G888)</f>
        <v>0</v>
      </c>
      <c r="M888" s="3529">
        <v>254545.45</v>
      </c>
      <c r="N888" s="3530">
        <f>(G888 * M888)</f>
        <v>0</v>
      </c>
      <c r="O888">
        <v>0</v>
      </c>
      <c r="P888">
        <v>0</v>
      </c>
      <c r="Q888">
        <f>IF(O888&gt;G888,(O888-G888),0)</f>
        <v>0</v>
      </c>
      <c r="R888">
        <v>1</v>
      </c>
      <c r="S888">
        <f>IF(Q888&gt;0,Int(P888/Q888),0)</f>
        <v>0</v>
      </c>
      <c r="T888">
        <f>165289.25</f>
        <v>165289.25</v>
      </c>
      <c r="U888" t="s">
        <v>3133</v>
      </c>
      <c r="V888">
        <v>181818.18</v>
      </c>
      <c r="W888" t="s">
        <v>75</v>
      </c>
      <c r="X888"/>
    </row>
    <row r="889" spans="1:27">
      <c r="A889" t="s">
        <v>35</v>
      </c>
      <c r="B889" t="s">
        <v>29</v>
      </c>
      <c r="C889" t="s">
        <v>3134</v>
      </c>
      <c r="D889" t="s">
        <v>3135</v>
      </c>
      <c r="E889" t="s">
        <v>3136</v>
      </c>
      <c r="F889" t="s">
        <v>33</v>
      </c>
      <c r="G889">
        <v>0</v>
      </c>
      <c r="H889">
        <f>((0/1000) * G889)</f>
        <v>0</v>
      </c>
      <c r="I889">
        <v>0</v>
      </c>
      <c r="J889">
        <v>0</v>
      </c>
      <c r="K889" s="3531">
        <v>265979.51</v>
      </c>
      <c r="L889" s="3532">
        <f>(K889 * G889)</f>
        <v>0</v>
      </c>
      <c r="M889" s="3533">
        <v>292577.45</v>
      </c>
      <c r="N889" s="3534">
        <f>(G889 * M889)</f>
        <v>0</v>
      </c>
      <c r="O889">
        <v>0</v>
      </c>
      <c r="P889">
        <v>0</v>
      </c>
      <c r="Q889">
        <f>IF(O889&gt;G889,(O889-G889),0)</f>
        <v>0</v>
      </c>
      <c r="R889">
        <v>1</v>
      </c>
      <c r="S889">
        <f>IF(Q889&gt;0,Int(P889/Q889),0)</f>
        <v>0</v>
      </c>
      <c r="T889">
        <f>202479.34</f>
        <v>202479.34</v>
      </c>
      <c r="U889" t="s">
        <v>3137</v>
      </c>
      <c r="V889">
        <v>265979.51</v>
      </c>
      <c r="W889" t="s">
        <v>43</v>
      </c>
      <c r="X889"/>
    </row>
    <row r="890" spans="1:27">
      <c r="A890" t="s">
        <v>28</v>
      </c>
      <c r="B890" t="s">
        <v>29</v>
      </c>
      <c r="C890" t="s">
        <v>3138</v>
      </c>
      <c r="D890" t="s">
        <v>3139</v>
      </c>
      <c r="E890" t="s">
        <v>3140</v>
      </c>
      <c r="F890" t="s">
        <v>33</v>
      </c>
      <c r="G890">
        <v>0</v>
      </c>
      <c r="H890">
        <f>((0/1000) * G890)</f>
        <v>0</v>
      </c>
      <c r="I890">
        <v>0</v>
      </c>
      <c r="J890">
        <v>0</v>
      </c>
      <c r="K890" s="3535">
        <v>163636.36</v>
      </c>
      <c r="L890" s="3536">
        <f>(K890 * G890)</f>
        <v>0</v>
      </c>
      <c r="M890" s="3537">
        <v>229090.9</v>
      </c>
      <c r="N890" s="3538">
        <f>(G890 * M890)</f>
        <v>0</v>
      </c>
      <c r="O890">
        <v>0</v>
      </c>
      <c r="P890">
        <v>0</v>
      </c>
      <c r="Q890">
        <f>IF(O890&gt;G890,(O890-G890),0)</f>
        <v>0</v>
      </c>
      <c r="R890">
        <v>1</v>
      </c>
      <c r="S890">
        <f>IF(Q890&gt;0,Int(P890/Q890),0)</f>
        <v>0</v>
      </c>
      <c r="T890">
        <f>0</f>
        <v>0</v>
      </c>
      <c r="U890"/>
      <c r="V890">
        <v>163636.36</v>
      </c>
      <c r="W890" t="s">
        <v>75</v>
      </c>
      <c r="X890"/>
    </row>
    <row r="891" spans="1:27">
      <c r="A891" t="s">
        <v>35</v>
      </c>
      <c r="B891" t="s">
        <v>29</v>
      </c>
      <c r="C891" t="s">
        <v>3141</v>
      </c>
      <c r="D891" t="s">
        <v>3142</v>
      </c>
      <c r="E891" t="s">
        <v>3143</v>
      </c>
      <c r="F891" t="s">
        <v>33</v>
      </c>
      <c r="G891">
        <v>1</v>
      </c>
      <c r="H891">
        <f>((0/1000) * G891)</f>
        <v>0</v>
      </c>
      <c r="I891">
        <v>0</v>
      </c>
      <c r="J891">
        <v>1</v>
      </c>
      <c r="K891" s="3539">
        <v>204218.18</v>
      </c>
      <c r="L891" s="3540">
        <f>(K891 * G891)</f>
        <v>204218.18</v>
      </c>
      <c r="M891" s="3541">
        <v>224640</v>
      </c>
      <c r="N891" s="3542">
        <f>(G891 * M891)</f>
        <v>224640</v>
      </c>
      <c r="O891">
        <v>0</v>
      </c>
      <c r="P891">
        <v>0</v>
      </c>
      <c r="Q891">
        <f>IF(O891&gt;G891,(O891-G891),0)</f>
        <v>0</v>
      </c>
      <c r="R891">
        <v>1</v>
      </c>
      <c r="S891">
        <f>IF(Q891&gt;0,Int(P891/Q891),0)</f>
        <v>0</v>
      </c>
      <c r="T891">
        <f>204218.18</f>
        <v>204218.18</v>
      </c>
      <c r="U891" t="s">
        <v>135</v>
      </c>
      <c r="V891">
        <v>204218.18</v>
      </c>
      <c r="W891" t="s">
        <v>577</v>
      </c>
      <c r="X891" t="s">
        <v>753</v>
      </c>
    </row>
    <row r="892" spans="1:27">
      <c r="A892" t="s">
        <v>35</v>
      </c>
      <c r="B892" t="s">
        <v>29</v>
      </c>
      <c r="C892" t="s">
        <v>3144</v>
      </c>
      <c r="D892" t="s">
        <v>3144</v>
      </c>
      <c r="E892" t="s">
        <v>3145</v>
      </c>
      <c r="F892" t="s">
        <v>33</v>
      </c>
      <c r="G892">
        <v>0</v>
      </c>
      <c r="H892">
        <f>((1/1000) * G892)</f>
        <v>0</v>
      </c>
      <c r="I892">
        <v>0</v>
      </c>
      <c r="J892">
        <v>0</v>
      </c>
      <c r="K892" s="3543">
        <v>0</v>
      </c>
      <c r="L892" s="3544">
        <f>(K892 * G892)</f>
        <v>0</v>
      </c>
      <c r="M892" s="3545">
        <v>0</v>
      </c>
      <c r="N892" s="3546">
        <f>(G892 * M892)</f>
        <v>0</v>
      </c>
      <c r="O892">
        <v>0</v>
      </c>
      <c r="P892">
        <v>0</v>
      </c>
      <c r="Q892">
        <f>IF(O892&gt;G892,(O892-G892),0)</f>
        <v>0</v>
      </c>
      <c r="R892">
        <v>0</v>
      </c>
      <c r="S892">
        <f>IF(Q892&gt;0,Int(P892/Q892),0)</f>
        <v>0</v>
      </c>
      <c r="T892">
        <f>0</f>
        <v>0</v>
      </c>
      <c r="U892"/>
      <c r="V892">
        <v>0</v>
      </c>
      <c r="W892">
        <v>0</v>
      </c>
      <c r="X892"/>
    </row>
    <row r="893" spans="1:27">
      <c r="A893" t="s">
        <v>35</v>
      </c>
      <c r="B893" t="s">
        <v>29</v>
      </c>
      <c r="C893" t="s">
        <v>3146</v>
      </c>
      <c r="D893" t="s">
        <v>3146</v>
      </c>
      <c r="E893" t="s">
        <v>3147</v>
      </c>
      <c r="F893" t="s">
        <v>33</v>
      </c>
      <c r="G893">
        <v>0</v>
      </c>
      <c r="H893">
        <f>((1/1000) * G893)</f>
        <v>0</v>
      </c>
      <c r="I893">
        <v>0</v>
      </c>
      <c r="J893">
        <v>0</v>
      </c>
      <c r="K893" s="3547">
        <v>0</v>
      </c>
      <c r="L893" s="3548">
        <f>(K893 * G893)</f>
        <v>0</v>
      </c>
      <c r="M893" s="3549">
        <v>0</v>
      </c>
      <c r="N893" s="3550">
        <f>(G893 * M893)</f>
        <v>0</v>
      </c>
      <c r="O893">
        <v>0</v>
      </c>
      <c r="P893">
        <v>0</v>
      </c>
      <c r="Q893">
        <f>IF(O893&gt;G893,(O893-G893),0)</f>
        <v>0</v>
      </c>
      <c r="R893">
        <v>0</v>
      </c>
      <c r="S893">
        <f>IF(Q893&gt;0,Int(P893/Q893),0)</f>
        <v>0</v>
      </c>
      <c r="T893">
        <f>0</f>
        <v>0</v>
      </c>
      <c r="U893"/>
      <c r="V893">
        <v>0</v>
      </c>
      <c r="W893">
        <v>0</v>
      </c>
      <c r="X893"/>
    </row>
    <row r="894" spans="1:27">
      <c r="A894" t="s">
        <v>35</v>
      </c>
      <c r="B894" t="s">
        <v>29</v>
      </c>
      <c r="C894" t="s">
        <v>3148</v>
      </c>
      <c r="D894" t="s">
        <v>3149</v>
      </c>
      <c r="E894" t="s">
        <v>3150</v>
      </c>
      <c r="F894" t="s">
        <v>41</v>
      </c>
      <c r="G894">
        <v>0</v>
      </c>
      <c r="H894">
        <f>((1/1000) * G894)</f>
        <v>0</v>
      </c>
      <c r="I894">
        <v>0</v>
      </c>
      <c r="J894">
        <v>0</v>
      </c>
      <c r="K894" s="3551">
        <v>278928.18</v>
      </c>
      <c r="L894" s="3552">
        <f>(K894 * G894)</f>
        <v>0</v>
      </c>
      <c r="M894" s="3553">
        <v>278928.18</v>
      </c>
      <c r="N894" s="3554">
        <f>(G894 * M894)</f>
        <v>0</v>
      </c>
      <c r="O894">
        <v>0</v>
      </c>
      <c r="P894">
        <v>0</v>
      </c>
      <c r="Q894">
        <f>IF(O894&gt;G894,(O894-G894),0)</f>
        <v>0</v>
      </c>
      <c r="R894">
        <v>1</v>
      </c>
      <c r="S894">
        <f>IF(Q894&gt;0,Int(P894/Q894),0)</f>
        <v>0</v>
      </c>
      <c r="T894">
        <f>218756.58</f>
        <v>218756.58</v>
      </c>
      <c r="U894" t="s">
        <v>3151</v>
      </c>
      <c r="V894">
        <v>278928.18</v>
      </c>
      <c r="W894" t="s">
        <v>43</v>
      </c>
      <c r="X894"/>
    </row>
    <row r="895" spans="1:27">
      <c r="A895" t="s">
        <v>28</v>
      </c>
      <c r="B895" t="s">
        <v>29</v>
      </c>
      <c r="C895" t="s">
        <v>3152</v>
      </c>
      <c r="D895" t="s">
        <v>3153</v>
      </c>
      <c r="E895" t="s">
        <v>3154</v>
      </c>
      <c r="F895" t="s">
        <v>41</v>
      </c>
      <c r="G895">
        <v>0</v>
      </c>
      <c r="H895">
        <f>((0/1000) * G895)</f>
        <v>0</v>
      </c>
      <c r="I895">
        <v>0</v>
      </c>
      <c r="J895">
        <v>0</v>
      </c>
      <c r="K895" s="3555">
        <v>361465.24</v>
      </c>
      <c r="L895" s="3556">
        <f>(K895 * G895)</f>
        <v>0</v>
      </c>
      <c r="M895" s="3557">
        <v>506051.33</v>
      </c>
      <c r="N895" s="3558">
        <f>(G895 * M895)</f>
        <v>0</v>
      </c>
      <c r="O895">
        <v>0</v>
      </c>
      <c r="P895">
        <v>0</v>
      </c>
      <c r="Q895">
        <f>IF(O895&gt;G895,(O895-G895),0)</f>
        <v>0</v>
      </c>
      <c r="R895">
        <v>1</v>
      </c>
      <c r="S895">
        <f>IF(Q895&gt;0,Int(P895/Q895),0)</f>
        <v>0</v>
      </c>
      <c r="T895">
        <f>124042.07</f>
        <v>124042.07</v>
      </c>
      <c r="U895" t="s">
        <v>1600</v>
      </c>
      <c r="V895">
        <v>361465.24</v>
      </c>
      <c r="W895" t="s">
        <v>182</v>
      </c>
      <c r="X895"/>
    </row>
    <row r="896" spans="1:27">
      <c r="A896" t="s">
        <v>28</v>
      </c>
      <c r="B896" t="s">
        <v>29</v>
      </c>
      <c r="C896" t="s">
        <v>3155</v>
      </c>
      <c r="D896" t="s">
        <v>3156</v>
      </c>
      <c r="E896" t="s">
        <v>3157</v>
      </c>
      <c r="F896" t="s">
        <v>33</v>
      </c>
      <c r="G896">
        <v>0</v>
      </c>
      <c r="H896">
        <f>((0/1000) * G896)</f>
        <v>0</v>
      </c>
      <c r="I896">
        <v>0</v>
      </c>
      <c r="J896">
        <v>0</v>
      </c>
      <c r="K896" s="3559">
        <v>380489.72</v>
      </c>
      <c r="L896" s="3560">
        <f>(K896 * G896)</f>
        <v>0</v>
      </c>
      <c r="M896" s="3561">
        <v>532685.61</v>
      </c>
      <c r="N896" s="3562">
        <f>(G896 * M896)</f>
        <v>0</v>
      </c>
      <c r="O896">
        <v>0</v>
      </c>
      <c r="P896">
        <v>0</v>
      </c>
      <c r="Q896">
        <f>IF(O896&gt;G896,(O896-G896),0)</f>
        <v>0</v>
      </c>
      <c r="R896">
        <v>1</v>
      </c>
      <c r="S896">
        <f>IF(Q896&gt;0,Int(P896/Q896),0)</f>
        <v>0</v>
      </c>
      <c r="T896">
        <f>398798.02</f>
        <v>398798.02</v>
      </c>
      <c r="U896" t="s">
        <v>3158</v>
      </c>
      <c r="V896">
        <v>380489.72</v>
      </c>
      <c r="W896" t="s">
        <v>182</v>
      </c>
      <c r="X896"/>
    </row>
    <row r="897" spans="1:27">
      <c r="A897" t="s">
        <v>35</v>
      </c>
      <c r="B897" t="s">
        <v>29</v>
      </c>
      <c r="C897" t="s">
        <v>3159</v>
      </c>
      <c r="D897" t="s">
        <v>3160</v>
      </c>
      <c r="E897" t="s">
        <v>3161</v>
      </c>
      <c r="F897" t="s">
        <v>33</v>
      </c>
      <c r="G897">
        <v>0</v>
      </c>
      <c r="H897">
        <f>((0/1000) * G897)</f>
        <v>0</v>
      </c>
      <c r="I897">
        <v>0</v>
      </c>
      <c r="J897">
        <v>0</v>
      </c>
      <c r="K897" s="3563">
        <v>212479.34</v>
      </c>
      <c r="L897" s="3564">
        <f>(K897 * G897)</f>
        <v>0</v>
      </c>
      <c r="M897" s="3565">
        <v>233727.28</v>
      </c>
      <c r="N897" s="3566">
        <f>(G897 * M897)</f>
        <v>0</v>
      </c>
      <c r="O897">
        <v>0</v>
      </c>
      <c r="P897">
        <v>0</v>
      </c>
      <c r="Q897">
        <f>IF(O897&gt;G897,(O897-G897),0)</f>
        <v>0</v>
      </c>
      <c r="R897">
        <v>1</v>
      </c>
      <c r="S897">
        <f>IF(Q897&gt;0,Int(P897/Q897),0)</f>
        <v>0</v>
      </c>
      <c r="T897">
        <f>200450.79</f>
        <v>200450.79</v>
      </c>
      <c r="U897" t="s">
        <v>3162</v>
      </c>
      <c r="V897">
        <v>212479.34</v>
      </c>
      <c r="W897" t="s">
        <v>43</v>
      </c>
      <c r="X897"/>
    </row>
    <row r="898" spans="1:27">
      <c r="A898" t="s">
        <v>28</v>
      </c>
      <c r="B898" t="s">
        <v>29</v>
      </c>
      <c r="C898" t="s">
        <v>3163</v>
      </c>
      <c r="D898" t="s">
        <v>3164</v>
      </c>
      <c r="E898" t="s">
        <v>3165</v>
      </c>
      <c r="F898" t="s">
        <v>41</v>
      </c>
      <c r="G898">
        <v>0</v>
      </c>
      <c r="H898">
        <f>((0/1000) * G898)</f>
        <v>0</v>
      </c>
      <c r="I898">
        <v>0</v>
      </c>
      <c r="J898">
        <v>0</v>
      </c>
      <c r="K898" s="3567">
        <v>399727.27</v>
      </c>
      <c r="L898" s="3568">
        <f>(K898 * G898)</f>
        <v>0</v>
      </c>
      <c r="M898" s="3569">
        <v>559618.18</v>
      </c>
      <c r="N898" s="3570">
        <f>(G898 * M898)</f>
        <v>0</v>
      </c>
      <c r="O898">
        <v>0</v>
      </c>
      <c r="P898">
        <v>0</v>
      </c>
      <c r="Q898">
        <f>IF(O898&gt;G898,(O898-G898),0)</f>
        <v>0</v>
      </c>
      <c r="R898">
        <v>1</v>
      </c>
      <c r="S898">
        <f>IF(Q898&gt;0,Int(P898/Q898),0)</f>
        <v>0</v>
      </c>
      <c r="T898">
        <f>174004.51</f>
        <v>174004.51</v>
      </c>
      <c r="U898" t="s">
        <v>3166</v>
      </c>
      <c r="V898">
        <v>399727.27</v>
      </c>
      <c r="W898" t="s">
        <v>75</v>
      </c>
      <c r="X898"/>
    </row>
    <row r="899" spans="1:27">
      <c r="A899" t="s">
        <v>28</v>
      </c>
      <c r="B899" t="s">
        <v>29</v>
      </c>
      <c r="C899" t="s">
        <v>3167</v>
      </c>
      <c r="D899" t="s">
        <v>3168</v>
      </c>
      <c r="E899" t="s">
        <v>3169</v>
      </c>
      <c r="F899" t="s">
        <v>33</v>
      </c>
      <c r="G899">
        <v>0</v>
      </c>
      <c r="H899">
        <f>((0/1000) * G899)</f>
        <v>0</v>
      </c>
      <c r="I899">
        <v>0</v>
      </c>
      <c r="J899">
        <v>0</v>
      </c>
      <c r="K899" s="3571">
        <v>158321.43</v>
      </c>
      <c r="L899" s="3572">
        <f>(K899 * G899)</f>
        <v>0</v>
      </c>
      <c r="M899" s="3573">
        <v>221650</v>
      </c>
      <c r="N899" s="3574">
        <f>(G899 * M899)</f>
        <v>0</v>
      </c>
      <c r="O899">
        <v>0</v>
      </c>
      <c r="P899">
        <v>0</v>
      </c>
      <c r="Q899">
        <f>IF(O899&gt;G899,(O899-G899),0)</f>
        <v>0</v>
      </c>
      <c r="R899">
        <v>0</v>
      </c>
      <c r="S899">
        <f>IF(Q899&gt;0,Int(P899/Q899),0)</f>
        <v>0</v>
      </c>
      <c r="T899">
        <f>0</f>
        <v>0</v>
      </c>
      <c r="U899"/>
      <c r="V899">
        <v>158321.43</v>
      </c>
      <c r="W899" t="s">
        <v>75</v>
      </c>
      <c r="X899"/>
    </row>
    <row r="900" spans="1:27">
      <c r="A900" t="s">
        <v>28</v>
      </c>
      <c r="B900" t="s">
        <v>29</v>
      </c>
      <c r="C900" t="s">
        <v>3170</v>
      </c>
      <c r="D900" t="s">
        <v>3170</v>
      </c>
      <c r="E900" t="s">
        <v>3171</v>
      </c>
      <c r="F900" t="s">
        <v>41</v>
      </c>
      <c r="G900">
        <v>9</v>
      </c>
      <c r="H900">
        <f>((0/1000) * G900)</f>
        <v>0</v>
      </c>
      <c r="I900">
        <v>0</v>
      </c>
      <c r="J900">
        <v>9</v>
      </c>
      <c r="K900" s="3575">
        <v>89000</v>
      </c>
      <c r="L900" s="3576">
        <f>(K900 * G900)</f>
        <v>801000</v>
      </c>
      <c r="M900" s="3577">
        <v>133500</v>
      </c>
      <c r="N900" s="3578">
        <f>(G900 * M900)</f>
        <v>1201500</v>
      </c>
      <c r="O900">
        <v>0</v>
      </c>
      <c r="P900">
        <v>0</v>
      </c>
      <c r="Q900">
        <f>IF(O900&gt;G900,(O900-G900),0)</f>
        <v>0</v>
      </c>
      <c r="R900">
        <v>0</v>
      </c>
      <c r="S900">
        <f>IF(Q900&gt;0,Int(P900/Q900),0)</f>
        <v>0</v>
      </c>
      <c r="T900">
        <f>106330</f>
        <v>106330</v>
      </c>
      <c r="U900" t="s">
        <v>1147</v>
      </c>
      <c r="V900">
        <v>89000</v>
      </c>
      <c r="W900" t="s">
        <v>80</v>
      </c>
      <c r="X900" t="s">
        <v>490</v>
      </c>
    </row>
    <row r="901" spans="1:27">
      <c r="A901" t="s">
        <v>35</v>
      </c>
      <c r="B901" t="s">
        <v>29</v>
      </c>
      <c r="C901" t="s">
        <v>3172</v>
      </c>
      <c r="D901" t="s">
        <v>3173</v>
      </c>
      <c r="E901" t="s">
        <v>3174</v>
      </c>
      <c r="F901" t="s">
        <v>41</v>
      </c>
      <c r="G901">
        <v>0</v>
      </c>
      <c r="H901">
        <f>((0/1000) * G901)</f>
        <v>0</v>
      </c>
      <c r="I901">
        <v>0</v>
      </c>
      <c r="J901">
        <v>0</v>
      </c>
      <c r="K901" s="3579">
        <v>435833.68</v>
      </c>
      <c r="L901" s="3580">
        <f>(K901 * G901)</f>
        <v>0</v>
      </c>
      <c r="M901" s="3581">
        <v>610167.15</v>
      </c>
      <c r="N901" s="3582">
        <f>(G901 * M901)</f>
        <v>0</v>
      </c>
      <c r="O901">
        <v>0</v>
      </c>
      <c r="P901">
        <v>0</v>
      </c>
      <c r="Q901">
        <f>IF(O901&gt;G901,(O901-G901),0)</f>
        <v>0</v>
      </c>
      <c r="R901">
        <v>1</v>
      </c>
      <c r="S901">
        <f>IF(Q901&gt;0,Int(P901/Q901),0)</f>
        <v>0</v>
      </c>
      <c r="T901">
        <f>456874.53</f>
        <v>456874.53</v>
      </c>
      <c r="U901" t="s">
        <v>3175</v>
      </c>
      <c r="V901">
        <v>435833.68</v>
      </c>
      <c r="W901" t="s">
        <v>182</v>
      </c>
      <c r="X901"/>
    </row>
    <row r="902" spans="1:27">
      <c r="A902" t="s">
        <v>35</v>
      </c>
      <c r="B902" t="s">
        <v>29</v>
      </c>
      <c r="C902" t="s">
        <v>3176</v>
      </c>
      <c r="D902" t="s">
        <v>3177</v>
      </c>
      <c r="E902" t="s">
        <v>3178</v>
      </c>
      <c r="F902" t="s">
        <v>33</v>
      </c>
      <c r="G902">
        <v>0</v>
      </c>
      <c r="H902">
        <f>((0/1000) * G902)</f>
        <v>0</v>
      </c>
      <c r="I902">
        <v>0</v>
      </c>
      <c r="J902">
        <v>0</v>
      </c>
      <c r="K902" s="3583">
        <v>65682.63</v>
      </c>
      <c r="L902" s="3584">
        <f>(K902 * G902)</f>
        <v>0</v>
      </c>
      <c r="M902" s="3585">
        <v>91955.68</v>
      </c>
      <c r="N902" s="3586">
        <f>(G902 * M902)</f>
        <v>0</v>
      </c>
      <c r="O902">
        <v>0</v>
      </c>
      <c r="P902">
        <v>0</v>
      </c>
      <c r="Q902">
        <f>IF(O902&gt;G902,(O902-G902),0)</f>
        <v>0</v>
      </c>
      <c r="R902">
        <v>1</v>
      </c>
      <c r="S902">
        <f>IF(Q902&gt;0,Int(P902/Q902),0)</f>
        <v>0</v>
      </c>
      <c r="T902">
        <f>0</f>
        <v>0</v>
      </c>
      <c r="U902"/>
      <c r="V902">
        <v>65682.63</v>
      </c>
      <c r="W902" t="s">
        <v>75</v>
      </c>
      <c r="X902"/>
    </row>
    <row r="903" spans="1:27">
      <c r="A903" t="s">
        <v>28</v>
      </c>
      <c r="B903" t="s">
        <v>29</v>
      </c>
      <c r="C903" t="s">
        <v>3179</v>
      </c>
      <c r="D903" t="s">
        <v>3180</v>
      </c>
      <c r="E903" t="s">
        <v>3181</v>
      </c>
      <c r="F903" t="s">
        <v>33</v>
      </c>
      <c r="G903">
        <v>0</v>
      </c>
      <c r="H903">
        <f>((0/1000) * G903)</f>
        <v>0</v>
      </c>
      <c r="I903">
        <v>0</v>
      </c>
      <c r="J903">
        <v>0</v>
      </c>
      <c r="K903" s="3587">
        <v>0</v>
      </c>
      <c r="L903" s="3588">
        <f>(K903 * G903)</f>
        <v>0</v>
      </c>
      <c r="M903" s="3589">
        <v>0</v>
      </c>
      <c r="N903" s="3590">
        <f>(G903 * M903)</f>
        <v>0</v>
      </c>
      <c r="O903">
        <v>0</v>
      </c>
      <c r="P903">
        <v>0</v>
      </c>
      <c r="Q903">
        <f>IF(O903&gt;G903,(O903-G903),0)</f>
        <v>0</v>
      </c>
      <c r="R903">
        <v>1</v>
      </c>
      <c r="S903">
        <f>IF(Q903&gt;0,Int(P903/Q903),0)</f>
        <v>0</v>
      </c>
      <c r="T903">
        <f>0</f>
        <v>0</v>
      </c>
      <c r="U903"/>
      <c r="V903">
        <v>0</v>
      </c>
      <c r="W903">
        <v>0</v>
      </c>
      <c r="X903"/>
    </row>
    <row r="904" spans="1:27">
      <c r="A904" t="s">
        <v>28</v>
      </c>
      <c r="B904" t="s">
        <v>29</v>
      </c>
      <c r="C904" t="s">
        <v>3182</v>
      </c>
      <c r="D904" t="s">
        <v>3183</v>
      </c>
      <c r="E904" t="s">
        <v>3184</v>
      </c>
      <c r="F904" t="s">
        <v>33</v>
      </c>
      <c r="G904">
        <v>0</v>
      </c>
      <c r="H904">
        <f>((0/1000) * G904)</f>
        <v>0</v>
      </c>
      <c r="I904">
        <v>0</v>
      </c>
      <c r="J904">
        <v>0</v>
      </c>
      <c r="K904" s="3591">
        <v>49254.55</v>
      </c>
      <c r="L904" s="3592">
        <f>(K904 * G904)</f>
        <v>0</v>
      </c>
      <c r="M904" s="3593">
        <v>68956.37</v>
      </c>
      <c r="N904" s="3594">
        <f>(G904 * M904)</f>
        <v>0</v>
      </c>
      <c r="O904">
        <v>0</v>
      </c>
      <c r="P904">
        <v>0</v>
      </c>
      <c r="Q904">
        <f>IF(O904&gt;G904,(O904-G904),0)</f>
        <v>0</v>
      </c>
      <c r="R904">
        <v>1</v>
      </c>
      <c r="S904">
        <f>IF(Q904&gt;0,Int(P904/Q904),0)</f>
        <v>0</v>
      </c>
      <c r="T904">
        <f>45229.15</f>
        <v>45229.15</v>
      </c>
      <c r="U904" t="s">
        <v>3185</v>
      </c>
      <c r="V904">
        <v>49254.55</v>
      </c>
      <c r="W904" t="s">
        <v>75</v>
      </c>
      <c r="X904"/>
    </row>
    <row r="905" spans="1:27">
      <c r="A905" t="s">
        <v>35</v>
      </c>
      <c r="B905" t="s">
        <v>29</v>
      </c>
      <c r="C905" t="s">
        <v>3186</v>
      </c>
      <c r="D905" t="s">
        <v>3187</v>
      </c>
      <c r="E905" t="s">
        <v>3188</v>
      </c>
      <c r="F905" t="s">
        <v>33</v>
      </c>
      <c r="G905">
        <v>0</v>
      </c>
      <c r="H905">
        <f>((0/1000) * G905)</f>
        <v>0</v>
      </c>
      <c r="I905">
        <v>0</v>
      </c>
      <c r="J905">
        <v>0</v>
      </c>
      <c r="K905" s="3595">
        <v>171652.89</v>
      </c>
      <c r="L905" s="3596">
        <f>(K905 * G905)</f>
        <v>0</v>
      </c>
      <c r="M905" s="3597">
        <v>188818.18</v>
      </c>
      <c r="N905" s="3598">
        <f>(G905 * M905)</f>
        <v>0</v>
      </c>
      <c r="O905">
        <v>0</v>
      </c>
      <c r="P905">
        <v>0</v>
      </c>
      <c r="Q905">
        <f>IF(O905&gt;G905,(O905-G905),0)</f>
        <v>0</v>
      </c>
      <c r="R905">
        <v>1</v>
      </c>
      <c r="S905">
        <f>IF(Q905&gt;0,Int(P905/Q905),0)</f>
        <v>0</v>
      </c>
      <c r="T905">
        <f>178362.13</f>
        <v>178362.13</v>
      </c>
      <c r="U905" t="s">
        <v>3189</v>
      </c>
      <c r="V905">
        <v>171652.89</v>
      </c>
      <c r="W905" t="s">
        <v>43</v>
      </c>
      <c r="X905"/>
    </row>
    <row r="906" spans="1:27">
      <c r="A906" t="s">
        <v>28</v>
      </c>
      <c r="B906" t="s">
        <v>29</v>
      </c>
      <c r="C906" t="s">
        <v>3190</v>
      </c>
      <c r="D906" t="s">
        <v>3191</v>
      </c>
      <c r="E906" t="s">
        <v>3192</v>
      </c>
      <c r="F906" t="s">
        <v>33</v>
      </c>
      <c r="G906">
        <v>0</v>
      </c>
      <c r="H906">
        <f>((0/1000) * G906)</f>
        <v>0</v>
      </c>
      <c r="I906">
        <v>0</v>
      </c>
      <c r="J906">
        <v>0</v>
      </c>
      <c r="K906" s="3599">
        <v>167951.07</v>
      </c>
      <c r="L906" s="3600">
        <f>(K906 * G906)</f>
        <v>0</v>
      </c>
      <c r="M906" s="3601">
        <v>184746.18</v>
      </c>
      <c r="N906" s="3602">
        <f>(G906 * M906)</f>
        <v>0</v>
      </c>
      <c r="O906">
        <v>0</v>
      </c>
      <c r="P906">
        <v>0</v>
      </c>
      <c r="Q906">
        <f>IF(O906&gt;G906,(O906-G906),0)</f>
        <v>0</v>
      </c>
      <c r="R906">
        <v>1</v>
      </c>
      <c r="S906">
        <f>IF(Q906&gt;0,Int(P906/Q906),0)</f>
        <v>0</v>
      </c>
      <c r="T906">
        <f>167951.07</f>
        <v>167951.07</v>
      </c>
      <c r="U906" t="s">
        <v>3193</v>
      </c>
      <c r="V906">
        <v>167951.07</v>
      </c>
      <c r="W906" t="s">
        <v>43</v>
      </c>
      <c r="X906" t="s">
        <v>386</v>
      </c>
    </row>
    <row r="907" spans="1:27">
      <c r="A907" t="s">
        <v>28</v>
      </c>
      <c r="B907" t="s">
        <v>29</v>
      </c>
      <c r="C907" t="s">
        <v>3194</v>
      </c>
      <c r="D907" t="s">
        <v>3195</v>
      </c>
      <c r="E907" t="s">
        <v>3196</v>
      </c>
      <c r="F907" t="s">
        <v>33</v>
      </c>
      <c r="G907">
        <v>0</v>
      </c>
      <c r="H907">
        <f>((0/1000) * G907)</f>
        <v>0</v>
      </c>
      <c r="I907">
        <v>0</v>
      </c>
      <c r="J907">
        <v>0</v>
      </c>
      <c r="K907" s="3603">
        <v>160292.66</v>
      </c>
      <c r="L907" s="3604">
        <f>(K907 * G907)</f>
        <v>0</v>
      </c>
      <c r="M907" s="3605">
        <v>224409.73</v>
      </c>
      <c r="N907" s="3606">
        <f>(G907 * M907)</f>
        <v>0</v>
      </c>
      <c r="O907">
        <v>0</v>
      </c>
      <c r="P907">
        <v>0</v>
      </c>
      <c r="Q907">
        <f>IF(O907&gt;G907,(O907-G907),0)</f>
        <v>0</v>
      </c>
      <c r="R907">
        <v>1</v>
      </c>
      <c r="S907">
        <f>IF(Q907&gt;0,Int(P907/Q907),0)</f>
        <v>0</v>
      </c>
      <c r="T907">
        <f>145720.6</f>
        <v>145720.6</v>
      </c>
      <c r="U907" t="s">
        <v>3197</v>
      </c>
      <c r="V907">
        <v>160292.66</v>
      </c>
      <c r="W907" t="s">
        <v>75</v>
      </c>
      <c r="X907"/>
    </row>
    <row r="908" spans="1:27">
      <c r="A908" t="s">
        <v>28</v>
      </c>
      <c r="B908" t="s">
        <v>29</v>
      </c>
      <c r="C908" t="s">
        <v>3198</v>
      </c>
      <c r="D908" t="s">
        <v>3199</v>
      </c>
      <c r="E908" t="s">
        <v>3200</v>
      </c>
      <c r="F908" t="s">
        <v>33</v>
      </c>
      <c r="G908">
        <v>0</v>
      </c>
      <c r="H908">
        <f>((0/1000) * G908)</f>
        <v>0</v>
      </c>
      <c r="I908">
        <v>0</v>
      </c>
      <c r="J908">
        <v>0</v>
      </c>
      <c r="K908" s="3607">
        <v>259917.36</v>
      </c>
      <c r="L908" s="3608">
        <f>(K908 * G908)</f>
        <v>0</v>
      </c>
      <c r="M908" s="3609">
        <v>285909.09</v>
      </c>
      <c r="N908" s="3610">
        <f>(G908 * M908)</f>
        <v>0</v>
      </c>
      <c r="O908">
        <v>0</v>
      </c>
      <c r="P908">
        <v>0</v>
      </c>
      <c r="Q908">
        <f>IF(O908&gt;G908,(O908-G908),0)</f>
        <v>0</v>
      </c>
      <c r="R908">
        <v>1</v>
      </c>
      <c r="S908">
        <f>IF(Q908&gt;0,Int(P908/Q908),0)</f>
        <v>0</v>
      </c>
      <c r="T908">
        <f>233182</f>
        <v>233182</v>
      </c>
      <c r="U908" t="s">
        <v>3201</v>
      </c>
      <c r="V908">
        <v>259917.36</v>
      </c>
      <c r="W908" t="s">
        <v>43</v>
      </c>
      <c r="X908"/>
    </row>
    <row r="909" spans="1:27">
      <c r="A909" t="s">
        <v>28</v>
      </c>
      <c r="B909" t="s">
        <v>29</v>
      </c>
      <c r="C909" t="s">
        <v>3202</v>
      </c>
      <c r="D909" t="s">
        <v>3203</v>
      </c>
      <c r="E909" t="s">
        <v>3204</v>
      </c>
      <c r="F909" t="s">
        <v>41</v>
      </c>
      <c r="G909">
        <v>2</v>
      </c>
      <c r="H909">
        <f>((0/1000) * G909)</f>
        <v>0</v>
      </c>
      <c r="I909">
        <v>2</v>
      </c>
      <c r="J909">
        <v>0</v>
      </c>
      <c r="K909" s="3611">
        <v>360545.46</v>
      </c>
      <c r="L909" s="3612">
        <f>(K909 * G909)</f>
        <v>721090.92</v>
      </c>
      <c r="M909" s="3613">
        <v>504763.64</v>
      </c>
      <c r="N909" s="3614">
        <f>(G909 * M909)</f>
        <v>1009527.28</v>
      </c>
      <c r="O909">
        <v>0</v>
      </c>
      <c r="P909">
        <v>0</v>
      </c>
      <c r="Q909">
        <f>IF(O909&gt;G909,(O909-G909),0)</f>
        <v>0</v>
      </c>
      <c r="R909">
        <v>1</v>
      </c>
      <c r="S909">
        <f>IF(Q909&gt;0,Int(P909/Q909),0)</f>
        <v>0</v>
      </c>
      <c r="T909">
        <f>74297.52</f>
        <v>74297.52</v>
      </c>
      <c r="U909" t="s">
        <v>3205</v>
      </c>
      <c r="V909">
        <v>360545.46</v>
      </c>
      <c r="W909" t="s">
        <v>75</v>
      </c>
      <c r="X909"/>
    </row>
    <row r="910" spans="1:27">
      <c r="A910" t="s">
        <v>28</v>
      </c>
      <c r="B910" t="s">
        <v>29</v>
      </c>
      <c r="C910" t="s">
        <v>3206</v>
      </c>
      <c r="D910" t="s">
        <v>3207</v>
      </c>
      <c r="E910" t="s">
        <v>3208</v>
      </c>
      <c r="F910" t="s">
        <v>33</v>
      </c>
      <c r="G910">
        <v>0</v>
      </c>
      <c r="H910">
        <f>((0/1000) * G910)</f>
        <v>0</v>
      </c>
      <c r="I910">
        <v>0</v>
      </c>
      <c r="J910">
        <v>0</v>
      </c>
      <c r="K910" s="3615">
        <v>280019.08</v>
      </c>
      <c r="L910" s="3616">
        <f>(K910 * G910)</f>
        <v>0</v>
      </c>
      <c r="M910" s="3617">
        <v>392026.72</v>
      </c>
      <c r="N910" s="3618">
        <f>(G910 * M910)</f>
        <v>0</v>
      </c>
      <c r="O910">
        <v>0</v>
      </c>
      <c r="P910">
        <v>0</v>
      </c>
      <c r="Q910">
        <f>IF(O910&gt;G910,(O910-G910),0)</f>
        <v>0</v>
      </c>
      <c r="R910">
        <v>1</v>
      </c>
      <c r="S910">
        <f>IF(Q910&gt;0,Int(P910/Q910),0)</f>
        <v>0</v>
      </c>
      <c r="T910">
        <f>282419.23</f>
        <v>282419.23</v>
      </c>
      <c r="U910" t="s">
        <v>3209</v>
      </c>
      <c r="V910">
        <v>280019.08</v>
      </c>
      <c r="W910" t="s">
        <v>182</v>
      </c>
      <c r="X910" t="s">
        <v>226</v>
      </c>
    </row>
    <row r="911" spans="1:27">
      <c r="A911" t="s">
        <v>35</v>
      </c>
      <c r="B911" t="s">
        <v>29</v>
      </c>
      <c r="C911" t="s">
        <v>3210</v>
      </c>
      <c r="D911" t="s">
        <v>3211</v>
      </c>
      <c r="E911" t="s">
        <v>3212</v>
      </c>
      <c r="F911" t="s">
        <v>33</v>
      </c>
      <c r="G911">
        <v>0</v>
      </c>
      <c r="H911">
        <f>((0/1000) * G911)</f>
        <v>0</v>
      </c>
      <c r="I911">
        <v>0</v>
      </c>
      <c r="J911">
        <v>0</v>
      </c>
      <c r="K911" s="3619">
        <v>266684.88</v>
      </c>
      <c r="L911" s="3620">
        <f>(K911 * G911)</f>
        <v>0</v>
      </c>
      <c r="M911" s="3621">
        <v>373358.84</v>
      </c>
      <c r="N911" s="3622">
        <f>(G911 * M911)</f>
        <v>0</v>
      </c>
      <c r="O911">
        <v>0</v>
      </c>
      <c r="P911">
        <v>0</v>
      </c>
      <c r="Q911">
        <f>IF(O911&gt;G911,(O911-G911),0)</f>
        <v>0</v>
      </c>
      <c r="R911">
        <v>1</v>
      </c>
      <c r="S911">
        <f>IF(Q911&gt;0,Int(P911/Q911),0)</f>
        <v>0</v>
      </c>
      <c r="T911">
        <f>222418.23</f>
        <v>222418.23</v>
      </c>
      <c r="U911" t="s">
        <v>3213</v>
      </c>
      <c r="V911">
        <v>266684.88</v>
      </c>
      <c r="W911" t="s">
        <v>182</v>
      </c>
      <c r="X911"/>
    </row>
    <row r="912" spans="1:27">
      <c r="A912" t="s">
        <v>35</v>
      </c>
      <c r="B912" t="s">
        <v>29</v>
      </c>
      <c r="C912" t="s">
        <v>3214</v>
      </c>
      <c r="D912" t="s">
        <v>3215</v>
      </c>
      <c r="E912" t="s">
        <v>3216</v>
      </c>
      <c r="F912" t="s">
        <v>33</v>
      </c>
      <c r="G912">
        <v>0</v>
      </c>
      <c r="H912">
        <f>((0/1000) * G912)</f>
        <v>0</v>
      </c>
      <c r="I912">
        <v>0</v>
      </c>
      <c r="J912">
        <v>0</v>
      </c>
      <c r="K912" s="3623">
        <v>0</v>
      </c>
      <c r="L912" s="3624">
        <f>(K912 * G912)</f>
        <v>0</v>
      </c>
      <c r="M912" s="3625">
        <v>0</v>
      </c>
      <c r="N912" s="3626">
        <f>(G912 * M912)</f>
        <v>0</v>
      </c>
      <c r="O912">
        <v>0</v>
      </c>
      <c r="P912">
        <v>0</v>
      </c>
      <c r="Q912">
        <f>IF(O912&gt;G912,(O912-G912),0)</f>
        <v>0</v>
      </c>
      <c r="R912">
        <v>1</v>
      </c>
      <c r="S912">
        <f>IF(Q912&gt;0,Int(P912/Q912),0)</f>
        <v>0</v>
      </c>
      <c r="T912">
        <f>72922.61</f>
        <v>72922.61</v>
      </c>
      <c r="U912" t="s">
        <v>3217</v>
      </c>
      <c r="V912">
        <v>0</v>
      </c>
      <c r="W912">
        <v>0</v>
      </c>
      <c r="X912"/>
    </row>
    <row r="913" spans="1:27">
      <c r="A913" t="s">
        <v>28</v>
      </c>
      <c r="B913" t="s">
        <v>29</v>
      </c>
      <c r="C913" t="s">
        <v>3218</v>
      </c>
      <c r="D913" t="s">
        <v>3219</v>
      </c>
      <c r="E913" t="s">
        <v>3220</v>
      </c>
      <c r="F913" t="s">
        <v>33</v>
      </c>
      <c r="G913">
        <v>0</v>
      </c>
      <c r="H913">
        <f>((0/1000) * G913)</f>
        <v>0</v>
      </c>
      <c r="I913">
        <v>0</v>
      </c>
      <c r="J913">
        <v>0</v>
      </c>
      <c r="K913" s="3627">
        <v>169400</v>
      </c>
      <c r="L913" s="3628">
        <f>(K913 * G913)</f>
        <v>0</v>
      </c>
      <c r="M913" s="3629">
        <v>237160</v>
      </c>
      <c r="N913" s="3630">
        <f>(G913 * M913)</f>
        <v>0</v>
      </c>
      <c r="O913">
        <v>0</v>
      </c>
      <c r="P913">
        <v>0</v>
      </c>
      <c r="Q913">
        <f>IF(O913&gt;G913,(O913-G913),0)</f>
        <v>0</v>
      </c>
      <c r="R913">
        <v>1</v>
      </c>
      <c r="S913">
        <f>IF(Q913&gt;0,Int(P913/Q913),0)</f>
        <v>0</v>
      </c>
      <c r="T913">
        <f>154000</f>
        <v>154000</v>
      </c>
      <c r="U913" t="s">
        <v>3221</v>
      </c>
      <c r="V913">
        <v>169400</v>
      </c>
      <c r="W913" t="s">
        <v>75</v>
      </c>
      <c r="X913"/>
    </row>
    <row r="914" spans="1:27">
      <c r="A914" t="s">
        <v>28</v>
      </c>
      <c r="B914" t="s">
        <v>29</v>
      </c>
      <c r="C914" t="s">
        <v>3222</v>
      </c>
      <c r="D914" t="s">
        <v>3223</v>
      </c>
      <c r="E914" t="s">
        <v>3224</v>
      </c>
      <c r="F914" t="s">
        <v>33</v>
      </c>
      <c r="G914">
        <v>0</v>
      </c>
      <c r="H914">
        <f>((0/1000) * G914)</f>
        <v>0</v>
      </c>
      <c r="I914">
        <v>0</v>
      </c>
      <c r="J914">
        <v>0</v>
      </c>
      <c r="K914" s="3631">
        <v>150899</v>
      </c>
      <c r="L914" s="3632">
        <f>(K914 * G914)</f>
        <v>0</v>
      </c>
      <c r="M914" s="3633">
        <v>226348.5</v>
      </c>
      <c r="N914" s="3634">
        <f>(G914 * M914)</f>
        <v>0</v>
      </c>
      <c r="O914">
        <v>0</v>
      </c>
      <c r="P914">
        <v>0</v>
      </c>
      <c r="Q914">
        <f>IF(O914&gt;G914,(O914-G914),0)</f>
        <v>0</v>
      </c>
      <c r="R914">
        <v>1</v>
      </c>
      <c r="S914">
        <f>IF(Q914&gt;0,Int(P914/Q914),0)</f>
        <v>0</v>
      </c>
      <c r="T914">
        <f>150899</f>
        <v>150899</v>
      </c>
      <c r="U914" t="s">
        <v>605</v>
      </c>
      <c r="V914">
        <v>150899</v>
      </c>
      <c r="W914" t="s">
        <v>1498</v>
      </c>
      <c r="X914" t="s">
        <v>418</v>
      </c>
    </row>
    <row r="915" spans="1:27">
      <c r="A915" t="s">
        <v>28</v>
      </c>
      <c r="B915" t="s">
        <v>29</v>
      </c>
      <c r="C915" t="s">
        <v>3225</v>
      </c>
      <c r="D915" t="s">
        <v>3226</v>
      </c>
      <c r="E915" t="s">
        <v>3227</v>
      </c>
      <c r="F915" t="s">
        <v>41</v>
      </c>
      <c r="G915">
        <v>0</v>
      </c>
      <c r="H915">
        <f>((0/1000) * G915)</f>
        <v>0</v>
      </c>
      <c r="I915">
        <v>0</v>
      </c>
      <c r="J915">
        <v>0</v>
      </c>
      <c r="K915" s="3635">
        <v>107439</v>
      </c>
      <c r="L915" s="3636">
        <f>(K915 * G915)</f>
        <v>0</v>
      </c>
      <c r="M915" s="3637">
        <v>171900.83</v>
      </c>
      <c r="N915" s="3638">
        <f>(G915 * M915)</f>
        <v>0</v>
      </c>
      <c r="O915">
        <v>0</v>
      </c>
      <c r="P915">
        <v>0</v>
      </c>
      <c r="Q915">
        <f>IF(O915&gt;G915,(O915-G915),0)</f>
        <v>0</v>
      </c>
      <c r="R915">
        <v>1</v>
      </c>
      <c r="S915">
        <f>IF(Q915&gt;0,Int(P915/Q915),0)</f>
        <v>0</v>
      </c>
      <c r="T915">
        <f>107439</f>
        <v>107439</v>
      </c>
      <c r="U915" t="s">
        <v>3228</v>
      </c>
      <c r="V915">
        <v>107439</v>
      </c>
      <c r="W915" t="s">
        <v>54</v>
      </c>
      <c r="X915" t="s">
        <v>3229</v>
      </c>
    </row>
    <row r="916" spans="1:27">
      <c r="A916" t="s">
        <v>35</v>
      </c>
      <c r="B916" t="s">
        <v>29</v>
      </c>
      <c r="C916" t="s">
        <v>3230</v>
      </c>
      <c r="D916" t="s">
        <v>3230</v>
      </c>
      <c r="E916" t="s">
        <v>3231</v>
      </c>
      <c r="F916" t="s">
        <v>33</v>
      </c>
      <c r="G916">
        <v>0</v>
      </c>
      <c r="H916">
        <f>((0/1000) * G916)</f>
        <v>0</v>
      </c>
      <c r="I916">
        <v>0</v>
      </c>
      <c r="J916">
        <v>0</v>
      </c>
      <c r="K916" s="3639">
        <v>209090.2</v>
      </c>
      <c r="L916" s="3640">
        <f>(K916 * G916)</f>
        <v>0</v>
      </c>
      <c r="M916" s="3641">
        <v>209090.2</v>
      </c>
      <c r="N916" s="3642">
        <f>(G916 * M916)</f>
        <v>0</v>
      </c>
      <c r="O916">
        <v>0</v>
      </c>
      <c r="P916">
        <v>0</v>
      </c>
      <c r="Q916">
        <f>IF(O916&gt;G916,(O916-G916),0)</f>
        <v>0</v>
      </c>
      <c r="R916">
        <v>1</v>
      </c>
      <c r="S916">
        <f>IF(Q916&gt;0,Int(P916/Q916),0)</f>
        <v>0</v>
      </c>
      <c r="T916">
        <f>0</f>
        <v>0</v>
      </c>
      <c r="U916" t="s">
        <v>3232</v>
      </c>
      <c r="V916">
        <v>209090.2</v>
      </c>
      <c r="W916" t="s">
        <v>43</v>
      </c>
      <c r="X916"/>
    </row>
    <row r="917" spans="1:27">
      <c r="A917" t="s">
        <v>28</v>
      </c>
      <c r="B917" t="s">
        <v>29</v>
      </c>
      <c r="C917" t="s">
        <v>3233</v>
      </c>
      <c r="D917" t="s">
        <v>3234</v>
      </c>
      <c r="E917" t="s">
        <v>3235</v>
      </c>
      <c r="F917" t="s">
        <v>41</v>
      </c>
      <c r="G917">
        <v>0</v>
      </c>
      <c r="H917">
        <f>((0/1000) * G917)</f>
        <v>0</v>
      </c>
      <c r="I917">
        <v>0</v>
      </c>
      <c r="J917">
        <v>0</v>
      </c>
      <c r="K917" s="3643">
        <v>43180.5</v>
      </c>
      <c r="L917" s="3644">
        <f>(K917 * G917)</f>
        <v>0</v>
      </c>
      <c r="M917" s="3645">
        <v>47498.55</v>
      </c>
      <c r="N917" s="3646">
        <f>(G917 * M917)</f>
        <v>0</v>
      </c>
      <c r="O917">
        <v>0</v>
      </c>
      <c r="P917">
        <v>0</v>
      </c>
      <c r="Q917">
        <f>IF(O917&gt;G917,(O917-G917),0)</f>
        <v>0</v>
      </c>
      <c r="R917">
        <v>1</v>
      </c>
      <c r="S917">
        <f>IF(Q917&gt;0,Int(P917/Q917),0)</f>
        <v>0</v>
      </c>
      <c r="T917">
        <f>0</f>
        <v>0</v>
      </c>
      <c r="U917"/>
      <c r="V917">
        <v>43180.5</v>
      </c>
      <c r="W917" t="s">
        <v>43</v>
      </c>
      <c r="X917"/>
    </row>
    <row r="918" spans="1:27">
      <c r="A918" t="s">
        <v>35</v>
      </c>
      <c r="B918" t="s">
        <v>29</v>
      </c>
      <c r="C918" t="s">
        <v>3236</v>
      </c>
      <c r="D918" t="s">
        <v>3237</v>
      </c>
      <c r="E918" t="s">
        <v>3238</v>
      </c>
      <c r="F918" t="s">
        <v>33</v>
      </c>
      <c r="G918">
        <v>0</v>
      </c>
      <c r="H918">
        <f>((0/1000) * G918)</f>
        <v>0</v>
      </c>
      <c r="I918">
        <v>0</v>
      </c>
      <c r="J918">
        <v>0</v>
      </c>
      <c r="K918" s="3647">
        <v>292207.15</v>
      </c>
      <c r="L918" s="3648">
        <f>(K918 * G918)</f>
        <v>0</v>
      </c>
      <c r="M918" s="3649">
        <v>409090</v>
      </c>
      <c r="N918" s="3650">
        <f>(G918 * M918)</f>
        <v>0</v>
      </c>
      <c r="O918">
        <v>0</v>
      </c>
      <c r="P918">
        <v>0</v>
      </c>
      <c r="Q918">
        <f>IF(O918&gt;G918,(O918-G918),0)</f>
        <v>0</v>
      </c>
      <c r="R918">
        <v>1</v>
      </c>
      <c r="S918">
        <f>IF(Q918&gt;0,Int(P918/Q918),0)</f>
        <v>0</v>
      </c>
      <c r="T918">
        <f>0</f>
        <v>0</v>
      </c>
      <c r="U918"/>
      <c r="V918">
        <v>292207.15</v>
      </c>
      <c r="W918" t="s">
        <v>75</v>
      </c>
      <c r="X918"/>
    </row>
    <row r="919" spans="1:27">
      <c r="A919" t="s">
        <v>28</v>
      </c>
      <c r="B919" t="s">
        <v>29</v>
      </c>
      <c r="C919" t="s">
        <v>3239</v>
      </c>
      <c r="D919" t="s">
        <v>3240</v>
      </c>
      <c r="E919" t="s">
        <v>3241</v>
      </c>
      <c r="F919" t="s">
        <v>33</v>
      </c>
      <c r="G919">
        <v>0</v>
      </c>
      <c r="H919">
        <f>((0/1000) * G919)</f>
        <v>0</v>
      </c>
      <c r="I919">
        <v>0</v>
      </c>
      <c r="J919">
        <v>0</v>
      </c>
      <c r="K919" s="3651">
        <v>78357.28</v>
      </c>
      <c r="L919" s="3652">
        <f>(K919 * G919)</f>
        <v>0</v>
      </c>
      <c r="M919" s="3653">
        <v>86193.01</v>
      </c>
      <c r="N919" s="3654">
        <f>(G919 * M919)</f>
        <v>0</v>
      </c>
      <c r="O919">
        <v>0</v>
      </c>
      <c r="P919">
        <v>0</v>
      </c>
      <c r="Q919">
        <f>IF(O919&gt;G919,(O919-G919),0)</f>
        <v>0</v>
      </c>
      <c r="R919">
        <v>1</v>
      </c>
      <c r="S919">
        <f>IF(Q919&gt;0,Int(P919/Q919),0)</f>
        <v>0</v>
      </c>
      <c r="T919">
        <f>71233.89</f>
        <v>71233.89</v>
      </c>
      <c r="U919" t="s">
        <v>3242</v>
      </c>
      <c r="V919">
        <v>78357.28</v>
      </c>
      <c r="W919" t="s">
        <v>43</v>
      </c>
      <c r="X919"/>
    </row>
    <row r="920" spans="1:27">
      <c r="A920" t="s">
        <v>28</v>
      </c>
      <c r="B920" t="s">
        <v>29</v>
      </c>
      <c r="C920" t="s">
        <v>3243</v>
      </c>
      <c r="D920" t="s">
        <v>3244</v>
      </c>
      <c r="E920" t="s">
        <v>3245</v>
      </c>
      <c r="F920" t="s">
        <v>41</v>
      </c>
      <c r="G920">
        <v>0</v>
      </c>
      <c r="H920">
        <f>((0/1000) * G920)</f>
        <v>0</v>
      </c>
      <c r="I920">
        <v>0</v>
      </c>
      <c r="J920">
        <v>0</v>
      </c>
      <c r="K920" s="3655">
        <v>421360.54</v>
      </c>
      <c r="L920" s="3656">
        <f>(K920 * G920)</f>
        <v>0</v>
      </c>
      <c r="M920" s="3657">
        <v>589904.76</v>
      </c>
      <c r="N920" s="3658">
        <f>(G920 * M920)</f>
        <v>0</v>
      </c>
      <c r="O920">
        <v>0</v>
      </c>
      <c r="P920">
        <v>0</v>
      </c>
      <c r="Q920">
        <f>IF(O920&gt;G920,(O920-G920),0)</f>
        <v>0</v>
      </c>
      <c r="R920">
        <v>1</v>
      </c>
      <c r="S920">
        <f>IF(Q920&gt;0,Int(P920/Q920),0)</f>
        <v>0</v>
      </c>
      <c r="T920">
        <f>398196.84</f>
        <v>398196.84</v>
      </c>
      <c r="U920" t="s">
        <v>3246</v>
      </c>
      <c r="V920">
        <v>421360.54</v>
      </c>
      <c r="W920" t="s">
        <v>75</v>
      </c>
      <c r="X920"/>
    </row>
    <row r="921" spans="1:27">
      <c r="A921" t="s">
        <v>28</v>
      </c>
      <c r="B921" t="s">
        <v>29</v>
      </c>
      <c r="C921" t="s">
        <v>1303</v>
      </c>
      <c r="D921" t="s">
        <v>2756</v>
      </c>
      <c r="E921" t="s">
        <v>3247</v>
      </c>
      <c r="F921" t="s">
        <v>33</v>
      </c>
      <c r="G921">
        <v>0</v>
      </c>
      <c r="H921">
        <f>((0/1000) * G921)</f>
        <v>0</v>
      </c>
      <c r="I921">
        <v>0</v>
      </c>
      <c r="J921">
        <v>0</v>
      </c>
      <c r="K921" s="3659">
        <v>135623.37</v>
      </c>
      <c r="L921" s="3660">
        <f>(K921 * G921)</f>
        <v>0</v>
      </c>
      <c r="M921" s="3661">
        <v>189872.72</v>
      </c>
      <c r="N921" s="3662">
        <f>(G921 * M921)</f>
        <v>0</v>
      </c>
      <c r="O921">
        <v>0</v>
      </c>
      <c r="P921">
        <v>0</v>
      </c>
      <c r="Q921">
        <f>IF(O921&gt;G921,(O921-G921),0)</f>
        <v>0</v>
      </c>
      <c r="R921">
        <v>0</v>
      </c>
      <c r="S921">
        <f>IF(Q921&gt;0,Int(P921/Q921),0)</f>
        <v>0</v>
      </c>
      <c r="T921">
        <f>0</f>
        <v>0</v>
      </c>
      <c r="U921"/>
      <c r="V921">
        <v>135623.37</v>
      </c>
      <c r="W921" t="s">
        <v>301</v>
      </c>
      <c r="X921"/>
    </row>
    <row r="922" spans="1:27">
      <c r="A922" t="s">
        <v>28</v>
      </c>
      <c r="B922" t="s">
        <v>29</v>
      </c>
      <c r="C922" t="s">
        <v>3248</v>
      </c>
      <c r="D922" t="s">
        <v>3249</v>
      </c>
      <c r="E922" t="s">
        <v>3250</v>
      </c>
      <c r="F922" t="s">
        <v>33</v>
      </c>
      <c r="G922">
        <v>0</v>
      </c>
      <c r="H922">
        <f>((0/1000) * G922)</f>
        <v>0</v>
      </c>
      <c r="I922">
        <v>0</v>
      </c>
      <c r="J922">
        <v>0</v>
      </c>
      <c r="K922" s="3663">
        <v>109528.57</v>
      </c>
      <c r="L922" s="3664">
        <f>(K922 * G922)</f>
        <v>0</v>
      </c>
      <c r="M922" s="3665">
        <v>153340</v>
      </c>
      <c r="N922" s="3666">
        <f>(G922 * M922)</f>
        <v>0</v>
      </c>
      <c r="O922">
        <v>0</v>
      </c>
      <c r="P922">
        <v>0</v>
      </c>
      <c r="Q922">
        <f>IF(O922&gt;G922,(O922-G922),0)</f>
        <v>0</v>
      </c>
      <c r="R922">
        <v>1</v>
      </c>
      <c r="S922">
        <f>IF(Q922&gt;0,Int(P922/Q922),0)</f>
        <v>0</v>
      </c>
      <c r="T922">
        <f>98347.1</f>
        <v>98347.1</v>
      </c>
      <c r="U922" t="s">
        <v>3251</v>
      </c>
      <c r="V922">
        <v>109528.57</v>
      </c>
      <c r="W922" t="s">
        <v>75</v>
      </c>
      <c r="X922"/>
    </row>
    <row r="923" spans="1:27">
      <c r="A923" t="s">
        <v>28</v>
      </c>
      <c r="B923" t="s">
        <v>29</v>
      </c>
      <c r="C923" t="s">
        <v>3252</v>
      </c>
      <c r="D923" t="s">
        <v>3253</v>
      </c>
      <c r="E923" t="s">
        <v>3254</v>
      </c>
      <c r="F923" t="s">
        <v>33</v>
      </c>
      <c r="G923">
        <v>0</v>
      </c>
      <c r="H923">
        <f>((0/1000) * G923)</f>
        <v>0</v>
      </c>
      <c r="I923">
        <v>0</v>
      </c>
      <c r="J923">
        <v>0</v>
      </c>
      <c r="K923" s="3667">
        <v>168181.82</v>
      </c>
      <c r="L923" s="3668">
        <f>(K923 * G923)</f>
        <v>0</v>
      </c>
      <c r="M923" s="3669">
        <v>185000</v>
      </c>
      <c r="N923" s="3670">
        <f>(G923 * M923)</f>
        <v>0</v>
      </c>
      <c r="O923">
        <v>0</v>
      </c>
      <c r="P923">
        <v>0</v>
      </c>
      <c r="Q923">
        <f>IF(O923&gt;G923,(O923-G923),0)</f>
        <v>0</v>
      </c>
      <c r="R923">
        <v>1</v>
      </c>
      <c r="S923">
        <f>IF(Q923&gt;0,Int(P923/Q923),0)</f>
        <v>0</v>
      </c>
      <c r="T923">
        <f>69278.74</f>
        <v>69278.74</v>
      </c>
      <c r="U923" t="s">
        <v>3255</v>
      </c>
      <c r="V923">
        <v>168181.82</v>
      </c>
      <c r="W923" t="s">
        <v>43</v>
      </c>
      <c r="X923"/>
    </row>
    <row r="924" spans="1:27">
      <c r="A924" t="s">
        <v>28</v>
      </c>
      <c r="B924" t="s">
        <v>29</v>
      </c>
      <c r="C924" t="s">
        <v>3256</v>
      </c>
      <c r="D924" t="s">
        <v>3257</v>
      </c>
      <c r="E924" t="s">
        <v>3258</v>
      </c>
      <c r="F924" t="s">
        <v>33</v>
      </c>
      <c r="G924">
        <v>0</v>
      </c>
      <c r="H924">
        <f>((0/1000) * G924)</f>
        <v>0</v>
      </c>
      <c r="I924">
        <v>0</v>
      </c>
      <c r="J924">
        <v>0</v>
      </c>
      <c r="K924" s="3671">
        <v>170762.9</v>
      </c>
      <c r="L924" s="3672">
        <f>(K924 * G924)</f>
        <v>0</v>
      </c>
      <c r="M924" s="3673">
        <v>239068.06</v>
      </c>
      <c r="N924" s="3674">
        <f>(G924 * M924)</f>
        <v>0</v>
      </c>
      <c r="O924">
        <v>0</v>
      </c>
      <c r="P924">
        <v>0</v>
      </c>
      <c r="Q924">
        <f>IF(O924&gt;G924,(O924-G924),0)</f>
        <v>0</v>
      </c>
      <c r="R924">
        <v>1</v>
      </c>
      <c r="S924">
        <f>IF(Q924&gt;0,Int(P924/Q924),0)</f>
        <v>0</v>
      </c>
      <c r="T924">
        <f>155239</f>
        <v>155239</v>
      </c>
      <c r="U924" t="s">
        <v>3259</v>
      </c>
      <c r="V924">
        <v>170762.9</v>
      </c>
      <c r="W924" t="s">
        <v>43</v>
      </c>
      <c r="X924"/>
    </row>
    <row r="925" spans="1:27">
      <c r="A925" t="s">
        <v>35</v>
      </c>
      <c r="B925" t="s">
        <v>29</v>
      </c>
      <c r="C925" t="s">
        <v>3260</v>
      </c>
      <c r="D925" t="s">
        <v>3261</v>
      </c>
      <c r="E925" t="s">
        <v>3262</v>
      </c>
      <c r="F925" t="s">
        <v>33</v>
      </c>
      <c r="G925">
        <v>2</v>
      </c>
      <c r="H925">
        <f>((0/1000) * G925)</f>
        <v>0</v>
      </c>
      <c r="I925">
        <v>0</v>
      </c>
      <c r="J925">
        <v>2</v>
      </c>
      <c r="K925" s="3675">
        <v>192964.15</v>
      </c>
      <c r="L925" s="3676">
        <f>(K925 * G925)</f>
        <v>385928.3</v>
      </c>
      <c r="M925" s="3677">
        <v>308742.64</v>
      </c>
      <c r="N925" s="3678">
        <f>(G925 * M925)</f>
        <v>617485.28</v>
      </c>
      <c r="O925">
        <v>0</v>
      </c>
      <c r="P925">
        <v>0</v>
      </c>
      <c r="Q925">
        <f>IF(O925&gt;G925,(O925-G925),0)</f>
        <v>0</v>
      </c>
      <c r="R925">
        <v>0</v>
      </c>
      <c r="S925">
        <f>IF(Q925&gt;0,Int(P925/Q925),0)</f>
        <v>0</v>
      </c>
      <c r="T925">
        <f>192964.15</f>
        <v>192964.15</v>
      </c>
      <c r="U925" t="s">
        <v>897</v>
      </c>
      <c r="V925">
        <v>192964.15</v>
      </c>
      <c r="W925" t="s">
        <v>898</v>
      </c>
      <c r="X925"/>
    </row>
    <row r="926" spans="1:27">
      <c r="A926" t="s">
        <v>28</v>
      </c>
      <c r="B926" t="s">
        <v>29</v>
      </c>
      <c r="C926" t="s">
        <v>3263</v>
      </c>
      <c r="D926" t="s">
        <v>3264</v>
      </c>
      <c r="E926" t="s">
        <v>3265</v>
      </c>
      <c r="F926" t="s">
        <v>41</v>
      </c>
      <c r="G926">
        <v>0</v>
      </c>
      <c r="H926">
        <f>((0/1000) * G926)</f>
        <v>0</v>
      </c>
      <c r="I926">
        <v>0</v>
      </c>
      <c r="J926">
        <v>0</v>
      </c>
      <c r="K926" s="3679">
        <v>286542.93</v>
      </c>
      <c r="L926" s="3680">
        <f>(K926 * G926)</f>
        <v>0</v>
      </c>
      <c r="M926" s="3681">
        <v>401160.1</v>
      </c>
      <c r="N926" s="3682">
        <f>(G926 * M926)</f>
        <v>0</v>
      </c>
      <c r="O926">
        <v>0</v>
      </c>
      <c r="P926">
        <v>0</v>
      </c>
      <c r="Q926">
        <f>IF(O926&gt;G926,(O926-G926),0)</f>
        <v>0</v>
      </c>
      <c r="R926">
        <v>1</v>
      </c>
      <c r="S926">
        <f>IF(Q926&gt;0,Int(P926/Q926),0)</f>
        <v>0</v>
      </c>
      <c r="T926">
        <f>305151.62</f>
        <v>305151.62</v>
      </c>
      <c r="U926" t="s">
        <v>3266</v>
      </c>
      <c r="V926">
        <v>286542.93</v>
      </c>
      <c r="W926" t="s">
        <v>182</v>
      </c>
      <c r="X926"/>
    </row>
    <row r="927" spans="1:27">
      <c r="A927" t="s">
        <v>28</v>
      </c>
      <c r="B927" t="s">
        <v>29</v>
      </c>
      <c r="C927" t="s">
        <v>3267</v>
      </c>
      <c r="D927" t="s">
        <v>3268</v>
      </c>
      <c r="E927" t="s">
        <v>3269</v>
      </c>
      <c r="F927" t="s">
        <v>41</v>
      </c>
      <c r="G927">
        <v>0</v>
      </c>
      <c r="H927">
        <f>((0/1000) * G927)</f>
        <v>0</v>
      </c>
      <c r="I927">
        <v>0</v>
      </c>
      <c r="J927">
        <v>0</v>
      </c>
      <c r="K927" s="3683">
        <v>150090.91</v>
      </c>
      <c r="L927" s="3684">
        <f>(K927 * G927)</f>
        <v>0</v>
      </c>
      <c r="M927" s="3685">
        <v>210127.27</v>
      </c>
      <c r="N927" s="3686">
        <f>(G927 * M927)</f>
        <v>0</v>
      </c>
      <c r="O927">
        <v>0</v>
      </c>
      <c r="P927">
        <v>0</v>
      </c>
      <c r="Q927">
        <f>IF(O927&gt;G927,(O927-G927),0)</f>
        <v>0</v>
      </c>
      <c r="R927">
        <v>1</v>
      </c>
      <c r="S927">
        <f>IF(Q927&gt;0,Int(P927/Q927),0)</f>
        <v>0</v>
      </c>
      <c r="T927">
        <f>31738</f>
        <v>31738</v>
      </c>
      <c r="U927" t="s">
        <v>3270</v>
      </c>
      <c r="V927">
        <v>150090.91</v>
      </c>
      <c r="W927" t="s">
        <v>75</v>
      </c>
      <c r="X927"/>
    </row>
    <row r="928" spans="1:27">
      <c r="A928" t="s">
        <v>35</v>
      </c>
      <c r="B928" t="s">
        <v>29</v>
      </c>
      <c r="C928" t="s">
        <v>3271</v>
      </c>
      <c r="D928" t="s">
        <v>3272</v>
      </c>
      <c r="E928" t="s">
        <v>3273</v>
      </c>
      <c r="F928" t="s">
        <v>33</v>
      </c>
      <c r="G928">
        <v>0</v>
      </c>
      <c r="H928">
        <f>((0/1000) * G928)</f>
        <v>0</v>
      </c>
      <c r="I928">
        <v>0</v>
      </c>
      <c r="J928">
        <v>0</v>
      </c>
      <c r="K928" s="3687">
        <v>0</v>
      </c>
      <c r="L928" s="3688">
        <f>(K928 * G928)</f>
        <v>0</v>
      </c>
      <c r="M928" s="3689">
        <v>0</v>
      </c>
      <c r="N928" s="3690">
        <f>(G928 * M928)</f>
        <v>0</v>
      </c>
      <c r="O928">
        <v>0</v>
      </c>
      <c r="P928">
        <v>0</v>
      </c>
      <c r="Q928">
        <f>IF(O928&gt;G928,(O928-G928),0)</f>
        <v>0</v>
      </c>
      <c r="R928">
        <v>1</v>
      </c>
      <c r="S928">
        <f>IF(Q928&gt;0,Int(P928/Q928),0)</f>
        <v>0</v>
      </c>
      <c r="T928">
        <f>122106.08</f>
        <v>122106.08</v>
      </c>
      <c r="U928" t="s">
        <v>3274</v>
      </c>
      <c r="V928">
        <v>0</v>
      </c>
      <c r="W928">
        <v>0</v>
      </c>
      <c r="X928"/>
    </row>
    <row r="929" spans="1:27">
      <c r="A929" t="s">
        <v>35</v>
      </c>
      <c r="B929" t="s">
        <v>29</v>
      </c>
      <c r="C929" t="s">
        <v>3275</v>
      </c>
      <c r="D929" t="s">
        <v>3276</v>
      </c>
      <c r="E929" t="s">
        <v>3277</v>
      </c>
      <c r="F929" t="s">
        <v>33</v>
      </c>
      <c r="G929">
        <v>0</v>
      </c>
      <c r="H929">
        <f>((0/1000) * G929)</f>
        <v>0</v>
      </c>
      <c r="I929">
        <v>0</v>
      </c>
      <c r="J929">
        <v>0</v>
      </c>
      <c r="K929" s="3691">
        <v>46162.11</v>
      </c>
      <c r="L929" s="3692">
        <f>(K929 * G929)</f>
        <v>0</v>
      </c>
      <c r="M929" s="3693">
        <v>64626.96</v>
      </c>
      <c r="N929" s="3694">
        <f>(G929 * M929)</f>
        <v>0</v>
      </c>
      <c r="O929">
        <v>0</v>
      </c>
      <c r="P929">
        <v>0</v>
      </c>
      <c r="Q929">
        <f>IF(O929&gt;G929,(O929-G929),0)</f>
        <v>0</v>
      </c>
      <c r="R929">
        <v>1</v>
      </c>
      <c r="S929">
        <f>IF(Q929&gt;0,Int(P929/Q929),0)</f>
        <v>0</v>
      </c>
      <c r="T929">
        <f>0</f>
        <v>0</v>
      </c>
      <c r="U929"/>
      <c r="V929">
        <v>46162.11</v>
      </c>
      <c r="W929" t="s">
        <v>75</v>
      </c>
      <c r="X929"/>
    </row>
    <row r="930" spans="1:27">
      <c r="A930" t="s">
        <v>28</v>
      </c>
      <c r="B930" t="s">
        <v>29</v>
      </c>
      <c r="C930" t="s">
        <v>3278</v>
      </c>
      <c r="D930" t="s">
        <v>3279</v>
      </c>
      <c r="E930" t="s">
        <v>3280</v>
      </c>
      <c r="F930" t="s">
        <v>41</v>
      </c>
      <c r="G930">
        <v>2</v>
      </c>
      <c r="H930">
        <f>((0/1000) * G930)</f>
        <v>0</v>
      </c>
      <c r="I930">
        <v>0</v>
      </c>
      <c r="J930">
        <v>2</v>
      </c>
      <c r="K930" s="3695">
        <v>172892.57</v>
      </c>
      <c r="L930" s="3696">
        <f>(K930 * G930)</f>
        <v>345785.14</v>
      </c>
      <c r="M930" s="3697">
        <v>190181.83</v>
      </c>
      <c r="N930" s="3698">
        <f>(G930 * M930)</f>
        <v>380363.66</v>
      </c>
      <c r="O930">
        <v>0</v>
      </c>
      <c r="P930">
        <v>0</v>
      </c>
      <c r="Q930">
        <f>IF(O930&gt;G930,(O930-G930),0)</f>
        <v>0</v>
      </c>
      <c r="R930">
        <v>1</v>
      </c>
      <c r="S930">
        <f>IF(Q930&gt;0,Int(P930/Q930),0)</f>
        <v>0</v>
      </c>
      <c r="T930">
        <f>157175.06</f>
        <v>157175.06</v>
      </c>
      <c r="U930" t="s">
        <v>3281</v>
      </c>
      <c r="V930">
        <v>172892.57</v>
      </c>
      <c r="W930" t="s">
        <v>43</v>
      </c>
      <c r="X930" t="s">
        <v>2396</v>
      </c>
    </row>
    <row r="931" spans="1:27">
      <c r="A931" t="s">
        <v>35</v>
      </c>
      <c r="B931" t="s">
        <v>29</v>
      </c>
      <c r="C931" t="s">
        <v>3282</v>
      </c>
      <c r="D931" t="s">
        <v>3283</v>
      </c>
      <c r="E931" t="s">
        <v>3284</v>
      </c>
      <c r="F931" t="s">
        <v>41</v>
      </c>
      <c r="G931">
        <v>0</v>
      </c>
      <c r="H931">
        <f>((1/1000) * G931)</f>
        <v>0</v>
      </c>
      <c r="I931">
        <v>0</v>
      </c>
      <c r="J931">
        <v>0</v>
      </c>
      <c r="K931" s="3699">
        <v>230030.52</v>
      </c>
      <c r="L931" s="3700">
        <f>(K931 * G931)</f>
        <v>0</v>
      </c>
      <c r="M931" s="3701">
        <v>253033.58</v>
      </c>
      <c r="N931" s="3702">
        <f>(G931 * M931)</f>
        <v>0</v>
      </c>
      <c r="O931">
        <v>0</v>
      </c>
      <c r="P931">
        <v>0</v>
      </c>
      <c r="Q931">
        <f>IF(O931&gt;G931,(O931-G931),0)</f>
        <v>0</v>
      </c>
      <c r="R931">
        <v>1</v>
      </c>
      <c r="S931">
        <f>IF(Q931&gt;0,Int(P931/Q931),0)</f>
        <v>0</v>
      </c>
      <c r="T931">
        <f>225204.71</f>
        <v>225204.71</v>
      </c>
      <c r="U931" t="s">
        <v>3285</v>
      </c>
      <c r="V931">
        <v>230030.52</v>
      </c>
      <c r="W931" t="s">
        <v>43</v>
      </c>
      <c r="X931"/>
    </row>
    <row r="932" spans="1:27">
      <c r="A932" t="s">
        <v>28</v>
      </c>
      <c r="B932" t="s">
        <v>29</v>
      </c>
      <c r="C932" t="s">
        <v>3286</v>
      </c>
      <c r="D932" t="s">
        <v>3287</v>
      </c>
      <c r="E932" t="s">
        <v>3288</v>
      </c>
      <c r="F932" t="s">
        <v>41</v>
      </c>
      <c r="G932">
        <v>0</v>
      </c>
      <c r="H932">
        <f>((0/1000) * G932)</f>
        <v>0</v>
      </c>
      <c r="I932">
        <v>0</v>
      </c>
      <c r="J932">
        <v>0</v>
      </c>
      <c r="K932" s="3703">
        <v>261205.55</v>
      </c>
      <c r="L932" s="3704">
        <f>(K932 * G932)</f>
        <v>0</v>
      </c>
      <c r="M932" s="3705">
        <v>365687.77</v>
      </c>
      <c r="N932" s="3706">
        <f>(G932 * M932)</f>
        <v>0</v>
      </c>
      <c r="O932">
        <v>0</v>
      </c>
      <c r="P932">
        <v>0</v>
      </c>
      <c r="Q932">
        <f>IF(O932&gt;G932,(O932-G932),0)</f>
        <v>0</v>
      </c>
      <c r="R932">
        <v>1</v>
      </c>
      <c r="S932">
        <f>IF(Q932&gt;0,Int(P932/Q932),0)</f>
        <v>0</v>
      </c>
      <c r="T932">
        <f>105334.34</f>
        <v>105334.34</v>
      </c>
      <c r="U932" t="s">
        <v>3289</v>
      </c>
      <c r="V932">
        <v>261205.55</v>
      </c>
      <c r="W932" t="s">
        <v>182</v>
      </c>
      <c r="X932"/>
    </row>
    <row r="933" spans="1:27">
      <c r="A933" t="s">
        <v>28</v>
      </c>
      <c r="B933" t="s">
        <v>29</v>
      </c>
      <c r="C933" t="s">
        <v>3290</v>
      </c>
      <c r="D933" t="s">
        <v>3291</v>
      </c>
      <c r="E933" t="s">
        <v>3292</v>
      </c>
      <c r="F933" t="s">
        <v>33</v>
      </c>
      <c r="G933">
        <v>0</v>
      </c>
      <c r="H933">
        <f>((0/1000) * G933)</f>
        <v>0</v>
      </c>
      <c r="I933">
        <v>0</v>
      </c>
      <c r="J933">
        <v>0</v>
      </c>
      <c r="K933" s="3707">
        <v>273109.55</v>
      </c>
      <c r="L933" s="3708">
        <f>(K933 * G933)</f>
        <v>0</v>
      </c>
      <c r="M933" s="3709">
        <v>382353.36</v>
      </c>
      <c r="N933" s="3710">
        <f>(G933 * M933)</f>
        <v>0</v>
      </c>
      <c r="O933">
        <v>0</v>
      </c>
      <c r="P933">
        <v>0</v>
      </c>
      <c r="Q933">
        <f>IF(O933&gt;G933,(O933-G933),0)</f>
        <v>0</v>
      </c>
      <c r="R933">
        <v>1</v>
      </c>
      <c r="S933">
        <f>IF(Q933&gt;0,Int(P933/Q933),0)</f>
        <v>0</v>
      </c>
      <c r="T933">
        <f>233274.19</f>
        <v>233274.19</v>
      </c>
      <c r="U933" t="s">
        <v>3293</v>
      </c>
      <c r="V933">
        <v>273109.55</v>
      </c>
      <c r="W933" t="s">
        <v>182</v>
      </c>
      <c r="X933"/>
    </row>
    <row r="934" spans="1:27">
      <c r="A934" t="s">
        <v>28</v>
      </c>
      <c r="B934" t="s">
        <v>29</v>
      </c>
      <c r="C934" t="s">
        <v>3294</v>
      </c>
      <c r="D934" t="s">
        <v>3295</v>
      </c>
      <c r="E934" t="s">
        <v>3296</v>
      </c>
      <c r="F934" t="s">
        <v>33</v>
      </c>
      <c r="G934">
        <v>0</v>
      </c>
      <c r="H934">
        <f>((0/1000) * G934)</f>
        <v>0</v>
      </c>
      <c r="I934">
        <v>0</v>
      </c>
      <c r="J934">
        <v>0</v>
      </c>
      <c r="K934" s="3711">
        <v>398272.73</v>
      </c>
      <c r="L934" s="3712">
        <f>(K934 * G934)</f>
        <v>0</v>
      </c>
      <c r="M934" s="3713">
        <v>557581.82</v>
      </c>
      <c r="N934" s="3714">
        <f>(G934 * M934)</f>
        <v>0</v>
      </c>
      <c r="O934">
        <v>0</v>
      </c>
      <c r="P934">
        <v>0</v>
      </c>
      <c r="Q934">
        <f>IF(O934&gt;G934,(O934-G934),0)</f>
        <v>0</v>
      </c>
      <c r="R934">
        <v>1</v>
      </c>
      <c r="S934">
        <f>IF(Q934&gt;0,Int(P934/Q934),0)</f>
        <v>0</v>
      </c>
      <c r="T934">
        <f>0</f>
        <v>0</v>
      </c>
      <c r="U934"/>
      <c r="V934">
        <v>398272.73</v>
      </c>
      <c r="W934" t="s">
        <v>75</v>
      </c>
      <c r="X934"/>
    </row>
    <row r="935" spans="1:27">
      <c r="A935" t="s">
        <v>28</v>
      </c>
      <c r="B935" t="s">
        <v>29</v>
      </c>
      <c r="C935" t="s">
        <v>3297</v>
      </c>
      <c r="D935" t="s">
        <v>3298</v>
      </c>
      <c r="E935" t="s">
        <v>3299</v>
      </c>
      <c r="F935" t="s">
        <v>33</v>
      </c>
      <c r="G935">
        <v>0</v>
      </c>
      <c r="H935">
        <f>((0/1000) * G935)</f>
        <v>0</v>
      </c>
      <c r="I935">
        <v>0</v>
      </c>
      <c r="J935">
        <v>0</v>
      </c>
      <c r="K935" s="3715">
        <v>247465.8</v>
      </c>
      <c r="L935" s="3716">
        <f>(K935 * G935)</f>
        <v>0</v>
      </c>
      <c r="M935" s="3717">
        <v>346452.13</v>
      </c>
      <c r="N935" s="3718">
        <f>(G935 * M935)</f>
        <v>0</v>
      </c>
      <c r="O935">
        <v>0</v>
      </c>
      <c r="P935">
        <v>0</v>
      </c>
      <c r="Q935">
        <f>IF(O935&gt;G935,(O935-G935),0)</f>
        <v>0</v>
      </c>
      <c r="R935">
        <v>1</v>
      </c>
      <c r="S935">
        <f>IF(Q935&gt;0,Int(P935/Q935),0)</f>
        <v>0</v>
      </c>
      <c r="T935">
        <f>192893.76</f>
        <v>192893.76</v>
      </c>
      <c r="U935" t="s">
        <v>3300</v>
      </c>
      <c r="V935">
        <v>247465.8</v>
      </c>
      <c r="W935" t="s">
        <v>182</v>
      </c>
      <c r="X935" t="s">
        <v>226</v>
      </c>
    </row>
    <row r="936" spans="1:27">
      <c r="A936" t="s">
        <v>28</v>
      </c>
      <c r="B936" t="s">
        <v>29</v>
      </c>
      <c r="C936" t="s">
        <v>3301</v>
      </c>
      <c r="D936" t="s">
        <v>1776</v>
      </c>
      <c r="E936" t="s">
        <v>3302</v>
      </c>
      <c r="F936" t="s">
        <v>33</v>
      </c>
      <c r="G936">
        <v>2</v>
      </c>
      <c r="H936">
        <f>((0/1000) * G936)</f>
        <v>0</v>
      </c>
      <c r="I936">
        <v>0</v>
      </c>
      <c r="J936">
        <v>2</v>
      </c>
      <c r="K936" s="3719">
        <v>153804.67</v>
      </c>
      <c r="L936" s="3720">
        <f>(K936 * G936)</f>
        <v>307609.34</v>
      </c>
      <c r="M936" s="3721">
        <v>215326.54</v>
      </c>
      <c r="N936" s="3722">
        <f>(G936 * M936)</f>
        <v>430653.08</v>
      </c>
      <c r="O936">
        <v>0</v>
      </c>
      <c r="P936">
        <v>0</v>
      </c>
      <c r="Q936">
        <f>IF(O936&gt;G936,(O936-G936),0)</f>
        <v>0</v>
      </c>
      <c r="R936">
        <v>1</v>
      </c>
      <c r="S936">
        <f>IF(Q936&gt;0,Int(P936/Q936),0)</f>
        <v>0</v>
      </c>
      <c r="T936">
        <f>153804.67</f>
        <v>153804.67</v>
      </c>
      <c r="U936" t="s">
        <v>3303</v>
      </c>
      <c r="V936">
        <v>153804.67</v>
      </c>
      <c r="W936" t="s">
        <v>75</v>
      </c>
      <c r="X936"/>
    </row>
    <row r="937" spans="1:27">
      <c r="A937" t="s">
        <v>28</v>
      </c>
      <c r="B937" t="s">
        <v>29</v>
      </c>
      <c r="C937" t="s">
        <v>109</v>
      </c>
      <c r="D937" t="s">
        <v>3304</v>
      </c>
      <c r="E937" t="s">
        <v>3305</v>
      </c>
      <c r="F937" t="s">
        <v>33</v>
      </c>
      <c r="G937">
        <v>3</v>
      </c>
      <c r="H937">
        <f>((0/1000) * G937)</f>
        <v>0</v>
      </c>
      <c r="I937">
        <v>0</v>
      </c>
      <c r="J937">
        <v>3</v>
      </c>
      <c r="K937" s="3723">
        <v>120487</v>
      </c>
      <c r="L937" s="3724">
        <f>(K937 * G937)</f>
        <v>361461</v>
      </c>
      <c r="M937" s="3725">
        <v>195041.32</v>
      </c>
      <c r="N937" s="3726">
        <f>(G937 * M937)</f>
        <v>585123.96</v>
      </c>
      <c r="O937">
        <v>0</v>
      </c>
      <c r="P937">
        <v>0</v>
      </c>
      <c r="Q937">
        <f>IF(O937&gt;G937,(O937-G937),0)</f>
        <v>0</v>
      </c>
      <c r="R937">
        <v>0</v>
      </c>
      <c r="S937">
        <f>IF(Q937&gt;0,Int(P937/Q937),0)</f>
        <v>0</v>
      </c>
      <c r="T937">
        <f>120487</f>
        <v>120487</v>
      </c>
      <c r="U937" t="s">
        <v>956</v>
      </c>
      <c r="V937">
        <v>120487</v>
      </c>
      <c r="W937" t="s">
        <v>123</v>
      </c>
      <c r="X937" t="s">
        <v>3306</v>
      </c>
    </row>
    <row r="938" spans="1:27">
      <c r="A938" t="s">
        <v>35</v>
      </c>
      <c r="B938" t="s">
        <v>29</v>
      </c>
      <c r="C938" t="s">
        <v>3307</v>
      </c>
      <c r="D938" t="s">
        <v>3308</v>
      </c>
      <c r="E938" t="s">
        <v>3309</v>
      </c>
      <c r="F938" t="s">
        <v>41</v>
      </c>
      <c r="G938">
        <v>0</v>
      </c>
      <c r="H938">
        <f>((0/1000) * G938)</f>
        <v>0</v>
      </c>
      <c r="I938">
        <v>0</v>
      </c>
      <c r="J938">
        <v>0</v>
      </c>
      <c r="K938" s="3727">
        <v>129840</v>
      </c>
      <c r="L938" s="3728">
        <f>(K938 * G938)</f>
        <v>0</v>
      </c>
      <c r="M938" s="3729">
        <v>194760</v>
      </c>
      <c r="N938" s="3730">
        <f>(G938 * M938)</f>
        <v>0</v>
      </c>
      <c r="O938">
        <v>0</v>
      </c>
      <c r="P938">
        <v>0</v>
      </c>
      <c r="Q938">
        <f>IF(O938&gt;G938,(O938-G938),0)</f>
        <v>0</v>
      </c>
      <c r="R938">
        <v>0</v>
      </c>
      <c r="S938">
        <f>IF(Q938&gt;0,Int(P938/Q938),0)</f>
        <v>0</v>
      </c>
      <c r="T938">
        <f>129840</f>
        <v>129840</v>
      </c>
      <c r="U938" t="s">
        <v>3310</v>
      </c>
      <c r="V938">
        <v>129840</v>
      </c>
      <c r="W938" t="s">
        <v>3311</v>
      </c>
      <c r="X938"/>
    </row>
    <row r="939" spans="1:27">
      <c r="A939" t="s">
        <v>35</v>
      </c>
      <c r="B939" t="s">
        <v>29</v>
      </c>
      <c r="C939" t="s">
        <v>1542</v>
      </c>
      <c r="D939" t="s">
        <v>3312</v>
      </c>
      <c r="E939" t="s">
        <v>3313</v>
      </c>
      <c r="F939" t="s">
        <v>41</v>
      </c>
      <c r="G939">
        <v>0</v>
      </c>
      <c r="H939">
        <f>((0/1000) * G939)</f>
        <v>0</v>
      </c>
      <c r="I939">
        <v>0</v>
      </c>
      <c r="J939">
        <v>0</v>
      </c>
      <c r="K939" s="3731">
        <v>95559.5</v>
      </c>
      <c r="L939" s="3732">
        <f>(K939 * G939)</f>
        <v>0</v>
      </c>
      <c r="M939" s="3733">
        <v>143339.25</v>
      </c>
      <c r="N939" s="3734">
        <f>(G939 * M939)</f>
        <v>0</v>
      </c>
      <c r="O939">
        <v>0</v>
      </c>
      <c r="P939">
        <v>0</v>
      </c>
      <c r="Q939">
        <f>IF(O939&gt;G939,(O939-G939),0)</f>
        <v>0</v>
      </c>
      <c r="R939">
        <v>0</v>
      </c>
      <c r="S939">
        <f>IF(Q939&gt;0,Int(P939/Q939),0)</f>
        <v>0</v>
      </c>
      <c r="T939">
        <f>95559.5</f>
        <v>95559.5</v>
      </c>
      <c r="U939" t="s">
        <v>3314</v>
      </c>
      <c r="V939">
        <v>95559.5</v>
      </c>
      <c r="W939" t="s">
        <v>3315</v>
      </c>
      <c r="X939"/>
    </row>
    <row r="940" spans="1:27">
      <c r="A940" t="s">
        <v>28</v>
      </c>
      <c r="B940" t="s">
        <v>29</v>
      </c>
      <c r="C940" t="s">
        <v>3316</v>
      </c>
      <c r="D940" t="s">
        <v>3317</v>
      </c>
      <c r="E940" t="s">
        <v>3318</v>
      </c>
      <c r="F940" t="s">
        <v>33</v>
      </c>
      <c r="G940">
        <v>0</v>
      </c>
      <c r="H940">
        <f>((0/1000) * G940)</f>
        <v>0</v>
      </c>
      <c r="I940">
        <v>0</v>
      </c>
      <c r="J940">
        <v>0</v>
      </c>
      <c r="K940" s="3735">
        <v>172892.56</v>
      </c>
      <c r="L940" s="3736">
        <f>(K940 * G940)</f>
        <v>0</v>
      </c>
      <c r="M940" s="3737">
        <v>190181.82</v>
      </c>
      <c r="N940" s="3738">
        <f>(G940 * M940)</f>
        <v>0</v>
      </c>
      <c r="O940">
        <v>0</v>
      </c>
      <c r="P940">
        <v>0</v>
      </c>
      <c r="Q940">
        <f>IF(O940&gt;G940,(O940-G940),0)</f>
        <v>0</v>
      </c>
      <c r="R940">
        <v>1</v>
      </c>
      <c r="S940">
        <f>IF(Q940&gt;0,Int(P940/Q940),0)</f>
        <v>0</v>
      </c>
      <c r="T940">
        <f>172051.09</f>
        <v>172051.09</v>
      </c>
      <c r="U940" t="s">
        <v>3319</v>
      </c>
      <c r="V940">
        <v>172892.56</v>
      </c>
      <c r="W940" t="s">
        <v>43</v>
      </c>
      <c r="X940"/>
    </row>
    <row r="941" spans="1:27">
      <c r="A941" t="s">
        <v>28</v>
      </c>
      <c r="B941" t="s">
        <v>29</v>
      </c>
      <c r="C941" t="s">
        <v>3320</v>
      </c>
      <c r="D941" t="s">
        <v>3321</v>
      </c>
      <c r="E941" t="s">
        <v>3322</v>
      </c>
      <c r="F941" t="s">
        <v>41</v>
      </c>
      <c r="G941">
        <v>0</v>
      </c>
      <c r="H941">
        <f>((0/1000) * G941)</f>
        <v>0</v>
      </c>
      <c r="I941">
        <v>0</v>
      </c>
      <c r="J941">
        <v>0</v>
      </c>
      <c r="K941" s="3739">
        <v>242972.53</v>
      </c>
      <c r="L941" s="3740">
        <f>(K941 * G941)</f>
        <v>0</v>
      </c>
      <c r="M941" s="3741">
        <v>340161.54</v>
      </c>
      <c r="N941" s="3742">
        <f>(G941 * M941)</f>
        <v>0</v>
      </c>
      <c r="O941">
        <v>0</v>
      </c>
      <c r="P941">
        <v>0</v>
      </c>
      <c r="Q941">
        <f>IF(O941&gt;G941,(O941-G941),0)</f>
        <v>0</v>
      </c>
      <c r="R941">
        <v>1</v>
      </c>
      <c r="S941">
        <f>IF(Q941&gt;0,Int(P941/Q941),0)</f>
        <v>0</v>
      </c>
      <c r="T941">
        <f>178662.66</f>
        <v>178662.66</v>
      </c>
      <c r="U941" t="s">
        <v>3323</v>
      </c>
      <c r="V941">
        <v>242972.53</v>
      </c>
      <c r="W941" t="s">
        <v>182</v>
      </c>
      <c r="X941"/>
    </row>
    <row r="942" spans="1:27">
      <c r="A942" t="s">
        <v>35</v>
      </c>
      <c r="B942" t="s">
        <v>29</v>
      </c>
      <c r="C942" t="s">
        <v>3324</v>
      </c>
      <c r="D942" t="s">
        <v>3325</v>
      </c>
      <c r="E942" t="s">
        <v>3326</v>
      </c>
      <c r="F942" t="s">
        <v>33</v>
      </c>
      <c r="G942">
        <v>0</v>
      </c>
      <c r="H942">
        <f>((0/1000) * G942)</f>
        <v>0</v>
      </c>
      <c r="I942">
        <v>0</v>
      </c>
      <c r="J942">
        <v>0</v>
      </c>
      <c r="K942" s="3743">
        <v>206694.21</v>
      </c>
      <c r="L942" s="3744">
        <f>(K942 * G942)</f>
        <v>0</v>
      </c>
      <c r="M942" s="3745">
        <v>227363.64</v>
      </c>
      <c r="N942" s="3746">
        <f>(G942 * M942)</f>
        <v>0</v>
      </c>
      <c r="O942">
        <v>0</v>
      </c>
      <c r="P942">
        <v>0</v>
      </c>
      <c r="Q942">
        <f>IF(O942&gt;G942,(O942-G942),0)</f>
        <v>0</v>
      </c>
      <c r="R942">
        <v>1</v>
      </c>
      <c r="S942">
        <f>IF(Q942&gt;0,Int(P942/Q942),0)</f>
        <v>0</v>
      </c>
      <c r="T942">
        <f>75582.27</f>
        <v>75582.27</v>
      </c>
      <c r="U942" t="s">
        <v>3327</v>
      </c>
      <c r="V942">
        <v>206694.21</v>
      </c>
      <c r="W942" t="s">
        <v>43</v>
      </c>
      <c r="X942"/>
    </row>
    <row r="943" spans="1:27">
      <c r="A943" t="s">
        <v>28</v>
      </c>
      <c r="B943" t="s">
        <v>29</v>
      </c>
      <c r="C943" t="s">
        <v>3328</v>
      </c>
      <c r="D943" t="s">
        <v>3329</v>
      </c>
      <c r="E943" t="s">
        <v>3330</v>
      </c>
      <c r="F943" t="s">
        <v>41</v>
      </c>
      <c r="G943">
        <v>4</v>
      </c>
      <c r="H943">
        <f>((0/1000) * G943)</f>
        <v>0</v>
      </c>
      <c r="I943">
        <v>4</v>
      </c>
      <c r="J943">
        <v>0</v>
      </c>
      <c r="K943" s="3747">
        <v>108909.09</v>
      </c>
      <c r="L943" s="3748">
        <f>(K943 * G943)</f>
        <v>435636.36</v>
      </c>
      <c r="M943" s="3749">
        <v>152472.73</v>
      </c>
      <c r="N943" s="3750">
        <f>(G943 * M943)</f>
        <v>609890.92</v>
      </c>
      <c r="O943">
        <v>0</v>
      </c>
      <c r="P943">
        <v>0</v>
      </c>
      <c r="Q943">
        <f>IF(O943&gt;G943,(O943-G943),0)</f>
        <v>0</v>
      </c>
      <c r="R943">
        <v>1</v>
      </c>
      <c r="S943">
        <f>IF(Q943&gt;0,Int(P943/Q943),0)</f>
        <v>0</v>
      </c>
      <c r="T943">
        <f>33577</f>
        <v>33577</v>
      </c>
      <c r="U943" t="s">
        <v>3331</v>
      </c>
      <c r="V943">
        <v>108909.09</v>
      </c>
      <c r="W943" t="s">
        <v>75</v>
      </c>
      <c r="X943"/>
    </row>
    <row r="944" spans="1:27">
      <c r="A944" t="s">
        <v>28</v>
      </c>
      <c r="B944" t="s">
        <v>29</v>
      </c>
      <c r="C944" t="s">
        <v>3332</v>
      </c>
      <c r="D944" t="s">
        <v>3333</v>
      </c>
      <c r="E944" t="s">
        <v>3334</v>
      </c>
      <c r="F944" t="s">
        <v>33</v>
      </c>
      <c r="G944">
        <v>0</v>
      </c>
      <c r="H944">
        <f>((0/1000) * G944)</f>
        <v>0</v>
      </c>
      <c r="I944">
        <v>0</v>
      </c>
      <c r="J944">
        <v>0</v>
      </c>
      <c r="K944" s="3751">
        <v>358726.47</v>
      </c>
      <c r="L944" s="3752">
        <f>(K944 * G944)</f>
        <v>0</v>
      </c>
      <c r="M944" s="3753">
        <v>502217.06</v>
      </c>
      <c r="N944" s="3754">
        <f>(G944 * M944)</f>
        <v>0</v>
      </c>
      <c r="O944">
        <v>0</v>
      </c>
      <c r="P944">
        <v>0</v>
      </c>
      <c r="Q944">
        <f>IF(O944&gt;G944,(O944-G944),0)</f>
        <v>0</v>
      </c>
      <c r="R944">
        <v>1</v>
      </c>
      <c r="S944">
        <f>IF(Q944&gt;0,Int(P944/Q944),0)</f>
        <v>0</v>
      </c>
      <c r="T944">
        <f>0</f>
        <v>0</v>
      </c>
      <c r="U944"/>
      <c r="V944">
        <v>358726.47</v>
      </c>
      <c r="W944" t="s">
        <v>182</v>
      </c>
      <c r="X944"/>
    </row>
    <row r="945" spans="1:27">
      <c r="A945" t="s">
        <v>28</v>
      </c>
      <c r="B945" t="s">
        <v>29</v>
      </c>
      <c r="C945" t="s">
        <v>3335</v>
      </c>
      <c r="D945" t="s">
        <v>3336</v>
      </c>
      <c r="E945" t="s">
        <v>3337</v>
      </c>
      <c r="F945" t="s">
        <v>41</v>
      </c>
      <c r="G945">
        <v>2</v>
      </c>
      <c r="H945">
        <f>((0/1000) * G945)</f>
        <v>0</v>
      </c>
      <c r="I945">
        <v>0</v>
      </c>
      <c r="J945">
        <v>2</v>
      </c>
      <c r="K945" s="3755">
        <v>120747</v>
      </c>
      <c r="L945" s="3756">
        <f>(K945 * G945)</f>
        <v>241494</v>
      </c>
      <c r="M945" s="3757">
        <v>181120.5</v>
      </c>
      <c r="N945" s="3758">
        <f>(G945 * M945)</f>
        <v>362241</v>
      </c>
      <c r="O945">
        <v>0</v>
      </c>
      <c r="P945">
        <v>0</v>
      </c>
      <c r="Q945">
        <f>IF(O945&gt;G945,(O945-G945),0)</f>
        <v>0</v>
      </c>
      <c r="R945">
        <v>0</v>
      </c>
      <c r="S945">
        <f>IF(Q945&gt;0,Int(P945/Q945),0)</f>
        <v>0</v>
      </c>
      <c r="T945">
        <f>120747</f>
        <v>120747</v>
      </c>
      <c r="U945" t="s">
        <v>3338</v>
      </c>
      <c r="V945">
        <v>120747</v>
      </c>
      <c r="W945" t="s">
        <v>292</v>
      </c>
      <c r="X945" t="s">
        <v>166</v>
      </c>
    </row>
    <row r="946" spans="1:27">
      <c r="A946" t="s">
        <v>28</v>
      </c>
      <c r="B946" t="s">
        <v>29</v>
      </c>
      <c r="C946" t="s">
        <v>3339</v>
      </c>
      <c r="D946" t="s">
        <v>3340</v>
      </c>
      <c r="E946" t="s">
        <v>3341</v>
      </c>
      <c r="F946" t="s">
        <v>33</v>
      </c>
      <c r="G946">
        <v>0</v>
      </c>
      <c r="H946">
        <f>((0/1000) * G946)</f>
        <v>0</v>
      </c>
      <c r="I946">
        <v>0</v>
      </c>
      <c r="J946">
        <v>0</v>
      </c>
      <c r="K946" s="3759">
        <v>115408.18</v>
      </c>
      <c r="L946" s="3760">
        <f>(K946 * G946)</f>
        <v>0</v>
      </c>
      <c r="M946" s="3761">
        <v>161571.45</v>
      </c>
      <c r="N946" s="3762">
        <f>(G946 * M946)</f>
        <v>0</v>
      </c>
      <c r="O946">
        <v>0</v>
      </c>
      <c r="P946">
        <v>0</v>
      </c>
      <c r="Q946">
        <f>IF(O946&gt;G946,(O946-G946),0)</f>
        <v>0</v>
      </c>
      <c r="R946">
        <v>1</v>
      </c>
      <c r="S946">
        <f>IF(Q946&gt;0,Int(P946/Q946),0)</f>
        <v>0</v>
      </c>
      <c r="T946">
        <f>0</f>
        <v>0</v>
      </c>
      <c r="U946"/>
      <c r="V946">
        <v>115408.18</v>
      </c>
      <c r="W946" t="s">
        <v>75</v>
      </c>
      <c r="X946"/>
    </row>
    <row r="947" spans="1:27">
      <c r="A947" t="s">
        <v>28</v>
      </c>
      <c r="B947" t="s">
        <v>29</v>
      </c>
      <c r="C947" t="s">
        <v>3342</v>
      </c>
      <c r="D947" t="s">
        <v>3343</v>
      </c>
      <c r="E947" t="s">
        <v>3344</v>
      </c>
      <c r="F947" t="s">
        <v>41</v>
      </c>
      <c r="G947">
        <v>0</v>
      </c>
      <c r="H947">
        <f>((0/1000) * G947)</f>
        <v>0</v>
      </c>
      <c r="I947">
        <v>0</v>
      </c>
      <c r="J947">
        <v>0</v>
      </c>
      <c r="K947" s="3763">
        <v>248760.34</v>
      </c>
      <c r="L947" s="3764">
        <f>(K947 * G947)</f>
        <v>0</v>
      </c>
      <c r="M947" s="3765">
        <v>273636.37</v>
      </c>
      <c r="N947" s="3766">
        <f>(G947 * M947)</f>
        <v>0</v>
      </c>
      <c r="O947">
        <v>0</v>
      </c>
      <c r="P947">
        <v>0</v>
      </c>
      <c r="Q947">
        <f>IF(O947&gt;G947,(O947-G947),0)</f>
        <v>0</v>
      </c>
      <c r="R947">
        <v>1</v>
      </c>
      <c r="S947">
        <f>IF(Q947&gt;0,Int(P947/Q947),0)</f>
        <v>0</v>
      </c>
      <c r="T947">
        <f>0</f>
        <v>0</v>
      </c>
      <c r="U947" t="s">
        <v>789</v>
      </c>
      <c r="V947">
        <v>248760.34</v>
      </c>
      <c r="W947" t="s">
        <v>43</v>
      </c>
      <c r="X947"/>
    </row>
    <row r="948" spans="1:27">
      <c r="A948" t="s">
        <v>28</v>
      </c>
      <c r="B948" t="s">
        <v>29</v>
      </c>
      <c r="C948" t="s">
        <v>3345</v>
      </c>
      <c r="D948" t="s">
        <v>3346</v>
      </c>
      <c r="E948" t="s">
        <v>3347</v>
      </c>
      <c r="F948" t="s">
        <v>33</v>
      </c>
      <c r="G948">
        <v>0</v>
      </c>
      <c r="H948">
        <f>((0/1000) * G948)</f>
        <v>0</v>
      </c>
      <c r="I948">
        <v>0</v>
      </c>
      <c r="J948">
        <v>0</v>
      </c>
      <c r="K948" s="3767">
        <v>180400</v>
      </c>
      <c r="L948" s="3768">
        <f>(K948 * G948)</f>
        <v>0</v>
      </c>
      <c r="M948" s="3769">
        <v>259160</v>
      </c>
      <c r="N948" s="3770">
        <f>(G948 * M948)</f>
        <v>0</v>
      </c>
      <c r="O948">
        <v>0</v>
      </c>
      <c r="P948">
        <v>0</v>
      </c>
      <c r="Q948">
        <f>IF(O948&gt;G948,(O948-G948),0)</f>
        <v>0</v>
      </c>
      <c r="R948">
        <v>0</v>
      </c>
      <c r="S948">
        <f>IF(Q948&gt;0,Int(P948/Q948),0)</f>
        <v>0</v>
      </c>
      <c r="T948">
        <f>0</f>
        <v>0</v>
      </c>
      <c r="U948"/>
      <c r="V948">
        <v>180400</v>
      </c>
      <c r="W948" t="s">
        <v>43</v>
      </c>
      <c r="X948"/>
    </row>
    <row r="949" spans="1:27">
      <c r="A949" t="s">
        <v>28</v>
      </c>
      <c r="B949" t="s">
        <v>29</v>
      </c>
      <c r="C949" t="s">
        <v>3348</v>
      </c>
      <c r="D949" t="s">
        <v>3349</v>
      </c>
      <c r="E949" t="s">
        <v>3350</v>
      </c>
      <c r="F949" t="s">
        <v>33</v>
      </c>
      <c r="G949">
        <v>0</v>
      </c>
      <c r="H949">
        <f>((0/1000) * G949)</f>
        <v>0</v>
      </c>
      <c r="I949">
        <v>0</v>
      </c>
      <c r="J949">
        <v>0</v>
      </c>
      <c r="K949" s="3771">
        <v>223553.72</v>
      </c>
      <c r="L949" s="3772">
        <f>(K949 * G949)</f>
        <v>0</v>
      </c>
      <c r="M949" s="3773">
        <v>245909.09</v>
      </c>
      <c r="N949" s="3774">
        <f>(G949 * M949)</f>
        <v>0</v>
      </c>
      <c r="O949">
        <v>0</v>
      </c>
      <c r="P949">
        <v>0</v>
      </c>
      <c r="Q949">
        <f>IF(O949&gt;G949,(O949-G949),0)</f>
        <v>0</v>
      </c>
      <c r="R949">
        <v>1</v>
      </c>
      <c r="S949">
        <f>IF(Q949&gt;0,Int(P949/Q949),0)</f>
        <v>0</v>
      </c>
      <c r="T949">
        <f>200976.71</f>
        <v>200976.71</v>
      </c>
      <c r="U949" t="s">
        <v>3351</v>
      </c>
      <c r="V949">
        <v>223553.72</v>
      </c>
      <c r="W949" t="s">
        <v>43</v>
      </c>
      <c r="X949"/>
    </row>
    <row r="950" spans="1:27">
      <c r="A950" t="s">
        <v>28</v>
      </c>
      <c r="B950" t="s">
        <v>29</v>
      </c>
      <c r="C950" t="s">
        <v>3352</v>
      </c>
      <c r="D950" t="s">
        <v>3353</v>
      </c>
      <c r="E950" t="s">
        <v>3354</v>
      </c>
      <c r="F950" t="s">
        <v>41</v>
      </c>
      <c r="G950">
        <v>0</v>
      </c>
      <c r="H950">
        <f>((0/1000) * G950)</f>
        <v>0</v>
      </c>
      <c r="I950">
        <v>0</v>
      </c>
      <c r="J950">
        <v>0</v>
      </c>
      <c r="K950" s="3775">
        <v>252644.62</v>
      </c>
      <c r="L950" s="3776">
        <f>(K950 * G950)</f>
        <v>0</v>
      </c>
      <c r="M950" s="3777">
        <v>277909.08</v>
      </c>
      <c r="N950" s="3778">
        <f>(G950 * M950)</f>
        <v>0</v>
      </c>
      <c r="O950">
        <v>0</v>
      </c>
      <c r="P950">
        <v>0</v>
      </c>
      <c r="Q950">
        <f>IF(O950&gt;G950,(O950-G950),0)</f>
        <v>0</v>
      </c>
      <c r="R950">
        <v>1</v>
      </c>
      <c r="S950">
        <f>IF(Q950&gt;0,Int(P950/Q950),0)</f>
        <v>0</v>
      </c>
      <c r="T950">
        <f>229676.93</f>
        <v>229676.93</v>
      </c>
      <c r="U950" t="s">
        <v>3355</v>
      </c>
      <c r="V950">
        <v>252644.62</v>
      </c>
      <c r="W950" t="s">
        <v>43</v>
      </c>
      <c r="X950"/>
    </row>
    <row r="951" spans="1:27">
      <c r="A951" t="s">
        <v>28</v>
      </c>
      <c r="B951" t="s">
        <v>29</v>
      </c>
      <c r="C951" t="s">
        <v>3356</v>
      </c>
      <c r="D951" t="s">
        <v>3356</v>
      </c>
      <c r="E951" t="s">
        <v>3357</v>
      </c>
      <c r="F951" t="s">
        <v>41</v>
      </c>
      <c r="G951">
        <v>8</v>
      </c>
      <c r="H951">
        <f>((0/1000) * G951)</f>
        <v>0</v>
      </c>
      <c r="I951">
        <v>0</v>
      </c>
      <c r="J951">
        <v>8</v>
      </c>
      <c r="K951" s="3779">
        <v>101116.4</v>
      </c>
      <c r="L951" s="3780">
        <f>(K951 * G951)</f>
        <v>808931.2</v>
      </c>
      <c r="M951" s="3781">
        <v>151674.6</v>
      </c>
      <c r="N951" s="3782">
        <f>(G951 * M951)</f>
        <v>1213396.8</v>
      </c>
      <c r="O951">
        <v>0</v>
      </c>
      <c r="P951">
        <v>0</v>
      </c>
      <c r="Q951">
        <f>IF(O951&gt;G951,(O951-G951),0)</f>
        <v>0</v>
      </c>
      <c r="R951">
        <v>0</v>
      </c>
      <c r="S951">
        <f>IF(Q951&gt;0,Int(P951/Q951),0)</f>
        <v>0</v>
      </c>
      <c r="T951">
        <f>101116.4</f>
        <v>101116.4</v>
      </c>
      <c r="U951" t="s">
        <v>573</v>
      </c>
      <c r="V951">
        <v>101116.4</v>
      </c>
      <c r="W951" t="s">
        <v>1498</v>
      </c>
      <c r="X951" t="s">
        <v>490</v>
      </c>
    </row>
    <row r="952" spans="1:27">
      <c r="A952" t="s">
        <v>35</v>
      </c>
      <c r="B952" t="s">
        <v>29</v>
      </c>
      <c r="C952" t="s">
        <v>3358</v>
      </c>
      <c r="D952" t="s">
        <v>3359</v>
      </c>
      <c r="E952" t="s">
        <v>3360</v>
      </c>
      <c r="F952" t="s">
        <v>33</v>
      </c>
      <c r="G952">
        <v>0</v>
      </c>
      <c r="H952">
        <f>((0/1000) * G952)</f>
        <v>0</v>
      </c>
      <c r="I952">
        <v>0</v>
      </c>
      <c r="J952">
        <v>0</v>
      </c>
      <c r="K952" s="3783">
        <v>139259.69</v>
      </c>
      <c r="L952" s="3784">
        <f>(K952 * G952)</f>
        <v>0</v>
      </c>
      <c r="M952" s="3785">
        <v>194963.56</v>
      </c>
      <c r="N952" s="3786">
        <f>(G952 * M952)</f>
        <v>0</v>
      </c>
      <c r="O952">
        <v>0</v>
      </c>
      <c r="P952">
        <v>0</v>
      </c>
      <c r="Q952">
        <f>IF(O952&gt;G952,(O952-G952),0)</f>
        <v>0</v>
      </c>
      <c r="R952">
        <v>0</v>
      </c>
      <c r="S952">
        <f>IF(Q952&gt;0,Int(P952/Q952),0)</f>
        <v>0</v>
      </c>
      <c r="T952">
        <f>0</f>
        <v>0</v>
      </c>
      <c r="U952"/>
      <c r="V952">
        <v>139259.69</v>
      </c>
      <c r="W952" t="s">
        <v>148</v>
      </c>
      <c r="X952"/>
    </row>
    <row r="953" spans="1:27">
      <c r="A953" t="s">
        <v>28</v>
      </c>
      <c r="B953" t="s">
        <v>29</v>
      </c>
      <c r="C953" t="s">
        <v>3361</v>
      </c>
      <c r="D953" t="s">
        <v>3362</v>
      </c>
      <c r="E953" t="s">
        <v>3363</v>
      </c>
      <c r="F953" t="s">
        <v>41</v>
      </c>
      <c r="G953">
        <v>0</v>
      </c>
      <c r="H953">
        <f>((0/1000) * G953)</f>
        <v>0</v>
      </c>
      <c r="I953">
        <v>0</v>
      </c>
      <c r="J953">
        <v>0</v>
      </c>
      <c r="K953" s="3787">
        <v>366694.22</v>
      </c>
      <c r="L953" s="3788">
        <f>(K953 * G953)</f>
        <v>0</v>
      </c>
      <c r="M953" s="3789">
        <v>403363.64</v>
      </c>
      <c r="N953" s="3790">
        <f>(G953 * M953)</f>
        <v>0</v>
      </c>
      <c r="O953">
        <v>0</v>
      </c>
      <c r="P953">
        <v>0</v>
      </c>
      <c r="Q953">
        <f>IF(O953&gt;G953,(O953-G953),0)</f>
        <v>0</v>
      </c>
      <c r="R953">
        <v>1</v>
      </c>
      <c r="S953">
        <f>IF(Q953&gt;0,Int(P953/Q953),0)</f>
        <v>0</v>
      </c>
      <c r="T953">
        <f>0</f>
        <v>0</v>
      </c>
      <c r="U953"/>
      <c r="V953">
        <v>366694.22</v>
      </c>
      <c r="W953" t="s">
        <v>43</v>
      </c>
      <c r="X953"/>
    </row>
    <row r="954" spans="1:27">
      <c r="A954" t="s">
        <v>35</v>
      </c>
      <c r="B954" t="s">
        <v>29</v>
      </c>
      <c r="C954" t="s">
        <v>3364</v>
      </c>
      <c r="D954" t="s">
        <v>3365</v>
      </c>
      <c r="E954" t="s">
        <v>3366</v>
      </c>
      <c r="F954" t="s">
        <v>33</v>
      </c>
      <c r="G954">
        <v>0</v>
      </c>
      <c r="H954">
        <f>((0/1000) * G954)</f>
        <v>0</v>
      </c>
      <c r="I954">
        <v>0</v>
      </c>
      <c r="J954">
        <v>0</v>
      </c>
      <c r="K954" s="3791">
        <v>54332.94</v>
      </c>
      <c r="L954" s="3792">
        <f>(K954 * G954)</f>
        <v>0</v>
      </c>
      <c r="M954" s="3793">
        <v>76066.12</v>
      </c>
      <c r="N954" s="3794">
        <f>(G954 * M954)</f>
        <v>0</v>
      </c>
      <c r="O954">
        <v>0</v>
      </c>
      <c r="P954">
        <v>0</v>
      </c>
      <c r="Q954">
        <f>IF(O954&gt;G954,(O954-G954),0)</f>
        <v>0</v>
      </c>
      <c r="R954">
        <v>1</v>
      </c>
      <c r="S954">
        <f>IF(Q954&gt;0,Int(P954/Q954),0)</f>
        <v>0</v>
      </c>
      <c r="T954">
        <f>0</f>
        <v>0</v>
      </c>
      <c r="U954"/>
      <c r="V954">
        <v>54332.94</v>
      </c>
      <c r="W954" t="s">
        <v>75</v>
      </c>
      <c r="X954"/>
    </row>
    <row r="955" spans="1:27">
      <c r="A955" t="s">
        <v>28</v>
      </c>
      <c r="B955" t="s">
        <v>29</v>
      </c>
      <c r="C955" t="s">
        <v>3367</v>
      </c>
      <c r="D955" t="s">
        <v>3368</v>
      </c>
      <c r="E955" t="s">
        <v>3369</v>
      </c>
      <c r="F955" t="s">
        <v>41</v>
      </c>
      <c r="G955">
        <v>1</v>
      </c>
      <c r="H955">
        <f>((0/1000) * G955)</f>
        <v>0</v>
      </c>
      <c r="I955">
        <v>1</v>
      </c>
      <c r="J955">
        <v>0</v>
      </c>
      <c r="K955" s="3795">
        <v>286609.92</v>
      </c>
      <c r="L955" s="3796">
        <f>(K955 * G955)</f>
        <v>286609.92</v>
      </c>
      <c r="M955" s="3797">
        <v>401253.89</v>
      </c>
      <c r="N955" s="3798">
        <f>(G955 * M955)</f>
        <v>401253.89</v>
      </c>
      <c r="O955">
        <v>0</v>
      </c>
      <c r="P955">
        <v>0</v>
      </c>
      <c r="Q955">
        <f>IF(O955&gt;G955,(O955-G955),0)</f>
        <v>0</v>
      </c>
      <c r="R955">
        <v>1</v>
      </c>
      <c r="S955">
        <f>IF(Q955&gt;0,Int(P955/Q955),0)</f>
        <v>0</v>
      </c>
      <c r="T955">
        <f>244703.23</f>
        <v>244703.23</v>
      </c>
      <c r="U955" t="s">
        <v>3370</v>
      </c>
      <c r="V955">
        <v>286609.92</v>
      </c>
      <c r="W955" t="s">
        <v>182</v>
      </c>
      <c r="X955"/>
    </row>
    <row r="956" spans="1:27">
      <c r="A956" t="s">
        <v>28</v>
      </c>
      <c r="B956" t="s">
        <v>29</v>
      </c>
      <c r="C956" t="s">
        <v>3371</v>
      </c>
      <c r="D956" t="s">
        <v>3372</v>
      </c>
      <c r="E956" t="s">
        <v>3373</v>
      </c>
      <c r="F956" t="s">
        <v>33</v>
      </c>
      <c r="G956">
        <v>0</v>
      </c>
      <c r="H956">
        <f>((0/1000) * G956)</f>
        <v>0</v>
      </c>
      <c r="I956">
        <v>0</v>
      </c>
      <c r="J956">
        <v>0</v>
      </c>
      <c r="K956" s="3799">
        <v>260678.55</v>
      </c>
      <c r="L956" s="3800">
        <f>(K956 * G956)</f>
        <v>0</v>
      </c>
      <c r="M956" s="3801">
        <v>364949.98</v>
      </c>
      <c r="N956" s="3802">
        <f>(G956 * M956)</f>
        <v>0</v>
      </c>
      <c r="O956">
        <v>0</v>
      </c>
      <c r="P956">
        <v>0</v>
      </c>
      <c r="Q956">
        <f>IF(O956&gt;G956,(O956-G956),0)</f>
        <v>0</v>
      </c>
      <c r="R956">
        <v>0</v>
      </c>
      <c r="S956">
        <f>IF(Q956&gt;0,Int(P956/Q956),0)</f>
        <v>0</v>
      </c>
      <c r="T956">
        <f>0</f>
        <v>0</v>
      </c>
      <c r="U956"/>
      <c r="V956">
        <v>260678.55</v>
      </c>
      <c r="W956" t="s">
        <v>182</v>
      </c>
      <c r="X956"/>
    </row>
    <row r="957" spans="1:27">
      <c r="A957" t="s">
        <v>28</v>
      </c>
      <c r="B957" t="s">
        <v>29</v>
      </c>
      <c r="C957" t="s">
        <v>3374</v>
      </c>
      <c r="D957" t="s">
        <v>3375</v>
      </c>
      <c r="E957" t="s">
        <v>3376</v>
      </c>
      <c r="F957" t="s">
        <v>33</v>
      </c>
      <c r="G957">
        <v>0</v>
      </c>
      <c r="H957">
        <f>((0/1000) * G957)</f>
        <v>0</v>
      </c>
      <c r="I957">
        <v>0</v>
      </c>
      <c r="J957">
        <v>0</v>
      </c>
      <c r="K957" s="3803">
        <v>204116.36</v>
      </c>
      <c r="L957" s="3804">
        <f>(K957 * G957)</f>
        <v>0</v>
      </c>
      <c r="M957" s="3805">
        <v>285762.91</v>
      </c>
      <c r="N957" s="3806">
        <f>(G957 * M957)</f>
        <v>0</v>
      </c>
      <c r="O957">
        <v>0</v>
      </c>
      <c r="P957">
        <v>0</v>
      </c>
      <c r="Q957">
        <f>IF(O957&gt;G957,(O957-G957),0)</f>
        <v>0</v>
      </c>
      <c r="R957">
        <v>1</v>
      </c>
      <c r="S957">
        <f>IF(Q957&gt;0,Int(P957/Q957),0)</f>
        <v>0</v>
      </c>
      <c r="T957">
        <f>223890.91</f>
        <v>223890.91</v>
      </c>
      <c r="U957" t="s">
        <v>3377</v>
      </c>
      <c r="V957">
        <v>204116.36</v>
      </c>
      <c r="W957" t="s">
        <v>75</v>
      </c>
      <c r="X957"/>
    </row>
    <row r="958" spans="1:27">
      <c r="A958" t="s">
        <v>35</v>
      </c>
      <c r="B958" t="s">
        <v>29</v>
      </c>
      <c r="C958" t="s">
        <v>3378</v>
      </c>
      <c r="D958" t="s">
        <v>3379</v>
      </c>
      <c r="E958" t="s">
        <v>3380</v>
      </c>
      <c r="F958" t="s">
        <v>33</v>
      </c>
      <c r="G958">
        <v>6</v>
      </c>
      <c r="H958">
        <f>((0/1000) * G958)</f>
        <v>0</v>
      </c>
      <c r="I958">
        <v>0</v>
      </c>
      <c r="J958">
        <v>6</v>
      </c>
      <c r="K958" s="3807">
        <v>155761.37</v>
      </c>
      <c r="L958" s="3808">
        <f>(K958 * G958)</f>
        <v>934568.22</v>
      </c>
      <c r="M958" s="3809">
        <v>249218.19</v>
      </c>
      <c r="N958" s="3810">
        <f>(G958 * M958)</f>
        <v>1495309.14</v>
      </c>
      <c r="O958">
        <v>0</v>
      </c>
      <c r="P958">
        <v>0</v>
      </c>
      <c r="Q958">
        <f>IF(O958&gt;G958,(O958-G958),0)</f>
        <v>0</v>
      </c>
      <c r="R958">
        <v>0</v>
      </c>
      <c r="S958">
        <f>IF(Q958&gt;0,Int(P958/Q958),0)</f>
        <v>0</v>
      </c>
      <c r="T958">
        <f>155761.37</f>
        <v>155761.37</v>
      </c>
      <c r="U958" t="s">
        <v>897</v>
      </c>
      <c r="V958">
        <v>155761.37</v>
      </c>
      <c r="W958" t="s">
        <v>898</v>
      </c>
      <c r="X958"/>
    </row>
    <row r="959" spans="1:27">
      <c r="A959" t="s">
        <v>28</v>
      </c>
      <c r="B959" t="s">
        <v>29</v>
      </c>
      <c r="C959" t="s">
        <v>3381</v>
      </c>
      <c r="D959" t="s">
        <v>3381</v>
      </c>
      <c r="E959" t="s">
        <v>3382</v>
      </c>
      <c r="F959" t="s">
        <v>33</v>
      </c>
      <c r="G959">
        <v>0</v>
      </c>
      <c r="H959">
        <f>((0/1000) * G959)</f>
        <v>0</v>
      </c>
      <c r="I959">
        <v>0</v>
      </c>
      <c r="J959">
        <v>0</v>
      </c>
      <c r="K959" s="3811">
        <v>0</v>
      </c>
      <c r="L959" s="3812">
        <f>(K959 * G959)</f>
        <v>0</v>
      </c>
      <c r="M959" s="3813">
        <v>0</v>
      </c>
      <c r="N959" s="3814">
        <f>(G959 * M959)</f>
        <v>0</v>
      </c>
      <c r="O959">
        <v>0</v>
      </c>
      <c r="P959">
        <v>0</v>
      </c>
      <c r="Q959">
        <f>IF(O959&gt;G959,(O959-G959),0)</f>
        <v>0</v>
      </c>
      <c r="R959">
        <v>1</v>
      </c>
      <c r="S959">
        <f>IF(Q959&gt;0,Int(P959/Q959),0)</f>
        <v>0</v>
      </c>
      <c r="T959">
        <f>0</f>
        <v>0</v>
      </c>
      <c r="U959" t="s">
        <v>3383</v>
      </c>
      <c r="V959">
        <v>0</v>
      </c>
      <c r="W959">
        <v>0</v>
      </c>
      <c r="X959"/>
    </row>
    <row r="960" spans="1:27">
      <c r="A960" t="s">
        <v>35</v>
      </c>
      <c r="B960" t="s">
        <v>29</v>
      </c>
      <c r="C960" t="s">
        <v>3384</v>
      </c>
      <c r="D960" t="s">
        <v>3385</v>
      </c>
      <c r="E960" t="s">
        <v>3386</v>
      </c>
      <c r="F960" t="s">
        <v>41</v>
      </c>
      <c r="G960">
        <v>0</v>
      </c>
      <c r="H960">
        <f>((1/1000) * G960)</f>
        <v>0</v>
      </c>
      <c r="I960">
        <v>0</v>
      </c>
      <c r="J960">
        <v>0</v>
      </c>
      <c r="K960" s="3815">
        <v>244599.86</v>
      </c>
      <c r="L960" s="3816">
        <f>(K960 * G960)</f>
        <v>0</v>
      </c>
      <c r="M960" s="3817">
        <v>269059.85</v>
      </c>
      <c r="N960" s="3818">
        <f>(G960 * M960)</f>
        <v>0</v>
      </c>
      <c r="O960">
        <v>0</v>
      </c>
      <c r="P960">
        <v>0</v>
      </c>
      <c r="Q960">
        <f>IF(O960&gt;G960,(O960-G960),0)</f>
        <v>0</v>
      </c>
      <c r="R960">
        <v>1</v>
      </c>
      <c r="S960">
        <f>IF(Q960&gt;0,Int(P960/Q960),0)</f>
        <v>0</v>
      </c>
      <c r="T960">
        <f>0</f>
        <v>0</v>
      </c>
      <c r="U960"/>
      <c r="V960">
        <v>244599.86</v>
      </c>
      <c r="W960" t="s">
        <v>43</v>
      </c>
      <c r="X960"/>
    </row>
    <row r="961" spans="1:27">
      <c r="A961" t="s">
        <v>35</v>
      </c>
      <c r="B961" t="s">
        <v>29</v>
      </c>
      <c r="C961" t="s">
        <v>3387</v>
      </c>
      <c r="D961" t="s">
        <v>3387</v>
      </c>
      <c r="E961" t="s">
        <v>3388</v>
      </c>
      <c r="F961" t="s">
        <v>33</v>
      </c>
      <c r="G961">
        <v>0</v>
      </c>
      <c r="H961">
        <f>((1/1000) * G961)</f>
        <v>0</v>
      </c>
      <c r="I961">
        <v>0</v>
      </c>
      <c r="J961">
        <v>0</v>
      </c>
      <c r="K961" s="3819">
        <v>0</v>
      </c>
      <c r="L961" s="3820">
        <f>(K961 * G961)</f>
        <v>0</v>
      </c>
      <c r="M961" s="3821">
        <v>0</v>
      </c>
      <c r="N961" s="3822">
        <f>(G961 * M961)</f>
        <v>0</v>
      </c>
      <c r="O961">
        <v>0</v>
      </c>
      <c r="P961">
        <v>0</v>
      </c>
      <c r="Q961">
        <f>IF(O961&gt;G961,(O961-G961),0)</f>
        <v>0</v>
      </c>
      <c r="R961">
        <v>0</v>
      </c>
      <c r="S961">
        <f>IF(Q961&gt;0,Int(P961/Q961),0)</f>
        <v>0</v>
      </c>
      <c r="T961">
        <f>0</f>
        <v>0</v>
      </c>
      <c r="U961"/>
      <c r="V961">
        <v>0</v>
      </c>
      <c r="W961">
        <v>0</v>
      </c>
      <c r="X961"/>
    </row>
    <row r="962" spans="1:27">
      <c r="A962" t="s">
        <v>28</v>
      </c>
      <c r="B962" t="s">
        <v>29</v>
      </c>
      <c r="C962" t="s">
        <v>3389</v>
      </c>
      <c r="D962" t="s">
        <v>3390</v>
      </c>
      <c r="E962" t="s">
        <v>3391</v>
      </c>
      <c r="F962" t="s">
        <v>33</v>
      </c>
      <c r="G962">
        <v>5</v>
      </c>
      <c r="H962">
        <f>((0/1000) * G962)</f>
        <v>0</v>
      </c>
      <c r="I962">
        <v>0</v>
      </c>
      <c r="J962">
        <v>5</v>
      </c>
      <c r="K962" s="3823">
        <v>162000</v>
      </c>
      <c r="L962" s="3824">
        <f>(K962 * G962)</f>
        <v>810000</v>
      </c>
      <c r="M962" s="3825">
        <v>243000</v>
      </c>
      <c r="N962" s="3826">
        <f>(G962 * M962)</f>
        <v>1215000</v>
      </c>
      <c r="O962">
        <v>0</v>
      </c>
      <c r="P962">
        <v>0</v>
      </c>
      <c r="Q962">
        <f>IF(O962&gt;G962,(O962-G962),0)</f>
        <v>0</v>
      </c>
      <c r="R962">
        <v>1</v>
      </c>
      <c r="S962">
        <f>IF(Q962&gt;0,Int(P962/Q962),0)</f>
        <v>0</v>
      </c>
      <c r="T962">
        <f>244402.7</f>
        <v>244402.7</v>
      </c>
      <c r="U962" t="s">
        <v>3392</v>
      </c>
      <c r="V962">
        <v>162000</v>
      </c>
      <c r="W962" t="s">
        <v>80</v>
      </c>
      <c r="X962" t="s">
        <v>136</v>
      </c>
    </row>
    <row r="963" spans="1:27">
      <c r="A963" t="s">
        <v>28</v>
      </c>
      <c r="B963" t="s">
        <v>29</v>
      </c>
      <c r="C963" t="s">
        <v>3393</v>
      </c>
      <c r="D963" t="s">
        <v>3394</v>
      </c>
      <c r="E963" t="s">
        <v>3395</v>
      </c>
      <c r="F963" t="s">
        <v>41</v>
      </c>
      <c r="G963">
        <v>0</v>
      </c>
      <c r="H963">
        <f>((0/1000) * G963)</f>
        <v>0</v>
      </c>
      <c r="I963">
        <v>0</v>
      </c>
      <c r="J963">
        <v>0</v>
      </c>
      <c r="K963" s="3827">
        <v>204380.17</v>
      </c>
      <c r="L963" s="3828">
        <f>(K963 * G963)</f>
        <v>0</v>
      </c>
      <c r="M963" s="3829">
        <v>224818.18</v>
      </c>
      <c r="N963" s="3830">
        <f>(G963 * M963)</f>
        <v>0</v>
      </c>
      <c r="O963">
        <v>0</v>
      </c>
      <c r="P963">
        <v>0</v>
      </c>
      <c r="Q963">
        <f>IF(O963&gt;G963,(O963-G963),0)</f>
        <v>0</v>
      </c>
      <c r="R963">
        <v>1</v>
      </c>
      <c r="S963">
        <f>IF(Q963&gt;0,Int(P963/Q963),0)</f>
        <v>0</v>
      </c>
      <c r="T963">
        <f>0</f>
        <v>0</v>
      </c>
      <c r="U963"/>
      <c r="V963">
        <v>204380.17</v>
      </c>
      <c r="W963" t="s">
        <v>43</v>
      </c>
      <c r="X963"/>
    </row>
    <row r="964" spans="1:27">
      <c r="A964" t="s">
        <v>28</v>
      </c>
      <c r="B964" t="s">
        <v>29</v>
      </c>
      <c r="C964" t="s">
        <v>3396</v>
      </c>
      <c r="D964" t="s">
        <v>3397</v>
      </c>
      <c r="E964" t="s">
        <v>3398</v>
      </c>
      <c r="F964" t="s">
        <v>33</v>
      </c>
      <c r="G964">
        <v>0</v>
      </c>
      <c r="H964">
        <f>((0/1000) * G964)</f>
        <v>0</v>
      </c>
      <c r="I964">
        <v>0</v>
      </c>
      <c r="J964">
        <v>0</v>
      </c>
      <c r="K964" s="3831">
        <v>124743.3</v>
      </c>
      <c r="L964" s="3832">
        <f>(K964 * G964)</f>
        <v>0</v>
      </c>
      <c r="M964" s="3833">
        <v>174640.62</v>
      </c>
      <c r="N964" s="3834">
        <f>(G964 * M964)</f>
        <v>0</v>
      </c>
      <c r="O964">
        <v>0</v>
      </c>
      <c r="P964">
        <v>0</v>
      </c>
      <c r="Q964">
        <f>IF(O964&gt;G964,(O964-G964),0)</f>
        <v>0</v>
      </c>
      <c r="R964">
        <v>1</v>
      </c>
      <c r="S964">
        <f>IF(Q964&gt;0,Int(P964/Q964),0)</f>
        <v>0</v>
      </c>
      <c r="T964">
        <f>0</f>
        <v>0</v>
      </c>
      <c r="U964"/>
      <c r="V964">
        <v>124743.3</v>
      </c>
      <c r="W964" t="s">
        <v>75</v>
      </c>
      <c r="X964"/>
    </row>
    <row r="965" spans="1:27">
      <c r="A965" t="s">
        <v>28</v>
      </c>
      <c r="B965" t="s">
        <v>29</v>
      </c>
      <c r="C965" t="s">
        <v>3399</v>
      </c>
      <c r="D965" t="s">
        <v>3400</v>
      </c>
      <c r="E965" t="s">
        <v>3401</v>
      </c>
      <c r="F965" t="s">
        <v>41</v>
      </c>
      <c r="G965">
        <v>0</v>
      </c>
      <c r="H965">
        <f>((0/1000) * G965)</f>
        <v>0</v>
      </c>
      <c r="I965">
        <v>0</v>
      </c>
      <c r="J965">
        <v>0</v>
      </c>
      <c r="K965" s="3835">
        <v>265058.64</v>
      </c>
      <c r="L965" s="3836">
        <f>(K965 * G965)</f>
        <v>0</v>
      </c>
      <c r="M965" s="3837">
        <v>331323.3</v>
      </c>
      <c r="N965" s="3838">
        <f>(G965 * M965)</f>
        <v>0</v>
      </c>
      <c r="O965">
        <v>0</v>
      </c>
      <c r="P965">
        <v>0</v>
      </c>
      <c r="Q965">
        <f>IF(O965&gt;G965,(O965-G965),0)</f>
        <v>0</v>
      </c>
      <c r="R965">
        <v>0</v>
      </c>
      <c r="S965">
        <f>IF(Q965&gt;0,Int(P965/Q965),0)</f>
        <v>0</v>
      </c>
      <c r="T965">
        <f>0</f>
        <v>0</v>
      </c>
      <c r="U965"/>
      <c r="V965">
        <v>265058.64</v>
      </c>
      <c r="W965" t="s">
        <v>43</v>
      </c>
      <c r="X965"/>
    </row>
    <row r="966" spans="1:27">
      <c r="A966" t="s">
        <v>28</v>
      </c>
      <c r="B966" t="s">
        <v>29</v>
      </c>
      <c r="C966" t="s">
        <v>3402</v>
      </c>
      <c r="D966" t="s">
        <v>3403</v>
      </c>
      <c r="E966" t="s">
        <v>3404</v>
      </c>
      <c r="F966" t="s">
        <v>41</v>
      </c>
      <c r="G966">
        <v>3</v>
      </c>
      <c r="H966">
        <f>((0/1000) * G966)</f>
        <v>0</v>
      </c>
      <c r="I966">
        <v>2</v>
      </c>
      <c r="J966">
        <v>1</v>
      </c>
      <c r="K966" s="3839">
        <v>267532.47</v>
      </c>
      <c r="L966" s="3840">
        <f>(K966 * G966)</f>
        <v>802597.41</v>
      </c>
      <c r="M966" s="3841">
        <v>374545.45</v>
      </c>
      <c r="N966" s="3842">
        <f>(G966 * M966)</f>
        <v>1123636.35</v>
      </c>
      <c r="O966">
        <v>0</v>
      </c>
      <c r="P966">
        <v>0</v>
      </c>
      <c r="Q966">
        <f>IF(O966&gt;G966,(O966-G966),0)</f>
        <v>0</v>
      </c>
      <c r="R966">
        <v>1</v>
      </c>
      <c r="S966">
        <f>IF(Q966&gt;0,Int(P966/Q966),0)</f>
        <v>0</v>
      </c>
      <c r="T966">
        <f>0</f>
        <v>0</v>
      </c>
      <c r="U966"/>
      <c r="V966">
        <v>267532.47</v>
      </c>
      <c r="W966" t="s">
        <v>75</v>
      </c>
      <c r="X966" t="s">
        <v>81</v>
      </c>
    </row>
    <row r="967" spans="1:27">
      <c r="A967" t="s">
        <v>28</v>
      </c>
      <c r="B967" t="s">
        <v>29</v>
      </c>
      <c r="C967" t="s">
        <v>3405</v>
      </c>
      <c r="D967" t="s">
        <v>3406</v>
      </c>
      <c r="E967" t="s">
        <v>3407</v>
      </c>
      <c r="F967" t="s">
        <v>33</v>
      </c>
      <c r="G967">
        <v>0</v>
      </c>
      <c r="H967">
        <f>((0/1000) * G967)</f>
        <v>0</v>
      </c>
      <c r="I967">
        <v>0</v>
      </c>
      <c r="J967">
        <v>0</v>
      </c>
      <c r="K967" s="3843">
        <v>145828.57</v>
      </c>
      <c r="L967" s="3844">
        <f>(K967 * G967)</f>
        <v>0</v>
      </c>
      <c r="M967" s="3845">
        <v>204160</v>
      </c>
      <c r="N967" s="3846">
        <f>(G967 * M967)</f>
        <v>0</v>
      </c>
      <c r="O967">
        <v>0</v>
      </c>
      <c r="P967">
        <v>0</v>
      </c>
      <c r="Q967">
        <f>IF(O967&gt;G967,(O967-G967),0)</f>
        <v>0</v>
      </c>
      <c r="R967">
        <v>1</v>
      </c>
      <c r="S967">
        <f>IF(Q967&gt;0,Int(P967/Q967),0)</f>
        <v>0</v>
      </c>
      <c r="T967">
        <f>111570.24</f>
        <v>111570.24</v>
      </c>
      <c r="U967" t="s">
        <v>3408</v>
      </c>
      <c r="V967">
        <v>145828.57</v>
      </c>
      <c r="W967" t="s">
        <v>301</v>
      </c>
      <c r="X967"/>
    </row>
    <row r="968" spans="1:27">
      <c r="A968" t="s">
        <v>28</v>
      </c>
      <c r="B968" t="s">
        <v>29</v>
      </c>
      <c r="C968" t="s">
        <v>3409</v>
      </c>
      <c r="D968" t="s">
        <v>3410</v>
      </c>
      <c r="E968" t="s">
        <v>3411</v>
      </c>
      <c r="F968" t="s">
        <v>41</v>
      </c>
      <c r="G968">
        <v>0</v>
      </c>
      <c r="H968">
        <f>((0/1000) * G968)</f>
        <v>0</v>
      </c>
      <c r="I968">
        <v>0</v>
      </c>
      <c r="J968">
        <v>0</v>
      </c>
      <c r="K968" s="3847">
        <v>255321.69</v>
      </c>
      <c r="L968" s="3848">
        <f>(K968 * G968)</f>
        <v>0</v>
      </c>
      <c r="M968" s="3849">
        <v>357450.37</v>
      </c>
      <c r="N968" s="3850">
        <f>(G968 * M968)</f>
        <v>0</v>
      </c>
      <c r="O968">
        <v>0</v>
      </c>
      <c r="P968">
        <v>0</v>
      </c>
      <c r="Q968">
        <f>IF(O968&gt;G968,(O968-G968),0)</f>
        <v>0</v>
      </c>
      <c r="R968">
        <v>1</v>
      </c>
      <c r="S968">
        <f>IF(Q968&gt;0,Int(P968/Q968),0)</f>
        <v>0</v>
      </c>
      <c r="T968">
        <f>230142.81</f>
        <v>230142.81</v>
      </c>
      <c r="U968" t="s">
        <v>3412</v>
      </c>
      <c r="V968">
        <v>255321.69</v>
      </c>
      <c r="W968" t="s">
        <v>274</v>
      </c>
      <c r="X968" t="s">
        <v>3413</v>
      </c>
    </row>
    <row r="969" spans="1:27">
      <c r="A969" t="s">
        <v>28</v>
      </c>
      <c r="B969" t="s">
        <v>29</v>
      </c>
      <c r="C969" t="s">
        <v>3414</v>
      </c>
      <c r="D969" t="s">
        <v>3415</v>
      </c>
      <c r="E969" t="s">
        <v>3416</v>
      </c>
      <c r="F969" t="s">
        <v>33</v>
      </c>
      <c r="G969">
        <v>0</v>
      </c>
      <c r="H969">
        <f>((0/1000) * G969)</f>
        <v>0</v>
      </c>
      <c r="I969">
        <v>0</v>
      </c>
      <c r="J969">
        <v>0</v>
      </c>
      <c r="K969" s="3851">
        <v>183018.3</v>
      </c>
      <c r="L969" s="3852">
        <f>(K969 * G969)</f>
        <v>0</v>
      </c>
      <c r="M969" s="3853">
        <v>256225.62</v>
      </c>
      <c r="N969" s="3854">
        <f>(G969 * M969)</f>
        <v>0</v>
      </c>
      <c r="O969">
        <v>0</v>
      </c>
      <c r="P969">
        <v>0</v>
      </c>
      <c r="Q969">
        <f>IF(O969&gt;G969,(O969-G969),0)</f>
        <v>0</v>
      </c>
      <c r="R969">
        <v>0</v>
      </c>
      <c r="S969">
        <f>IF(Q969&gt;0,Int(P969/Q969),0)</f>
        <v>0</v>
      </c>
      <c r="T969">
        <f>0</f>
        <v>0</v>
      </c>
      <c r="U969"/>
      <c r="V969">
        <v>183018.3</v>
      </c>
      <c r="W969" t="s">
        <v>529</v>
      </c>
      <c r="X969"/>
    </row>
    <row r="970" spans="1:27">
      <c r="A970" t="s">
        <v>35</v>
      </c>
      <c r="B970" t="s">
        <v>29</v>
      </c>
      <c r="C970" t="s">
        <v>3417</v>
      </c>
      <c r="D970" t="s">
        <v>3418</v>
      </c>
      <c r="E970" t="s">
        <v>3419</v>
      </c>
      <c r="F970" t="s">
        <v>41</v>
      </c>
      <c r="G970">
        <v>0</v>
      </c>
      <c r="H970">
        <f>((0/1000) * G970)</f>
        <v>0</v>
      </c>
      <c r="I970">
        <v>0</v>
      </c>
      <c r="J970">
        <v>0</v>
      </c>
      <c r="K970" s="3855">
        <v>365330.09</v>
      </c>
      <c r="L970" s="3856">
        <f>(K970 * G970)</f>
        <v>0</v>
      </c>
      <c r="M970" s="3857">
        <v>511462.13</v>
      </c>
      <c r="N970" s="3858">
        <f>(G970 * M970)</f>
        <v>0</v>
      </c>
      <c r="O970">
        <v>0</v>
      </c>
      <c r="P970">
        <v>0</v>
      </c>
      <c r="Q970">
        <f>IF(O970&gt;G970,(O970-G970),0)</f>
        <v>0</v>
      </c>
      <c r="R970">
        <v>0</v>
      </c>
      <c r="S970">
        <f>IF(Q970&gt;0,Int(P970/Q970),0)</f>
        <v>0</v>
      </c>
      <c r="T970">
        <f>0</f>
        <v>0</v>
      </c>
      <c r="U970"/>
      <c r="V970">
        <v>365330.09</v>
      </c>
      <c r="W970" t="s">
        <v>182</v>
      </c>
      <c r="X970"/>
    </row>
    <row r="971" spans="1:27">
      <c r="A971" t="s">
        <v>35</v>
      </c>
      <c r="B971" t="s">
        <v>29</v>
      </c>
      <c r="C971" t="s">
        <v>3420</v>
      </c>
      <c r="D971" t="s">
        <v>3421</v>
      </c>
      <c r="E971" t="s">
        <v>3422</v>
      </c>
      <c r="F971" t="s">
        <v>33</v>
      </c>
      <c r="G971">
        <v>0</v>
      </c>
      <c r="H971">
        <f>((0/1000) * G971)</f>
        <v>0</v>
      </c>
      <c r="I971">
        <v>0</v>
      </c>
      <c r="J971">
        <v>0</v>
      </c>
      <c r="K971" s="3859">
        <v>88088.13</v>
      </c>
      <c r="L971" s="3860">
        <f>(K971 * G971)</f>
        <v>0</v>
      </c>
      <c r="M971" s="3861">
        <v>123323.39</v>
      </c>
      <c r="N971" s="3862">
        <f>(G971 * M971)</f>
        <v>0</v>
      </c>
      <c r="O971">
        <v>0</v>
      </c>
      <c r="P971">
        <v>0</v>
      </c>
      <c r="Q971">
        <f>IF(O971&gt;G971,(O971-G971),0)</f>
        <v>0</v>
      </c>
      <c r="R971">
        <v>1</v>
      </c>
      <c r="S971">
        <f>IF(Q971&gt;0,Int(P971/Q971),0)</f>
        <v>0</v>
      </c>
      <c r="T971">
        <f>0</f>
        <v>0</v>
      </c>
      <c r="U971"/>
      <c r="V971">
        <v>88088.13</v>
      </c>
      <c r="W971" t="s">
        <v>75</v>
      </c>
      <c r="X971"/>
    </row>
    <row r="972" spans="1:27">
      <c r="A972" t="s">
        <v>35</v>
      </c>
      <c r="B972" t="s">
        <v>29</v>
      </c>
      <c r="C972" t="s">
        <v>3423</v>
      </c>
      <c r="D972" t="s">
        <v>3424</v>
      </c>
      <c r="E972" t="s">
        <v>3425</v>
      </c>
      <c r="F972" t="s">
        <v>41</v>
      </c>
      <c r="G972">
        <v>0</v>
      </c>
      <c r="H972">
        <f>((0/1000) * G972)</f>
        <v>0</v>
      </c>
      <c r="I972">
        <v>0</v>
      </c>
      <c r="J972">
        <v>0</v>
      </c>
      <c r="K972" s="3863">
        <v>365330.09</v>
      </c>
      <c r="L972" s="3864">
        <f>(K972 * G972)</f>
        <v>0</v>
      </c>
      <c r="M972" s="3865">
        <v>511462.13</v>
      </c>
      <c r="N972" s="3866">
        <f>(G972 * M972)</f>
        <v>0</v>
      </c>
      <c r="O972">
        <v>0</v>
      </c>
      <c r="P972">
        <v>0</v>
      </c>
      <c r="Q972">
        <f>IF(O972&gt;G972,(O972-G972),0)</f>
        <v>0</v>
      </c>
      <c r="R972">
        <v>0</v>
      </c>
      <c r="S972">
        <f>IF(Q972&gt;0,Int(P972/Q972),0)</f>
        <v>0</v>
      </c>
      <c r="T972">
        <f>0</f>
        <v>0</v>
      </c>
      <c r="U972"/>
      <c r="V972">
        <v>365330.09</v>
      </c>
      <c r="W972" t="s">
        <v>182</v>
      </c>
      <c r="X972"/>
    </row>
    <row r="973" spans="1:27">
      <c r="A973" t="s">
        <v>35</v>
      </c>
      <c r="B973" t="s">
        <v>29</v>
      </c>
      <c r="C973" t="s">
        <v>3426</v>
      </c>
      <c r="D973" t="s">
        <v>3427</v>
      </c>
      <c r="E973" t="s">
        <v>3428</v>
      </c>
      <c r="F973" t="s">
        <v>41</v>
      </c>
      <c r="G973">
        <v>0</v>
      </c>
      <c r="H973">
        <f>((0/1000) * G973)</f>
        <v>0</v>
      </c>
      <c r="I973">
        <v>0</v>
      </c>
      <c r="J973">
        <v>0</v>
      </c>
      <c r="K973" s="3867">
        <v>550394.16</v>
      </c>
      <c r="L973" s="3868">
        <f>(K973 * G973)</f>
        <v>0</v>
      </c>
      <c r="M973" s="3869">
        <v>770551.82</v>
      </c>
      <c r="N973" s="3870">
        <f>(G973 * M973)</f>
        <v>0</v>
      </c>
      <c r="O973">
        <v>0</v>
      </c>
      <c r="P973">
        <v>0</v>
      </c>
      <c r="Q973">
        <f>IF(O973&gt;G973,(O973-G973),0)</f>
        <v>0</v>
      </c>
      <c r="R973">
        <v>0</v>
      </c>
      <c r="S973">
        <f>IF(Q973&gt;0,Int(P973/Q973),0)</f>
        <v>0</v>
      </c>
      <c r="T973">
        <f>0</f>
        <v>0</v>
      </c>
      <c r="U973"/>
      <c r="V973">
        <v>550394.16</v>
      </c>
      <c r="W973" t="s">
        <v>182</v>
      </c>
      <c r="X973"/>
    </row>
    <row r="974" spans="1:27">
      <c r="A974" t="s">
        <v>35</v>
      </c>
      <c r="B974" t="s">
        <v>29</v>
      </c>
      <c r="C974" t="s">
        <v>3429</v>
      </c>
      <c r="D974" t="s">
        <v>3430</v>
      </c>
      <c r="E974" t="s">
        <v>3431</v>
      </c>
      <c r="F974" t="s">
        <v>33</v>
      </c>
      <c r="G974">
        <v>0</v>
      </c>
      <c r="H974">
        <f>((0/1000) * G974)</f>
        <v>0</v>
      </c>
      <c r="I974">
        <v>0</v>
      </c>
      <c r="J974">
        <v>0</v>
      </c>
      <c r="K974" s="3871">
        <v>0</v>
      </c>
      <c r="L974" s="3872">
        <f>(K974 * G974)</f>
        <v>0</v>
      </c>
      <c r="M974" s="3873">
        <v>0</v>
      </c>
      <c r="N974" s="3874">
        <f>(G974 * M974)</f>
        <v>0</v>
      </c>
      <c r="O974">
        <v>0</v>
      </c>
      <c r="P974">
        <v>0</v>
      </c>
      <c r="Q974">
        <f>IF(O974&gt;G974,(O974-G974),0)</f>
        <v>0</v>
      </c>
      <c r="R974">
        <v>1</v>
      </c>
      <c r="S974">
        <f>IF(Q974&gt;0,Int(P974/Q974),0)</f>
        <v>0</v>
      </c>
      <c r="T974">
        <f>0</f>
        <v>0</v>
      </c>
      <c r="U974"/>
      <c r="V974">
        <v>0</v>
      </c>
      <c r="W974">
        <v>0</v>
      </c>
      <c r="X974"/>
    </row>
    <row r="975" spans="1:27">
      <c r="A975" t="s">
        <v>35</v>
      </c>
      <c r="B975" t="s">
        <v>29</v>
      </c>
      <c r="C975" t="s">
        <v>3432</v>
      </c>
      <c r="D975" t="s">
        <v>3433</v>
      </c>
      <c r="E975" t="s">
        <v>3434</v>
      </c>
      <c r="F975" t="s">
        <v>41</v>
      </c>
      <c r="G975">
        <v>0</v>
      </c>
      <c r="H975">
        <f>((0/1000) * G975)</f>
        <v>0</v>
      </c>
      <c r="I975">
        <v>0</v>
      </c>
      <c r="J975">
        <v>0</v>
      </c>
      <c r="K975" s="3875">
        <v>297464.2</v>
      </c>
      <c r="L975" s="3876">
        <f>(K975 * G975)</f>
        <v>0</v>
      </c>
      <c r="M975" s="3877">
        <v>416449.88</v>
      </c>
      <c r="N975" s="3878">
        <f>(G975 * M975)</f>
        <v>0</v>
      </c>
      <c r="O975">
        <v>0</v>
      </c>
      <c r="P975">
        <v>0</v>
      </c>
      <c r="Q975">
        <f>IF(O975&gt;G975,(O975-G975),0)</f>
        <v>0</v>
      </c>
      <c r="R975">
        <v>1</v>
      </c>
      <c r="S975">
        <f>IF(Q975&gt;0,Int(P975/Q975),0)</f>
        <v>0</v>
      </c>
      <c r="T975">
        <f>294279.67</f>
        <v>294279.67</v>
      </c>
      <c r="U975" t="s">
        <v>3435</v>
      </c>
      <c r="V975">
        <v>297464.2</v>
      </c>
      <c r="W975" t="s">
        <v>182</v>
      </c>
      <c r="X975"/>
    </row>
    <row r="976" spans="1:27">
      <c r="A976" t="s">
        <v>35</v>
      </c>
      <c r="B976" t="s">
        <v>29</v>
      </c>
      <c r="C976" t="s">
        <v>3436</v>
      </c>
      <c r="D976" t="s">
        <v>3437</v>
      </c>
      <c r="E976" t="s">
        <v>3438</v>
      </c>
      <c r="F976" t="s">
        <v>33</v>
      </c>
      <c r="G976">
        <v>0</v>
      </c>
      <c r="H976">
        <f>((0/1000) * G976)</f>
        <v>0</v>
      </c>
      <c r="I976">
        <v>0</v>
      </c>
      <c r="J976">
        <v>0</v>
      </c>
      <c r="K976" s="3879">
        <v>55111.9</v>
      </c>
      <c r="L976" s="3880">
        <f>(K976 * G976)</f>
        <v>0</v>
      </c>
      <c r="M976" s="3881">
        <v>77156.66</v>
      </c>
      <c r="N976" s="3882">
        <f>(G976 * M976)</f>
        <v>0</v>
      </c>
      <c r="O976">
        <v>0</v>
      </c>
      <c r="P976">
        <v>0</v>
      </c>
      <c r="Q976">
        <f>IF(O976&gt;G976,(O976-G976),0)</f>
        <v>0</v>
      </c>
      <c r="R976">
        <v>1</v>
      </c>
      <c r="S976">
        <f>IF(Q976&gt;0,Int(P976/Q976),0)</f>
        <v>0</v>
      </c>
      <c r="T976">
        <f>0</f>
        <v>0</v>
      </c>
      <c r="U976"/>
      <c r="V976">
        <v>55111.9</v>
      </c>
      <c r="W976" t="s">
        <v>75</v>
      </c>
      <c r="X976"/>
    </row>
    <row r="977" spans="1:27">
      <c r="A977" t="s">
        <v>35</v>
      </c>
      <c r="B977" t="s">
        <v>29</v>
      </c>
      <c r="C977" t="s">
        <v>3439</v>
      </c>
      <c r="D977" t="s">
        <v>3440</v>
      </c>
      <c r="E977" t="s">
        <v>3441</v>
      </c>
      <c r="F977" t="s">
        <v>33</v>
      </c>
      <c r="G977">
        <v>0</v>
      </c>
      <c r="H977">
        <f>((0/1000) * G977)</f>
        <v>0</v>
      </c>
      <c r="I977">
        <v>0</v>
      </c>
      <c r="J977">
        <v>0</v>
      </c>
      <c r="K977" s="3883">
        <v>251404.96</v>
      </c>
      <c r="L977" s="3884">
        <f>(K977 * G977)</f>
        <v>0</v>
      </c>
      <c r="M977" s="3885">
        <v>276545.45</v>
      </c>
      <c r="N977" s="3886">
        <f>(G977 * M977)</f>
        <v>0</v>
      </c>
      <c r="O977">
        <v>0</v>
      </c>
      <c r="P977">
        <v>0</v>
      </c>
      <c r="Q977">
        <f>IF(O977&gt;G977,(O977-G977),0)</f>
        <v>0</v>
      </c>
      <c r="R977">
        <v>1</v>
      </c>
      <c r="S977">
        <f>IF(Q977&gt;0,Int(P977/Q977),0)</f>
        <v>0</v>
      </c>
      <c r="T977">
        <f>0</f>
        <v>0</v>
      </c>
      <c r="U977" t="s">
        <v>3442</v>
      </c>
      <c r="V977">
        <v>251404.96</v>
      </c>
      <c r="W977" t="s">
        <v>43</v>
      </c>
      <c r="X977"/>
    </row>
    <row r="978" spans="1:27">
      <c r="A978" t="s">
        <v>35</v>
      </c>
      <c r="B978" t="s">
        <v>29</v>
      </c>
      <c r="C978" t="s">
        <v>3443</v>
      </c>
      <c r="D978" t="s">
        <v>3444</v>
      </c>
      <c r="E978" t="s">
        <v>3445</v>
      </c>
      <c r="F978" t="s">
        <v>41</v>
      </c>
      <c r="G978">
        <v>0</v>
      </c>
      <c r="H978">
        <f>((0/1000) * G978)</f>
        <v>0</v>
      </c>
      <c r="I978">
        <v>0</v>
      </c>
      <c r="J978">
        <v>0</v>
      </c>
      <c r="K978" s="3887">
        <v>337161.3</v>
      </c>
      <c r="L978" s="3888">
        <f>(K978 * G978)</f>
        <v>0</v>
      </c>
      <c r="M978" s="3889">
        <v>472025.83</v>
      </c>
      <c r="N978" s="3890">
        <f>(G978 * M978)</f>
        <v>0</v>
      </c>
      <c r="O978">
        <v>0</v>
      </c>
      <c r="P978">
        <v>0</v>
      </c>
      <c r="Q978">
        <f>IF(O978&gt;G978,(O978-G978),0)</f>
        <v>0</v>
      </c>
      <c r="R978">
        <v>0</v>
      </c>
      <c r="S978">
        <f>IF(Q978&gt;0,Int(P978/Q978),0)</f>
        <v>0</v>
      </c>
      <c r="T978">
        <f>0</f>
        <v>0</v>
      </c>
      <c r="U978"/>
      <c r="V978">
        <v>337161.3</v>
      </c>
      <c r="W978" t="s">
        <v>182</v>
      </c>
      <c r="X978"/>
    </row>
    <row r="979" spans="1:27">
      <c r="A979" t="s">
        <v>35</v>
      </c>
      <c r="B979" t="s">
        <v>29</v>
      </c>
      <c r="C979" t="s">
        <v>3446</v>
      </c>
      <c r="D979" t="s">
        <v>3447</v>
      </c>
      <c r="E979" t="s">
        <v>3448</v>
      </c>
      <c r="F979" t="s">
        <v>41</v>
      </c>
      <c r="G979">
        <v>0</v>
      </c>
      <c r="H979">
        <f>((0/1000) * G979)</f>
        <v>0</v>
      </c>
      <c r="I979">
        <v>0</v>
      </c>
      <c r="J979">
        <v>0</v>
      </c>
      <c r="K979" s="3891">
        <v>208272.72</v>
      </c>
      <c r="L979" s="3892">
        <f>(K979 * G979)</f>
        <v>0</v>
      </c>
      <c r="M979" s="3893">
        <v>291581.81</v>
      </c>
      <c r="N979" s="3894">
        <f>(G979 * M979)</f>
        <v>0</v>
      </c>
      <c r="O979">
        <v>0</v>
      </c>
      <c r="P979">
        <v>0</v>
      </c>
      <c r="Q979">
        <f>IF(O979&gt;G979,(O979-G979),0)</f>
        <v>0</v>
      </c>
      <c r="R979">
        <v>0</v>
      </c>
      <c r="S979">
        <f>IF(Q979&gt;0,Int(P979/Q979),0)</f>
        <v>0</v>
      </c>
      <c r="T979">
        <f>0</f>
        <v>0</v>
      </c>
      <c r="U979"/>
      <c r="V979">
        <v>208272.72</v>
      </c>
      <c r="W979" t="s">
        <v>75</v>
      </c>
      <c r="X979"/>
    </row>
    <row r="980" spans="1:27">
      <c r="A980" t="s">
        <v>35</v>
      </c>
      <c r="B980" t="s">
        <v>29</v>
      </c>
      <c r="C980" t="s">
        <v>3449</v>
      </c>
      <c r="D980" t="s">
        <v>3450</v>
      </c>
      <c r="E980" t="s">
        <v>3451</v>
      </c>
      <c r="F980" t="s">
        <v>33</v>
      </c>
      <c r="G980">
        <v>0</v>
      </c>
      <c r="H980">
        <f>((0/1000) * G980)</f>
        <v>0</v>
      </c>
      <c r="I980">
        <v>0</v>
      </c>
      <c r="J980">
        <v>0</v>
      </c>
      <c r="K980" s="3895">
        <v>74317.2</v>
      </c>
      <c r="L980" s="3896">
        <f>(K980 * G980)</f>
        <v>0</v>
      </c>
      <c r="M980" s="3897">
        <v>104044.07</v>
      </c>
      <c r="N980" s="3898">
        <f>(G980 * M980)</f>
        <v>0</v>
      </c>
      <c r="O980">
        <v>0</v>
      </c>
      <c r="P980">
        <v>0</v>
      </c>
      <c r="Q980">
        <f>IF(O980&gt;G980,(O980-G980),0)</f>
        <v>0</v>
      </c>
      <c r="R980">
        <v>1</v>
      </c>
      <c r="S980">
        <f>IF(Q980&gt;0,Int(P980/Q980),0)</f>
        <v>0</v>
      </c>
      <c r="T980">
        <f>0</f>
        <v>0</v>
      </c>
      <c r="U980"/>
      <c r="V980">
        <v>74317.2</v>
      </c>
      <c r="W980" t="s">
        <v>75</v>
      </c>
      <c r="X980"/>
    </row>
    <row r="981" spans="1:27">
      <c r="A981" t="s">
        <v>35</v>
      </c>
      <c r="B981" t="s">
        <v>29</v>
      </c>
      <c r="C981" t="s">
        <v>3452</v>
      </c>
      <c r="D981" t="s">
        <v>3452</v>
      </c>
      <c r="E981" t="s">
        <v>3453</v>
      </c>
      <c r="F981" t="s">
        <v>33</v>
      </c>
      <c r="G981">
        <v>0</v>
      </c>
      <c r="H981">
        <f>((1/1000) * G981)</f>
        <v>0</v>
      </c>
      <c r="I981">
        <v>0</v>
      </c>
      <c r="J981">
        <v>0</v>
      </c>
      <c r="K981" s="3899">
        <v>0</v>
      </c>
      <c r="L981" s="3900">
        <f>(K981 * G981)</f>
        <v>0</v>
      </c>
      <c r="M981" s="3901">
        <v>0</v>
      </c>
      <c r="N981" s="3902">
        <f>(G981 * M981)</f>
        <v>0</v>
      </c>
      <c r="O981">
        <v>0</v>
      </c>
      <c r="P981">
        <v>0</v>
      </c>
      <c r="Q981">
        <f>IF(O981&gt;G981,(O981-G981),0)</f>
        <v>0</v>
      </c>
      <c r="R981">
        <v>0</v>
      </c>
      <c r="S981">
        <f>IF(Q981&gt;0,Int(P981/Q981),0)</f>
        <v>0</v>
      </c>
      <c r="T981">
        <f>0</f>
        <v>0</v>
      </c>
      <c r="U981"/>
      <c r="V981">
        <v>0</v>
      </c>
      <c r="W981">
        <v>0</v>
      </c>
      <c r="X981"/>
    </row>
    <row r="982" spans="1:27">
      <c r="A982" t="s">
        <v>35</v>
      </c>
      <c r="B982" t="s">
        <v>29</v>
      </c>
      <c r="C982" t="s">
        <v>3454</v>
      </c>
      <c r="D982" t="s">
        <v>3454</v>
      </c>
      <c r="E982" t="s">
        <v>3455</v>
      </c>
      <c r="F982" t="s">
        <v>33</v>
      </c>
      <c r="G982">
        <v>0</v>
      </c>
      <c r="H982">
        <f>((1/1000) * G982)</f>
        <v>0</v>
      </c>
      <c r="I982">
        <v>0</v>
      </c>
      <c r="J982">
        <v>0</v>
      </c>
      <c r="K982" s="3903">
        <v>0</v>
      </c>
      <c r="L982" s="3904">
        <f>(K982 * G982)</f>
        <v>0</v>
      </c>
      <c r="M982" s="3905">
        <v>0</v>
      </c>
      <c r="N982" s="3906">
        <f>(G982 * M982)</f>
        <v>0</v>
      </c>
      <c r="O982">
        <v>0</v>
      </c>
      <c r="P982">
        <v>0</v>
      </c>
      <c r="Q982">
        <f>IF(O982&gt;G982,(O982-G982),0)</f>
        <v>0</v>
      </c>
      <c r="R982">
        <v>0</v>
      </c>
      <c r="S982">
        <f>IF(Q982&gt;0,Int(P982/Q982),0)</f>
        <v>0</v>
      </c>
      <c r="T982">
        <f>0</f>
        <v>0</v>
      </c>
      <c r="U982"/>
      <c r="V982">
        <v>0</v>
      </c>
      <c r="W982">
        <v>0</v>
      </c>
      <c r="X982"/>
    </row>
    <row r="983" spans="1:27">
      <c r="A983" t="s">
        <v>35</v>
      </c>
      <c r="B983" t="s">
        <v>29</v>
      </c>
      <c r="C983" t="s">
        <v>3456</v>
      </c>
      <c r="D983" t="s">
        <v>3456</v>
      </c>
      <c r="E983" t="s">
        <v>3457</v>
      </c>
      <c r="F983" t="s">
        <v>33</v>
      </c>
      <c r="G983">
        <v>0</v>
      </c>
      <c r="H983">
        <f>((1/1000) * G983)</f>
        <v>0</v>
      </c>
      <c r="I983">
        <v>0</v>
      </c>
      <c r="J983">
        <v>0</v>
      </c>
      <c r="K983" s="3907">
        <v>0</v>
      </c>
      <c r="L983" s="3908">
        <f>(K983 * G983)</f>
        <v>0</v>
      </c>
      <c r="M983" s="3909">
        <v>0</v>
      </c>
      <c r="N983" s="3910">
        <f>(G983 * M983)</f>
        <v>0</v>
      </c>
      <c r="O983">
        <v>0</v>
      </c>
      <c r="P983">
        <v>0</v>
      </c>
      <c r="Q983">
        <f>IF(O983&gt;G983,(O983-G983),0)</f>
        <v>0</v>
      </c>
      <c r="R983">
        <v>0</v>
      </c>
      <c r="S983">
        <f>IF(Q983&gt;0,Int(P983/Q983),0)</f>
        <v>0</v>
      </c>
      <c r="T983">
        <f>0</f>
        <v>0</v>
      </c>
      <c r="U983"/>
      <c r="V983">
        <v>0</v>
      </c>
      <c r="W983">
        <v>0</v>
      </c>
      <c r="X983"/>
    </row>
    <row r="984" spans="1:27">
      <c r="A984" t="s">
        <v>35</v>
      </c>
      <c r="B984" t="s">
        <v>29</v>
      </c>
      <c r="C984" t="s">
        <v>3458</v>
      </c>
      <c r="D984" t="s">
        <v>3459</v>
      </c>
      <c r="E984" t="s">
        <v>3460</v>
      </c>
      <c r="F984" t="s">
        <v>41</v>
      </c>
      <c r="G984">
        <v>0</v>
      </c>
      <c r="H984">
        <f>((0/1000) * G984)</f>
        <v>0</v>
      </c>
      <c r="I984">
        <v>0</v>
      </c>
      <c r="J984">
        <v>0</v>
      </c>
      <c r="K984" s="3911">
        <v>243311.69</v>
      </c>
      <c r="L984" s="3912">
        <f>(K984 * G984)</f>
        <v>0</v>
      </c>
      <c r="M984" s="3913">
        <v>340636.36</v>
      </c>
      <c r="N984" s="3914">
        <f>(G984 * M984)</f>
        <v>0</v>
      </c>
      <c r="O984">
        <v>0</v>
      </c>
      <c r="P984">
        <v>0</v>
      </c>
      <c r="Q984">
        <f>IF(O984&gt;G984,(O984-G984),0)</f>
        <v>0</v>
      </c>
      <c r="R984">
        <v>1</v>
      </c>
      <c r="S984">
        <f>IF(Q984&gt;0,Int(P984/Q984),0)</f>
        <v>0</v>
      </c>
      <c r="T984">
        <f>375356.87</f>
        <v>375356.87</v>
      </c>
      <c r="U984" t="s">
        <v>3461</v>
      </c>
      <c r="V984">
        <v>243311.69</v>
      </c>
      <c r="W984" t="s">
        <v>75</v>
      </c>
      <c r="X984"/>
    </row>
    <row r="985" spans="1:27">
      <c r="A985" t="s">
        <v>35</v>
      </c>
      <c r="B985" t="s">
        <v>29</v>
      </c>
      <c r="C985" t="s">
        <v>3462</v>
      </c>
      <c r="D985" t="s">
        <v>3463</v>
      </c>
      <c r="E985" t="s">
        <v>3464</v>
      </c>
      <c r="F985" t="s">
        <v>33</v>
      </c>
      <c r="G985">
        <v>0</v>
      </c>
      <c r="H985">
        <f>((0/1000) * G985)</f>
        <v>0</v>
      </c>
      <c r="I985">
        <v>0</v>
      </c>
      <c r="J985">
        <v>0</v>
      </c>
      <c r="K985" s="3915">
        <v>85698.73</v>
      </c>
      <c r="L985" s="3916">
        <f>(K985 * G985)</f>
        <v>0</v>
      </c>
      <c r="M985" s="3917">
        <v>119978.22</v>
      </c>
      <c r="N985" s="3918">
        <f>(G985 * M985)</f>
        <v>0</v>
      </c>
      <c r="O985">
        <v>0</v>
      </c>
      <c r="P985">
        <v>0</v>
      </c>
      <c r="Q985">
        <f>IF(O985&gt;G985,(O985-G985),0)</f>
        <v>0</v>
      </c>
      <c r="R985">
        <v>1</v>
      </c>
      <c r="S985">
        <f>IF(Q985&gt;0,Int(P985/Q985),0)</f>
        <v>0</v>
      </c>
      <c r="T985">
        <f>0</f>
        <v>0</v>
      </c>
      <c r="U985"/>
      <c r="V985">
        <v>85698.73</v>
      </c>
      <c r="W985" t="s">
        <v>75</v>
      </c>
      <c r="X985"/>
    </row>
    <row r="986" spans="1:27">
      <c r="A986" t="s">
        <v>35</v>
      </c>
      <c r="B986" t="s">
        <v>29</v>
      </c>
      <c r="C986" t="s">
        <v>3465</v>
      </c>
      <c r="D986" t="s">
        <v>3466</v>
      </c>
      <c r="E986" t="s">
        <v>3467</v>
      </c>
      <c r="F986" t="s">
        <v>41</v>
      </c>
      <c r="G986">
        <v>0</v>
      </c>
      <c r="H986">
        <f>((0/1000) * G986)</f>
        <v>0</v>
      </c>
      <c r="I986">
        <v>0</v>
      </c>
      <c r="J986">
        <v>0</v>
      </c>
      <c r="K986" s="3919">
        <v>38500</v>
      </c>
      <c r="L986" s="3920">
        <f>(K986 * G986)</f>
        <v>0</v>
      </c>
      <c r="M986" s="3921">
        <v>42350</v>
      </c>
      <c r="N986" s="3922">
        <f>(G986 * M986)</f>
        <v>0</v>
      </c>
      <c r="O986">
        <v>0</v>
      </c>
      <c r="P986">
        <v>0</v>
      </c>
      <c r="Q986">
        <f>IF(O986&gt;G986,(O986-G986),0)</f>
        <v>0</v>
      </c>
      <c r="R986">
        <v>1</v>
      </c>
      <c r="S986">
        <f>IF(Q986&gt;0,Int(P986/Q986),0)</f>
        <v>0</v>
      </c>
      <c r="T986">
        <f>0</f>
        <v>0</v>
      </c>
      <c r="U986"/>
      <c r="V986">
        <v>38500</v>
      </c>
      <c r="W986" t="s">
        <v>43</v>
      </c>
      <c r="X986"/>
    </row>
    <row r="987" spans="1:27">
      <c r="A987" t="s">
        <v>35</v>
      </c>
      <c r="B987" t="s">
        <v>29</v>
      </c>
      <c r="C987" t="s">
        <v>3468</v>
      </c>
      <c r="D987" t="s">
        <v>3469</v>
      </c>
      <c r="E987" t="s">
        <v>3470</v>
      </c>
      <c r="F987" t="s">
        <v>33</v>
      </c>
      <c r="G987">
        <v>0</v>
      </c>
      <c r="H987">
        <f>((0/1000) * G987)</f>
        <v>0</v>
      </c>
      <c r="I987">
        <v>0</v>
      </c>
      <c r="J987">
        <v>0</v>
      </c>
      <c r="K987" s="3923">
        <v>150090.91</v>
      </c>
      <c r="L987" s="3924">
        <f>(K987 * G987)</f>
        <v>0</v>
      </c>
      <c r="M987" s="3925">
        <v>210127.27</v>
      </c>
      <c r="N987" s="3926">
        <f>(G987 * M987)</f>
        <v>0</v>
      </c>
      <c r="O987">
        <v>0</v>
      </c>
      <c r="P987">
        <v>0</v>
      </c>
      <c r="Q987">
        <f>IF(O987&gt;G987,(O987-G987),0)</f>
        <v>0</v>
      </c>
      <c r="R987">
        <v>0</v>
      </c>
      <c r="S987">
        <f>IF(Q987&gt;0,Int(P987/Q987),0)</f>
        <v>0</v>
      </c>
      <c r="T987">
        <f>0</f>
        <v>0</v>
      </c>
      <c r="U987"/>
      <c r="V987">
        <v>150090.91</v>
      </c>
      <c r="W987" t="s">
        <v>75</v>
      </c>
      <c r="X987"/>
    </row>
    <row r="988" spans="1:27">
      <c r="A988" t="s">
        <v>35</v>
      </c>
      <c r="B988" t="s">
        <v>29</v>
      </c>
      <c r="C988" t="s">
        <v>3471</v>
      </c>
      <c r="D988" t="s">
        <v>3472</v>
      </c>
      <c r="E988" t="s">
        <v>3473</v>
      </c>
      <c r="F988" t="s">
        <v>33</v>
      </c>
      <c r="G988">
        <v>0</v>
      </c>
      <c r="H988">
        <f>((0/1000) * G988)</f>
        <v>0</v>
      </c>
      <c r="I988">
        <v>0</v>
      </c>
      <c r="J988">
        <v>0</v>
      </c>
      <c r="K988" s="3927">
        <v>47913.58</v>
      </c>
      <c r="L988" s="3928">
        <f>(K988 * G988)</f>
        <v>0</v>
      </c>
      <c r="M988" s="3929">
        <v>67079.01</v>
      </c>
      <c r="N988" s="3930">
        <f>(G988 * M988)</f>
        <v>0</v>
      </c>
      <c r="O988">
        <v>0</v>
      </c>
      <c r="P988">
        <v>0</v>
      </c>
      <c r="Q988">
        <f>IF(O988&gt;G988,(O988-G988),0)</f>
        <v>0</v>
      </c>
      <c r="R988">
        <v>1</v>
      </c>
      <c r="S988">
        <f>IF(Q988&gt;0,Int(P988/Q988),0)</f>
        <v>0</v>
      </c>
      <c r="T988">
        <f>0</f>
        <v>0</v>
      </c>
      <c r="U988"/>
      <c r="V988">
        <v>47913.58</v>
      </c>
      <c r="W988" t="s">
        <v>75</v>
      </c>
      <c r="X988"/>
    </row>
    <row r="989" spans="1:27">
      <c r="A989" t="s">
        <v>35</v>
      </c>
      <c r="B989" t="s">
        <v>29</v>
      </c>
      <c r="C989" t="s">
        <v>3474</v>
      </c>
      <c r="D989" t="s">
        <v>3475</v>
      </c>
      <c r="E989" t="s">
        <v>3476</v>
      </c>
      <c r="F989" t="s">
        <v>41</v>
      </c>
      <c r="G989">
        <v>0</v>
      </c>
      <c r="H989">
        <f>((0/1000) * G989)</f>
        <v>0</v>
      </c>
      <c r="I989">
        <v>0</v>
      </c>
      <c r="J989">
        <v>0</v>
      </c>
      <c r="K989" s="3931">
        <v>216776.86</v>
      </c>
      <c r="L989" s="3932">
        <f>(K989 * G989)</f>
        <v>0</v>
      </c>
      <c r="M989" s="3933">
        <v>238454.55</v>
      </c>
      <c r="N989" s="3934">
        <f>(G989 * M989)</f>
        <v>0</v>
      </c>
      <c r="O989">
        <v>0</v>
      </c>
      <c r="P989">
        <v>0</v>
      </c>
      <c r="Q989">
        <f>IF(O989&gt;G989,(O989-G989),0)</f>
        <v>0</v>
      </c>
      <c r="R989">
        <v>1</v>
      </c>
      <c r="S989">
        <f>IF(Q989&gt;0,Int(P989/Q989),0)</f>
        <v>0</v>
      </c>
      <c r="T989">
        <f>273478.59</f>
        <v>273478.59</v>
      </c>
      <c r="U989" t="s">
        <v>3477</v>
      </c>
      <c r="V989">
        <v>216776.86</v>
      </c>
      <c r="W989" t="s">
        <v>43</v>
      </c>
      <c r="X989"/>
    </row>
    <row r="990" spans="1:27">
      <c r="A990" t="s">
        <v>35</v>
      </c>
      <c r="B990" t="s">
        <v>29</v>
      </c>
      <c r="C990" t="s">
        <v>3478</v>
      </c>
      <c r="D990" t="s">
        <v>3479</v>
      </c>
      <c r="E990" t="s">
        <v>3480</v>
      </c>
      <c r="F990" t="s">
        <v>33</v>
      </c>
      <c r="G990">
        <v>0</v>
      </c>
      <c r="H990">
        <f>((0/1000) * G990)</f>
        <v>0</v>
      </c>
      <c r="I990">
        <v>0</v>
      </c>
      <c r="J990">
        <v>0</v>
      </c>
      <c r="K990" s="3935">
        <v>44335.02</v>
      </c>
      <c r="L990" s="3936">
        <f>(K990 * G990)</f>
        <v>0</v>
      </c>
      <c r="M990" s="3937">
        <v>62069.03</v>
      </c>
      <c r="N990" s="3938">
        <f>(G990 * M990)</f>
        <v>0</v>
      </c>
      <c r="O990">
        <v>0</v>
      </c>
      <c r="P990">
        <v>0</v>
      </c>
      <c r="Q990">
        <f>IF(O990&gt;G990,(O990-G990),0)</f>
        <v>0</v>
      </c>
      <c r="R990">
        <v>1</v>
      </c>
      <c r="S990">
        <f>IF(Q990&gt;0,Int(P990/Q990),0)</f>
        <v>0</v>
      </c>
      <c r="T990">
        <f>0</f>
        <v>0</v>
      </c>
      <c r="U990"/>
      <c r="V990">
        <v>44335.02</v>
      </c>
      <c r="W990" t="s">
        <v>75</v>
      </c>
      <c r="X990"/>
    </row>
    <row r="991" spans="1:27">
      <c r="A991" t="s">
        <v>35</v>
      </c>
      <c r="B991" t="s">
        <v>29</v>
      </c>
      <c r="C991" t="s">
        <v>3481</v>
      </c>
      <c r="D991" t="s">
        <v>3482</v>
      </c>
      <c r="E991" t="s">
        <v>3483</v>
      </c>
      <c r="F991" t="s">
        <v>33</v>
      </c>
      <c r="G991">
        <v>0</v>
      </c>
      <c r="H991">
        <f>((0/1000) * G991)</f>
        <v>0</v>
      </c>
      <c r="I991">
        <v>0</v>
      </c>
      <c r="J991">
        <v>0</v>
      </c>
      <c r="K991" s="3939">
        <v>0</v>
      </c>
      <c r="L991" s="3940">
        <f>(K991 * G991)</f>
        <v>0</v>
      </c>
      <c r="M991" s="3941">
        <v>0</v>
      </c>
      <c r="N991" s="3942">
        <f>(G991 * M991)</f>
        <v>0</v>
      </c>
      <c r="O991">
        <v>0</v>
      </c>
      <c r="P991">
        <v>0</v>
      </c>
      <c r="Q991">
        <f>IF(O991&gt;G991,(O991-G991),0)</f>
        <v>0</v>
      </c>
      <c r="R991">
        <v>1</v>
      </c>
      <c r="S991">
        <f>IF(Q991&gt;0,Int(P991/Q991),0)</f>
        <v>0</v>
      </c>
      <c r="T991">
        <f>0</f>
        <v>0</v>
      </c>
      <c r="U991"/>
      <c r="V991">
        <v>0</v>
      </c>
      <c r="W991">
        <v>0</v>
      </c>
      <c r="X991"/>
    </row>
    <row r="992" spans="1:27">
      <c r="A992" t="s">
        <v>35</v>
      </c>
      <c r="B992" t="s">
        <v>29</v>
      </c>
      <c r="C992" t="s">
        <v>3484</v>
      </c>
      <c r="D992" t="s">
        <v>3485</v>
      </c>
      <c r="E992" t="s">
        <v>3486</v>
      </c>
      <c r="F992" t="s">
        <v>33</v>
      </c>
      <c r="G992">
        <v>0</v>
      </c>
      <c r="H992">
        <f>((0/1000) * G992)</f>
        <v>0</v>
      </c>
      <c r="I992">
        <v>0</v>
      </c>
      <c r="J992">
        <v>0</v>
      </c>
      <c r="K992" s="3943">
        <v>193966.94</v>
      </c>
      <c r="L992" s="3944">
        <f>(K992 * G992)</f>
        <v>0</v>
      </c>
      <c r="M992" s="3945">
        <v>213363.64</v>
      </c>
      <c r="N992" s="3946">
        <f>(G992 * M992)</f>
        <v>0</v>
      </c>
      <c r="O992">
        <v>0</v>
      </c>
      <c r="P992">
        <v>0</v>
      </c>
      <c r="Q992">
        <f>IF(O992&gt;G992,(O992-G992),0)</f>
        <v>0</v>
      </c>
      <c r="R992">
        <v>1</v>
      </c>
      <c r="S992">
        <f>IF(Q992&gt;0,Int(P992/Q992),0)</f>
        <v>0</v>
      </c>
      <c r="T992">
        <f>193966.94</f>
        <v>193966.94</v>
      </c>
      <c r="U992" t="s">
        <v>3487</v>
      </c>
      <c r="V992">
        <v>193966.94</v>
      </c>
      <c r="W992" t="s">
        <v>43</v>
      </c>
      <c r="X992"/>
    </row>
    <row r="993" spans="1:27">
      <c r="A993" t="s">
        <v>35</v>
      </c>
      <c r="B993" t="s">
        <v>29</v>
      </c>
      <c r="C993" t="s">
        <v>3488</v>
      </c>
      <c r="D993" t="s">
        <v>3489</v>
      </c>
      <c r="E993" t="s">
        <v>3490</v>
      </c>
      <c r="F993" t="s">
        <v>33</v>
      </c>
      <c r="G993">
        <v>0</v>
      </c>
      <c r="H993">
        <f>((0/1000) * G993)</f>
        <v>0</v>
      </c>
      <c r="I993">
        <v>0</v>
      </c>
      <c r="J993">
        <v>0</v>
      </c>
      <c r="K993" s="3947">
        <v>66055.27</v>
      </c>
      <c r="L993" s="3948">
        <f>(K993 * G993)</f>
        <v>0</v>
      </c>
      <c r="M993" s="3949">
        <v>92477.37</v>
      </c>
      <c r="N993" s="3950">
        <f>(G993 * M993)</f>
        <v>0</v>
      </c>
      <c r="O993">
        <v>0</v>
      </c>
      <c r="P993">
        <v>0</v>
      </c>
      <c r="Q993">
        <f>IF(O993&gt;G993,(O993-G993),0)</f>
        <v>0</v>
      </c>
      <c r="R993">
        <v>1</v>
      </c>
      <c r="S993">
        <f>IF(Q993&gt;0,Int(P993/Q993),0)</f>
        <v>0</v>
      </c>
      <c r="T993">
        <f>0</f>
        <v>0</v>
      </c>
      <c r="U993"/>
      <c r="V993">
        <v>66055.27</v>
      </c>
      <c r="W993" t="s">
        <v>75</v>
      </c>
      <c r="X993"/>
    </row>
    <row r="994" spans="1:27">
      <c r="A994" t="s">
        <v>35</v>
      </c>
      <c r="B994" t="s">
        <v>29</v>
      </c>
      <c r="C994" t="s">
        <v>3491</v>
      </c>
      <c r="D994" t="s">
        <v>3492</v>
      </c>
      <c r="E994" t="s">
        <v>3493</v>
      </c>
      <c r="F994" t="s">
        <v>41</v>
      </c>
      <c r="G994">
        <v>0</v>
      </c>
      <c r="H994">
        <f>((0/1000) * G994)</f>
        <v>0</v>
      </c>
      <c r="I994">
        <v>0</v>
      </c>
      <c r="J994">
        <v>0</v>
      </c>
      <c r="K994" s="3951">
        <v>337665.08</v>
      </c>
      <c r="L994" s="3952">
        <f>(K994 * G994)</f>
        <v>0</v>
      </c>
      <c r="M994" s="3953">
        <v>472731.11</v>
      </c>
      <c r="N994" s="3954">
        <f>(G994 * M994)</f>
        <v>0</v>
      </c>
      <c r="O994">
        <v>0</v>
      </c>
      <c r="P994">
        <v>0</v>
      </c>
      <c r="Q994">
        <f>IF(O994&gt;G994,(O994-G994),0)</f>
        <v>0</v>
      </c>
      <c r="R994">
        <v>1</v>
      </c>
      <c r="S994">
        <f>IF(Q994&gt;0,Int(P994/Q994),0)</f>
        <v>0</v>
      </c>
      <c r="T994">
        <f>204282.49</f>
        <v>204282.49</v>
      </c>
      <c r="U994" t="s">
        <v>3494</v>
      </c>
      <c r="V994">
        <v>337665.08</v>
      </c>
      <c r="W994" t="s">
        <v>182</v>
      </c>
      <c r="X994"/>
    </row>
    <row r="995" spans="1:27">
      <c r="A995" t="s">
        <v>35</v>
      </c>
      <c r="B995" t="s">
        <v>29</v>
      </c>
      <c r="C995" t="s">
        <v>3495</v>
      </c>
      <c r="D995" t="s">
        <v>3496</v>
      </c>
      <c r="E995" t="s">
        <v>3497</v>
      </c>
      <c r="F995" t="s">
        <v>33</v>
      </c>
      <c r="G995">
        <v>0</v>
      </c>
      <c r="H995">
        <f>((0/1000) * G995)</f>
        <v>0</v>
      </c>
      <c r="I995">
        <v>0</v>
      </c>
      <c r="J995">
        <v>0</v>
      </c>
      <c r="K995" s="3955">
        <v>337666.16</v>
      </c>
      <c r="L995" s="3956">
        <f>(K995 * G995)</f>
        <v>0</v>
      </c>
      <c r="M995" s="3957">
        <v>472732.62</v>
      </c>
      <c r="N995" s="3958">
        <f>(G995 * M995)</f>
        <v>0</v>
      </c>
      <c r="O995">
        <v>0</v>
      </c>
      <c r="P995">
        <v>0</v>
      </c>
      <c r="Q995">
        <f>IF(O995&gt;G995,(O995-G995),0)</f>
        <v>0</v>
      </c>
      <c r="R995">
        <v>1</v>
      </c>
      <c r="S995">
        <f>IF(Q995&gt;0,Int(P995/Q995),0)</f>
        <v>0</v>
      </c>
      <c r="T995">
        <f>204432.76</f>
        <v>204432.76</v>
      </c>
      <c r="U995" t="s">
        <v>3498</v>
      </c>
      <c r="V995">
        <v>337666.16</v>
      </c>
      <c r="W995" t="s">
        <v>182</v>
      </c>
      <c r="X995"/>
    </row>
    <row r="996" spans="1:27">
      <c r="A996" t="s">
        <v>35</v>
      </c>
      <c r="B996" t="s">
        <v>29</v>
      </c>
      <c r="C996" t="s">
        <v>3499</v>
      </c>
      <c r="D996" t="s">
        <v>3500</v>
      </c>
      <c r="E996" t="s">
        <v>3501</v>
      </c>
      <c r="F996" t="s">
        <v>33</v>
      </c>
      <c r="G996">
        <v>0</v>
      </c>
      <c r="H996">
        <f>((0/1000) * G996)</f>
        <v>0</v>
      </c>
      <c r="I996">
        <v>0</v>
      </c>
      <c r="J996">
        <v>0</v>
      </c>
      <c r="K996" s="3959">
        <v>66055.27</v>
      </c>
      <c r="L996" s="3960">
        <f>(K996 * G996)</f>
        <v>0</v>
      </c>
      <c r="M996" s="3961">
        <v>92477.37</v>
      </c>
      <c r="N996" s="3962">
        <f>(G996 * M996)</f>
        <v>0</v>
      </c>
      <c r="O996">
        <v>0</v>
      </c>
      <c r="P996">
        <v>0</v>
      </c>
      <c r="Q996">
        <f>IF(O996&gt;G996,(O996-G996),0)</f>
        <v>0</v>
      </c>
      <c r="R996">
        <v>1</v>
      </c>
      <c r="S996">
        <f>IF(Q996&gt;0,Int(P996/Q996),0)</f>
        <v>0</v>
      </c>
      <c r="T996">
        <f>0</f>
        <v>0</v>
      </c>
      <c r="U996"/>
      <c r="V996">
        <v>66055.27</v>
      </c>
      <c r="W996" t="s">
        <v>75</v>
      </c>
      <c r="X996"/>
    </row>
    <row r="997" spans="1:27">
      <c r="A997" t="s">
        <v>35</v>
      </c>
      <c r="B997" t="s">
        <v>29</v>
      </c>
      <c r="C997" t="s">
        <v>3502</v>
      </c>
      <c r="D997" t="s">
        <v>3503</v>
      </c>
      <c r="E997" t="s">
        <v>3504</v>
      </c>
      <c r="F997" t="s">
        <v>33</v>
      </c>
      <c r="G997">
        <v>0</v>
      </c>
      <c r="H997">
        <f>((0/1000) * G997)</f>
        <v>0</v>
      </c>
      <c r="I997">
        <v>0</v>
      </c>
      <c r="J997">
        <v>0</v>
      </c>
      <c r="K997" s="3963">
        <v>65003.37</v>
      </c>
      <c r="L997" s="3964">
        <f>(K997 * G997)</f>
        <v>0</v>
      </c>
      <c r="M997" s="3965">
        <v>91004.72</v>
      </c>
      <c r="N997" s="3966">
        <f>(G997 * M997)</f>
        <v>0</v>
      </c>
      <c r="O997">
        <v>0</v>
      </c>
      <c r="P997">
        <v>0</v>
      </c>
      <c r="Q997">
        <f>IF(O997&gt;G997,(O997-G997),0)</f>
        <v>0</v>
      </c>
      <c r="R997">
        <v>1</v>
      </c>
      <c r="S997">
        <f>IF(Q997&gt;0,Int(P997/Q997),0)</f>
        <v>0</v>
      </c>
      <c r="T997">
        <f>0</f>
        <v>0</v>
      </c>
      <c r="U997"/>
      <c r="V997">
        <v>65003.37</v>
      </c>
      <c r="W997" t="s">
        <v>75</v>
      </c>
      <c r="X997"/>
    </row>
    <row r="998" spans="1:27">
      <c r="A998" t="s">
        <v>35</v>
      </c>
      <c r="B998" t="s">
        <v>29</v>
      </c>
      <c r="C998" t="s">
        <v>3505</v>
      </c>
      <c r="D998" t="s">
        <v>3506</v>
      </c>
      <c r="E998" t="s">
        <v>3507</v>
      </c>
      <c r="F998" t="s">
        <v>33</v>
      </c>
      <c r="G998">
        <v>0</v>
      </c>
      <c r="H998">
        <f>((0/1000) * G998)</f>
        <v>0</v>
      </c>
      <c r="I998">
        <v>0</v>
      </c>
      <c r="J998">
        <v>0</v>
      </c>
      <c r="K998" s="3967">
        <v>292561.98</v>
      </c>
      <c r="L998" s="3968">
        <f>(K998 * G998)</f>
        <v>0</v>
      </c>
      <c r="M998" s="3969">
        <v>409586.78</v>
      </c>
      <c r="N998" s="3970">
        <f>(G998 * M998)</f>
        <v>0</v>
      </c>
      <c r="O998">
        <v>0</v>
      </c>
      <c r="P998">
        <v>0</v>
      </c>
      <c r="Q998">
        <f>IF(O998&gt;G998,(O998-G998),0)</f>
        <v>0</v>
      </c>
      <c r="R998">
        <v>1</v>
      </c>
      <c r="S998">
        <f>IF(Q998&gt;0,Int(P998/Q998),0)</f>
        <v>0</v>
      </c>
      <c r="T998">
        <f>295229.15</f>
        <v>295229.15</v>
      </c>
      <c r="U998" t="s">
        <v>3508</v>
      </c>
      <c r="V998">
        <v>292561.98</v>
      </c>
      <c r="W998" t="s">
        <v>75</v>
      </c>
      <c r="X998"/>
    </row>
    <row r="999" spans="1:27">
      <c r="A999" t="s">
        <v>35</v>
      </c>
      <c r="B999" t="s">
        <v>29</v>
      </c>
      <c r="C999" t="s">
        <v>3509</v>
      </c>
      <c r="D999" t="s">
        <v>3510</v>
      </c>
      <c r="E999" t="s">
        <v>3511</v>
      </c>
      <c r="F999" t="s">
        <v>33</v>
      </c>
      <c r="G999">
        <v>1</v>
      </c>
      <c r="H999">
        <f>((0/1000) * G999)</f>
        <v>0</v>
      </c>
      <c r="I999">
        <v>0</v>
      </c>
      <c r="J999">
        <v>1</v>
      </c>
      <c r="K999" s="3971">
        <v>138600</v>
      </c>
      <c r="L999" s="3972">
        <f>(K999 * G999)</f>
        <v>138600</v>
      </c>
      <c r="M999" s="3973">
        <v>194040</v>
      </c>
      <c r="N999" s="3974">
        <f>(G999 * M999)</f>
        <v>194040</v>
      </c>
      <c r="O999">
        <v>0</v>
      </c>
      <c r="P999">
        <v>0</v>
      </c>
      <c r="Q999">
        <f>IF(O999&gt;G999,(O999-G999),0)</f>
        <v>0</v>
      </c>
      <c r="R999">
        <v>0</v>
      </c>
      <c r="S999">
        <f>IF(Q999&gt;0,Int(P999/Q999),0)</f>
        <v>0</v>
      </c>
      <c r="T999">
        <f>138600</f>
        <v>138600</v>
      </c>
      <c r="U999" t="s">
        <v>3512</v>
      </c>
      <c r="V999">
        <v>138600</v>
      </c>
      <c r="W999" t="s">
        <v>75</v>
      </c>
      <c r="X999"/>
    </row>
    <row r="1000" spans="1:27">
      <c r="A1000" t="s">
        <v>28</v>
      </c>
      <c r="B1000" t="s">
        <v>29</v>
      </c>
      <c r="C1000" t="s">
        <v>3513</v>
      </c>
      <c r="D1000" t="s">
        <v>3514</v>
      </c>
      <c r="E1000" t="s">
        <v>3515</v>
      </c>
      <c r="F1000" t="s">
        <v>33</v>
      </c>
      <c r="G1000">
        <v>0</v>
      </c>
      <c r="H1000">
        <f>((0/1000) * G1000)</f>
        <v>0</v>
      </c>
      <c r="I1000">
        <v>0</v>
      </c>
      <c r="J1000">
        <v>0</v>
      </c>
      <c r="K1000" s="3975">
        <v>203500</v>
      </c>
      <c r="L1000" s="3976">
        <f>(K1000 * G1000)</f>
        <v>0</v>
      </c>
      <c r="M1000" s="3977">
        <v>284900</v>
      </c>
      <c r="N1000" s="3978">
        <f>(G1000 * M1000)</f>
        <v>0</v>
      </c>
      <c r="O1000">
        <v>0</v>
      </c>
      <c r="P1000">
        <v>0</v>
      </c>
      <c r="Q1000">
        <f>IF(O1000&gt;G1000,(O1000-G1000),0)</f>
        <v>0</v>
      </c>
      <c r="R1000">
        <v>1</v>
      </c>
      <c r="S1000">
        <f>IF(Q1000&gt;0,Int(P1000/Q1000),0)</f>
        <v>0</v>
      </c>
      <c r="T1000">
        <f>0</f>
        <v>0</v>
      </c>
      <c r="U1000"/>
      <c r="V1000">
        <v>203500</v>
      </c>
      <c r="W1000" t="s">
        <v>75</v>
      </c>
      <c r="X1000"/>
    </row>
    <row r="1001" spans="1:27">
      <c r="A1001" t="s">
        <v>35</v>
      </c>
      <c r="B1001" t="s">
        <v>29</v>
      </c>
      <c r="C1001" t="s">
        <v>3516</v>
      </c>
      <c r="D1001" t="s">
        <v>3517</v>
      </c>
      <c r="E1001" t="s">
        <v>3518</v>
      </c>
      <c r="F1001" t="s">
        <v>33</v>
      </c>
      <c r="G1001">
        <v>0</v>
      </c>
      <c r="H1001">
        <f>((0/1000) * G1001)</f>
        <v>0</v>
      </c>
      <c r="I1001">
        <v>0</v>
      </c>
      <c r="J1001">
        <v>0</v>
      </c>
      <c r="K1001" s="3979">
        <v>77522.36</v>
      </c>
      <c r="L1001" s="3980">
        <f>(K1001 * G1001)</f>
        <v>0</v>
      </c>
      <c r="M1001" s="3981">
        <v>108531.3</v>
      </c>
      <c r="N1001" s="3982">
        <f>(G1001 * M1001)</f>
        <v>0</v>
      </c>
      <c r="O1001">
        <v>0</v>
      </c>
      <c r="P1001">
        <v>0</v>
      </c>
      <c r="Q1001">
        <f>IF(O1001&gt;G1001,(O1001-G1001),0)</f>
        <v>0</v>
      </c>
      <c r="R1001">
        <v>1</v>
      </c>
      <c r="S1001">
        <f>IF(Q1001&gt;0,Int(P1001/Q1001),0)</f>
        <v>0</v>
      </c>
      <c r="T1001">
        <f>0</f>
        <v>0</v>
      </c>
      <c r="U1001"/>
      <c r="V1001">
        <v>77522.36</v>
      </c>
      <c r="W1001" t="s">
        <v>75</v>
      </c>
      <c r="X1001"/>
    </row>
    <row r="1002" spans="1:27">
      <c r="A1002" t="s">
        <v>28</v>
      </c>
      <c r="B1002" t="s">
        <v>29</v>
      </c>
      <c r="C1002" t="s">
        <v>3519</v>
      </c>
      <c r="D1002" t="s">
        <v>3520</v>
      </c>
      <c r="E1002" t="s">
        <v>3521</v>
      </c>
      <c r="F1002" t="s">
        <v>33</v>
      </c>
      <c r="G1002">
        <v>0</v>
      </c>
      <c r="H1002">
        <f>((0/1000) * G1002)</f>
        <v>0</v>
      </c>
      <c r="I1002">
        <v>0</v>
      </c>
      <c r="J1002">
        <v>0</v>
      </c>
      <c r="K1002" s="3983">
        <v>612233.63</v>
      </c>
      <c r="L1002" s="3984">
        <f>(K1002 * G1002)</f>
        <v>0</v>
      </c>
      <c r="M1002" s="3985">
        <v>857127.08</v>
      </c>
      <c r="N1002" s="3986">
        <f>(G1002 * M1002)</f>
        <v>0</v>
      </c>
      <c r="O1002">
        <v>0</v>
      </c>
      <c r="P1002">
        <v>0</v>
      </c>
      <c r="Q1002">
        <f>IF(O1002&gt;G1002,(O1002-G1002),0)</f>
        <v>0</v>
      </c>
      <c r="R1002">
        <v>1</v>
      </c>
      <c r="S1002">
        <f>IF(Q1002&gt;0,Int(P1002/Q1002),0)</f>
        <v>0</v>
      </c>
      <c r="T1002">
        <f>534259.95</f>
        <v>534259.95</v>
      </c>
      <c r="U1002" t="s">
        <v>3522</v>
      </c>
      <c r="V1002">
        <v>612233.63</v>
      </c>
      <c r="W1002" t="s">
        <v>75</v>
      </c>
      <c r="X1002"/>
    </row>
    <row r="1003" spans="1:27">
      <c r="A1003" t="s">
        <v>28</v>
      </c>
      <c r="B1003" t="s">
        <v>29</v>
      </c>
      <c r="C1003" t="s">
        <v>3523</v>
      </c>
      <c r="D1003" t="s">
        <v>3524</v>
      </c>
      <c r="E1003" t="s">
        <v>3525</v>
      </c>
      <c r="F1003" t="s">
        <v>33</v>
      </c>
      <c r="G1003">
        <v>0</v>
      </c>
      <c r="H1003">
        <f>((0/1000) * G1003)</f>
        <v>0</v>
      </c>
      <c r="I1003">
        <v>0</v>
      </c>
      <c r="J1003">
        <v>0</v>
      </c>
      <c r="K1003" s="3987">
        <v>499989.18</v>
      </c>
      <c r="L1003" s="3988">
        <f>(K1003 * G1003)</f>
        <v>0</v>
      </c>
      <c r="M1003" s="3989">
        <v>699984.86</v>
      </c>
      <c r="N1003" s="3990">
        <f>(G1003 * M1003)</f>
        <v>0</v>
      </c>
      <c r="O1003">
        <v>0</v>
      </c>
      <c r="P1003">
        <v>0</v>
      </c>
      <c r="Q1003">
        <f>IF(O1003&gt;G1003,(O1003-G1003),0)</f>
        <v>0</v>
      </c>
      <c r="R1003">
        <v>1</v>
      </c>
      <c r="S1003">
        <f>IF(Q1003&gt;0,Int(P1003/Q1003),0)</f>
        <v>0</v>
      </c>
      <c r="T1003">
        <f>489787.11</f>
        <v>489787.11</v>
      </c>
      <c r="U1003" t="s">
        <v>3526</v>
      </c>
      <c r="V1003">
        <v>499989.18</v>
      </c>
      <c r="W1003" t="s">
        <v>182</v>
      </c>
      <c r="X1003"/>
    </row>
    <row r="1004" spans="1:27">
      <c r="A1004" t="s">
        <v>35</v>
      </c>
      <c r="B1004" t="s">
        <v>29</v>
      </c>
      <c r="C1004" t="s">
        <v>637</v>
      </c>
      <c r="D1004" t="s">
        <v>3527</v>
      </c>
      <c r="E1004" t="s">
        <v>3528</v>
      </c>
      <c r="F1004" t="s">
        <v>33</v>
      </c>
      <c r="G1004">
        <v>0</v>
      </c>
      <c r="H1004">
        <f>((0/1000) * G1004)</f>
        <v>0</v>
      </c>
      <c r="I1004">
        <v>0</v>
      </c>
      <c r="J1004">
        <v>0</v>
      </c>
      <c r="K1004" s="3991">
        <v>235100.16</v>
      </c>
      <c r="L1004" s="3992">
        <f>(K1004 * G1004)</f>
        <v>0</v>
      </c>
      <c r="M1004" s="3993">
        <v>329140.22</v>
      </c>
      <c r="N1004" s="3994">
        <f>(G1004 * M1004)</f>
        <v>0</v>
      </c>
      <c r="O1004">
        <v>0</v>
      </c>
      <c r="P1004">
        <v>0</v>
      </c>
      <c r="Q1004">
        <f>IF(O1004&gt;G1004,(O1004-G1004),0)</f>
        <v>0</v>
      </c>
      <c r="R1004">
        <v>0</v>
      </c>
      <c r="S1004">
        <f>IF(Q1004&gt;0,Int(P1004/Q1004),0)</f>
        <v>0</v>
      </c>
      <c r="T1004">
        <f>0</f>
        <v>0</v>
      </c>
      <c r="U1004"/>
      <c r="V1004">
        <v>235100.16</v>
      </c>
      <c r="W1004" t="s">
        <v>75</v>
      </c>
      <c r="X1004"/>
    </row>
    <row r="1005" spans="1:27">
      <c r="A1005" t="s">
        <v>35</v>
      </c>
      <c r="B1005" t="s">
        <v>29</v>
      </c>
      <c r="C1005" t="s">
        <v>3529</v>
      </c>
      <c r="D1005" t="s">
        <v>3530</v>
      </c>
      <c r="E1005" t="s">
        <v>3531</v>
      </c>
      <c r="F1005" t="s">
        <v>33</v>
      </c>
      <c r="G1005">
        <v>0</v>
      </c>
      <c r="H1005">
        <f>((0/1000) * G1005)</f>
        <v>0</v>
      </c>
      <c r="I1005">
        <v>0</v>
      </c>
      <c r="J1005">
        <v>0</v>
      </c>
      <c r="K1005" s="3995">
        <v>212561.98</v>
      </c>
      <c r="L1005" s="3996">
        <f>(K1005 * G1005)</f>
        <v>0</v>
      </c>
      <c r="M1005" s="3997">
        <v>233818.18</v>
      </c>
      <c r="N1005" s="3998">
        <f>(G1005 * M1005)</f>
        <v>0</v>
      </c>
      <c r="O1005">
        <v>0</v>
      </c>
      <c r="P1005">
        <v>0</v>
      </c>
      <c r="Q1005">
        <f>IF(O1005&gt;G1005,(O1005-G1005),0)</f>
        <v>0</v>
      </c>
      <c r="R1005">
        <v>1</v>
      </c>
      <c r="S1005">
        <f>IF(Q1005&gt;0,Int(P1005/Q1005),0)</f>
        <v>0</v>
      </c>
      <c r="T1005">
        <f>193238.17</f>
        <v>193238.17</v>
      </c>
      <c r="U1005" t="s">
        <v>3532</v>
      </c>
      <c r="V1005">
        <v>212561.98</v>
      </c>
      <c r="W1005" t="s">
        <v>43</v>
      </c>
      <c r="X1005"/>
    </row>
    <row r="1006" spans="1:27">
      <c r="A1006" t="s">
        <v>35</v>
      </c>
      <c r="B1006" t="s">
        <v>29</v>
      </c>
      <c r="C1006" t="s">
        <v>3533</v>
      </c>
      <c r="D1006" t="s">
        <v>3534</v>
      </c>
      <c r="E1006" t="s">
        <v>3535</v>
      </c>
      <c r="F1006" t="s">
        <v>33</v>
      </c>
      <c r="G1006">
        <v>0</v>
      </c>
      <c r="H1006">
        <f>((0/1000) * G1006)</f>
        <v>0</v>
      </c>
      <c r="I1006">
        <v>0</v>
      </c>
      <c r="J1006">
        <v>0</v>
      </c>
      <c r="K1006" s="3999">
        <v>69483.71</v>
      </c>
      <c r="L1006" s="4000">
        <f>(K1006 * G1006)</f>
        <v>0</v>
      </c>
      <c r="M1006" s="4001">
        <v>97277.19</v>
      </c>
      <c r="N1006" s="4002">
        <f>(G1006 * M1006)</f>
        <v>0</v>
      </c>
      <c r="O1006">
        <v>0</v>
      </c>
      <c r="P1006">
        <v>0</v>
      </c>
      <c r="Q1006">
        <f>IF(O1006&gt;G1006,(O1006-G1006),0)</f>
        <v>0</v>
      </c>
      <c r="R1006">
        <v>1</v>
      </c>
      <c r="S1006">
        <f>IF(Q1006&gt;0,Int(P1006/Q1006),0)</f>
        <v>0</v>
      </c>
      <c r="T1006">
        <f>0</f>
        <v>0</v>
      </c>
      <c r="U1006"/>
      <c r="V1006">
        <v>69483.71</v>
      </c>
      <c r="W1006" t="s">
        <v>75</v>
      </c>
      <c r="X1006"/>
    </row>
    <row r="1007" spans="1:27">
      <c r="A1007" t="s">
        <v>28</v>
      </c>
      <c r="B1007" t="s">
        <v>29</v>
      </c>
      <c r="C1007" t="s">
        <v>3536</v>
      </c>
      <c r="D1007" t="s">
        <v>3537</v>
      </c>
      <c r="E1007" t="s">
        <v>3538</v>
      </c>
      <c r="F1007" t="s">
        <v>33</v>
      </c>
      <c r="G1007">
        <v>0</v>
      </c>
      <c r="H1007">
        <f>((0/1000) * G1007)</f>
        <v>0</v>
      </c>
      <c r="I1007">
        <v>0</v>
      </c>
      <c r="J1007">
        <v>0</v>
      </c>
      <c r="K1007" s="4003">
        <v>309783.91</v>
      </c>
      <c r="L1007" s="4004">
        <f>(K1007 * G1007)</f>
        <v>0</v>
      </c>
      <c r="M1007" s="4005">
        <v>433697.47</v>
      </c>
      <c r="N1007" s="4006">
        <f>(G1007 * M1007)</f>
        <v>0</v>
      </c>
      <c r="O1007">
        <v>0</v>
      </c>
      <c r="P1007">
        <v>0</v>
      </c>
      <c r="Q1007">
        <f>IF(O1007&gt;G1007,(O1007-G1007),0)</f>
        <v>0</v>
      </c>
      <c r="R1007">
        <v>1</v>
      </c>
      <c r="S1007">
        <f>IF(Q1007&gt;0,Int(P1007/Q1007),0)</f>
        <v>0</v>
      </c>
      <c r="T1007">
        <f>449676.82</f>
        <v>449676.82</v>
      </c>
      <c r="U1007" t="s">
        <v>3539</v>
      </c>
      <c r="V1007">
        <v>309783.91</v>
      </c>
      <c r="W1007" t="s">
        <v>182</v>
      </c>
      <c r="X1007"/>
    </row>
    <row r="1008" spans="1:27">
      <c r="A1008" t="s">
        <v>28</v>
      </c>
      <c r="B1008" t="s">
        <v>29</v>
      </c>
      <c r="C1008" t="s">
        <v>3540</v>
      </c>
      <c r="D1008" t="s">
        <v>3541</v>
      </c>
      <c r="E1008" t="s">
        <v>3542</v>
      </c>
      <c r="F1008" t="s">
        <v>41</v>
      </c>
      <c r="G1008">
        <v>0</v>
      </c>
      <c r="H1008">
        <f>((0/1000) * G1008)</f>
        <v>0</v>
      </c>
      <c r="I1008">
        <v>0</v>
      </c>
      <c r="J1008">
        <v>0</v>
      </c>
      <c r="K1008" s="4007">
        <v>610265.1</v>
      </c>
      <c r="L1008" s="4008">
        <f>(K1008 * G1008)</f>
        <v>0</v>
      </c>
      <c r="M1008" s="4009">
        <v>854371.14</v>
      </c>
      <c r="N1008" s="4010">
        <f>(G1008 * M1008)</f>
        <v>0</v>
      </c>
      <c r="O1008">
        <v>0</v>
      </c>
      <c r="P1008">
        <v>0</v>
      </c>
      <c r="Q1008">
        <f>IF(O1008&gt;G1008,(O1008-G1008),0)</f>
        <v>0</v>
      </c>
      <c r="R1008">
        <v>1</v>
      </c>
      <c r="S1008">
        <f>IF(Q1008&gt;0,Int(P1008/Q1008),0)</f>
        <v>0</v>
      </c>
      <c r="T1008">
        <f>443829.16</f>
        <v>443829.16</v>
      </c>
      <c r="U1008" t="s">
        <v>3543</v>
      </c>
      <c r="V1008">
        <v>610265.1</v>
      </c>
      <c r="W1008" t="s">
        <v>75</v>
      </c>
      <c r="X1008"/>
    </row>
    <row r="1009" spans="1:27">
      <c r="A1009" t="s">
        <v>28</v>
      </c>
      <c r="B1009" t="s">
        <v>29</v>
      </c>
      <c r="C1009" t="s">
        <v>3544</v>
      </c>
      <c r="D1009" t="s">
        <v>3545</v>
      </c>
      <c r="E1009" t="s">
        <v>3546</v>
      </c>
      <c r="F1009" t="s">
        <v>41</v>
      </c>
      <c r="G1009">
        <v>0</v>
      </c>
      <c r="H1009">
        <f>((0/1000) * G1009)</f>
        <v>0</v>
      </c>
      <c r="I1009">
        <v>0</v>
      </c>
      <c r="J1009">
        <v>0</v>
      </c>
      <c r="K1009" s="4011">
        <v>446280.99</v>
      </c>
      <c r="L1009" s="4012">
        <f>(K1009 * G1009)</f>
        <v>0</v>
      </c>
      <c r="M1009" s="4013">
        <v>490909.09</v>
      </c>
      <c r="N1009" s="4014">
        <f>(G1009 * M1009)</f>
        <v>0</v>
      </c>
      <c r="O1009">
        <v>0</v>
      </c>
      <c r="P1009">
        <v>0</v>
      </c>
      <c r="Q1009">
        <f>IF(O1009&gt;G1009,(O1009-G1009),0)</f>
        <v>0</v>
      </c>
      <c r="R1009">
        <v>1</v>
      </c>
      <c r="S1009">
        <f>IF(Q1009&gt;0,Int(P1009/Q1009),0)</f>
        <v>0</v>
      </c>
      <c r="T1009">
        <f>405709.99</f>
        <v>405709.99</v>
      </c>
      <c r="U1009" t="s">
        <v>3547</v>
      </c>
      <c r="V1009">
        <v>446280.99</v>
      </c>
      <c r="W1009" t="s">
        <v>43</v>
      </c>
      <c r="X1009"/>
    </row>
    <row r="1010" spans="1:27">
      <c r="A1010" t="s">
        <v>28</v>
      </c>
      <c r="B1010" t="s">
        <v>29</v>
      </c>
      <c r="C1010" t="s">
        <v>3548</v>
      </c>
      <c r="D1010" t="s">
        <v>3549</v>
      </c>
      <c r="E1010" t="s">
        <v>3550</v>
      </c>
      <c r="F1010" t="s">
        <v>33</v>
      </c>
      <c r="G1010">
        <v>0</v>
      </c>
      <c r="H1010">
        <f>((0/1000) * G1010)</f>
        <v>0</v>
      </c>
      <c r="I1010">
        <v>0</v>
      </c>
      <c r="J1010">
        <v>0</v>
      </c>
      <c r="K1010" s="4015">
        <v>208272.72</v>
      </c>
      <c r="L1010" s="4016">
        <f>(K1010 * G1010)</f>
        <v>0</v>
      </c>
      <c r="M1010" s="4017">
        <v>291581.81</v>
      </c>
      <c r="N1010" s="4018">
        <f>(G1010 * M1010)</f>
        <v>0</v>
      </c>
      <c r="O1010">
        <v>0</v>
      </c>
      <c r="P1010">
        <v>0</v>
      </c>
      <c r="Q1010">
        <f>IF(O1010&gt;G1010,(O1010-G1010),0)</f>
        <v>0</v>
      </c>
      <c r="R1010">
        <v>1</v>
      </c>
      <c r="S1010">
        <f>IF(Q1010&gt;0,Int(P1010/Q1010),0)</f>
        <v>0</v>
      </c>
      <c r="T1010">
        <f>0</f>
        <v>0</v>
      </c>
      <c r="U1010"/>
      <c r="V1010">
        <v>208272.72</v>
      </c>
      <c r="W1010" t="s">
        <v>75</v>
      </c>
      <c r="X1010"/>
    </row>
    <row r="1011" spans="1:27">
      <c r="A1011" t="s">
        <v>28</v>
      </c>
      <c r="B1011" t="s">
        <v>29</v>
      </c>
      <c r="C1011" t="s">
        <v>3551</v>
      </c>
      <c r="D1011" t="s">
        <v>3552</v>
      </c>
      <c r="E1011" t="s">
        <v>3553</v>
      </c>
      <c r="F1011" t="s">
        <v>33</v>
      </c>
      <c r="G1011">
        <v>0</v>
      </c>
      <c r="H1011">
        <f>((0/1000) * G1011)</f>
        <v>0</v>
      </c>
      <c r="I1011">
        <v>0</v>
      </c>
      <c r="J1011">
        <v>0</v>
      </c>
      <c r="K1011" s="4019">
        <v>509245.92</v>
      </c>
      <c r="L1011" s="4020">
        <f>(K1011 * G1011)</f>
        <v>0</v>
      </c>
      <c r="M1011" s="4021">
        <v>712944.28</v>
      </c>
      <c r="N1011" s="4022">
        <f>(G1011 * M1011)</f>
        <v>0</v>
      </c>
      <c r="O1011">
        <v>0</v>
      </c>
      <c r="P1011">
        <v>0</v>
      </c>
      <c r="Q1011">
        <f>IF(O1011&gt;G1011,(O1011-G1011),0)</f>
        <v>0</v>
      </c>
      <c r="R1011">
        <v>1</v>
      </c>
      <c r="S1011">
        <f>IF(Q1011&gt;0,Int(P1011/Q1011),0)</f>
        <v>0</v>
      </c>
      <c r="T1011">
        <f>471907.86</f>
        <v>471907.86</v>
      </c>
      <c r="U1011" t="s">
        <v>3554</v>
      </c>
      <c r="V1011">
        <v>509245.92</v>
      </c>
      <c r="W1011" t="s">
        <v>182</v>
      </c>
      <c r="X1011"/>
    </row>
    <row r="1012" spans="1:27">
      <c r="A1012" t="s">
        <v>28</v>
      </c>
      <c r="B1012" t="s">
        <v>29</v>
      </c>
      <c r="C1012" t="s">
        <v>3555</v>
      </c>
      <c r="D1012" t="s">
        <v>3556</v>
      </c>
      <c r="E1012" t="s">
        <v>3557</v>
      </c>
      <c r="F1012" t="s">
        <v>33</v>
      </c>
      <c r="G1012">
        <v>0</v>
      </c>
      <c r="H1012">
        <f>((0/1000) * G1012)</f>
        <v>0</v>
      </c>
      <c r="I1012">
        <v>0</v>
      </c>
      <c r="J1012">
        <v>0</v>
      </c>
      <c r="K1012" s="4023">
        <v>82770.58</v>
      </c>
      <c r="L1012" s="4024">
        <f>(K1012 * G1012)</f>
        <v>0</v>
      </c>
      <c r="M1012" s="4025">
        <v>115878.82</v>
      </c>
      <c r="N1012" s="4026">
        <f>(G1012 * M1012)</f>
        <v>0</v>
      </c>
      <c r="O1012">
        <v>0</v>
      </c>
      <c r="P1012">
        <v>0</v>
      </c>
      <c r="Q1012">
        <f>IF(O1012&gt;G1012,(O1012-G1012),0)</f>
        <v>0</v>
      </c>
      <c r="R1012">
        <v>1</v>
      </c>
      <c r="S1012">
        <f>IF(Q1012&gt;0,Int(P1012/Q1012),0)</f>
        <v>0</v>
      </c>
      <c r="T1012">
        <f>0</f>
        <v>0</v>
      </c>
      <c r="U1012"/>
      <c r="V1012">
        <v>82770.58</v>
      </c>
      <c r="W1012" t="s">
        <v>75</v>
      </c>
      <c r="X1012"/>
    </row>
    <row r="1013" spans="1:27">
      <c r="A1013" t="s">
        <v>28</v>
      </c>
      <c r="B1013" t="s">
        <v>29</v>
      </c>
      <c r="C1013" t="s">
        <v>3558</v>
      </c>
      <c r="D1013" t="s">
        <v>3559</v>
      </c>
      <c r="E1013" t="s">
        <v>3560</v>
      </c>
      <c r="F1013" t="s">
        <v>41</v>
      </c>
      <c r="G1013">
        <v>0</v>
      </c>
      <c r="H1013">
        <f>((0/1000) * G1013)</f>
        <v>0</v>
      </c>
      <c r="I1013">
        <v>0</v>
      </c>
      <c r="J1013">
        <v>0</v>
      </c>
      <c r="K1013" s="4027">
        <v>208272.72</v>
      </c>
      <c r="L1013" s="4028">
        <f>(K1013 * G1013)</f>
        <v>0</v>
      </c>
      <c r="M1013" s="4029">
        <v>291581.81</v>
      </c>
      <c r="N1013" s="4030">
        <f>(G1013 * M1013)</f>
        <v>0</v>
      </c>
      <c r="O1013">
        <v>0</v>
      </c>
      <c r="P1013">
        <v>0</v>
      </c>
      <c r="Q1013">
        <f>IF(O1013&gt;G1013,(O1013-G1013),0)</f>
        <v>0</v>
      </c>
      <c r="R1013">
        <v>1</v>
      </c>
      <c r="S1013">
        <f>IF(Q1013&gt;0,Int(P1013/Q1013),0)</f>
        <v>0</v>
      </c>
      <c r="T1013">
        <f>172126.22</f>
        <v>172126.22</v>
      </c>
      <c r="U1013" t="s">
        <v>3561</v>
      </c>
      <c r="V1013">
        <v>208272.72</v>
      </c>
      <c r="W1013" t="s">
        <v>75</v>
      </c>
      <c r="X1013"/>
    </row>
    <row r="1014" spans="1:27">
      <c r="A1014" t="s">
        <v>35</v>
      </c>
      <c r="B1014" t="s">
        <v>29</v>
      </c>
      <c r="C1014" t="s">
        <v>3562</v>
      </c>
      <c r="D1014" t="s">
        <v>3562</v>
      </c>
      <c r="E1014" t="s">
        <v>3563</v>
      </c>
      <c r="F1014" t="s">
        <v>33</v>
      </c>
      <c r="G1014">
        <v>0</v>
      </c>
      <c r="H1014">
        <f>((1/1000) * G1014)</f>
        <v>0</v>
      </c>
      <c r="I1014">
        <v>0</v>
      </c>
      <c r="J1014">
        <v>0</v>
      </c>
      <c r="K1014" s="4031">
        <v>0</v>
      </c>
      <c r="L1014" s="4032">
        <f>(K1014 * G1014)</f>
        <v>0</v>
      </c>
      <c r="M1014" s="4033">
        <v>0</v>
      </c>
      <c r="N1014" s="4034">
        <f>(G1014 * M1014)</f>
        <v>0</v>
      </c>
      <c r="O1014">
        <v>0</v>
      </c>
      <c r="P1014">
        <v>0</v>
      </c>
      <c r="Q1014">
        <f>IF(O1014&gt;G1014,(O1014-G1014),0)</f>
        <v>0</v>
      </c>
      <c r="R1014">
        <v>0</v>
      </c>
      <c r="S1014">
        <f>IF(Q1014&gt;0,Int(P1014/Q1014),0)</f>
        <v>0</v>
      </c>
      <c r="T1014">
        <f>0</f>
        <v>0</v>
      </c>
      <c r="U1014"/>
      <c r="V1014">
        <v>0</v>
      </c>
      <c r="W1014">
        <v>0</v>
      </c>
      <c r="X1014"/>
    </row>
    <row r="1015" spans="1:27">
      <c r="A1015" t="s">
        <v>35</v>
      </c>
      <c r="B1015" t="s">
        <v>29</v>
      </c>
      <c r="C1015" t="s">
        <v>3564</v>
      </c>
      <c r="D1015" t="s">
        <v>3564</v>
      </c>
      <c r="E1015" t="s">
        <v>3565</v>
      </c>
      <c r="F1015" t="s">
        <v>33</v>
      </c>
      <c r="G1015">
        <v>0</v>
      </c>
      <c r="H1015">
        <f>((1/1000) * G1015)</f>
        <v>0</v>
      </c>
      <c r="I1015">
        <v>0</v>
      </c>
      <c r="J1015">
        <v>0</v>
      </c>
      <c r="K1015" s="4035">
        <v>0</v>
      </c>
      <c r="L1015" s="4036">
        <f>(K1015 * G1015)</f>
        <v>0</v>
      </c>
      <c r="M1015" s="4037">
        <v>0</v>
      </c>
      <c r="N1015" s="4038">
        <f>(G1015 * M1015)</f>
        <v>0</v>
      </c>
      <c r="O1015">
        <v>0</v>
      </c>
      <c r="P1015">
        <v>0</v>
      </c>
      <c r="Q1015">
        <f>IF(O1015&gt;G1015,(O1015-G1015),0)</f>
        <v>0</v>
      </c>
      <c r="R1015">
        <v>0</v>
      </c>
      <c r="S1015">
        <f>IF(Q1015&gt;0,Int(P1015/Q1015),0)</f>
        <v>0</v>
      </c>
      <c r="T1015">
        <f>0</f>
        <v>0</v>
      </c>
      <c r="U1015"/>
      <c r="V1015">
        <v>0</v>
      </c>
      <c r="W1015">
        <v>0</v>
      </c>
      <c r="X1015"/>
    </row>
    <row r="1016" spans="1:27">
      <c r="A1016" t="s">
        <v>28</v>
      </c>
      <c r="B1016" t="s">
        <v>29</v>
      </c>
      <c r="C1016" t="s">
        <v>3566</v>
      </c>
      <c r="D1016" t="s">
        <v>3567</v>
      </c>
      <c r="E1016" t="s">
        <v>3568</v>
      </c>
      <c r="F1016" t="s">
        <v>33</v>
      </c>
      <c r="G1016">
        <v>0</v>
      </c>
      <c r="H1016">
        <f>((0/1000) * G1016)</f>
        <v>0</v>
      </c>
      <c r="I1016">
        <v>0</v>
      </c>
      <c r="J1016">
        <v>0</v>
      </c>
      <c r="K1016" s="4039">
        <v>177024.79</v>
      </c>
      <c r="L1016" s="4040">
        <f>(K1016 * G1016)</f>
        <v>0</v>
      </c>
      <c r="M1016" s="4041">
        <v>194727.27</v>
      </c>
      <c r="N1016" s="4042">
        <f>(G1016 * M1016)</f>
        <v>0</v>
      </c>
      <c r="O1016">
        <v>0</v>
      </c>
      <c r="P1016">
        <v>0</v>
      </c>
      <c r="Q1016">
        <f>IF(O1016&gt;G1016,(O1016-G1016),0)</f>
        <v>0</v>
      </c>
      <c r="R1016">
        <v>1</v>
      </c>
      <c r="S1016">
        <f>IF(Q1016&gt;0,Int(P1016/Q1016),0)</f>
        <v>0</v>
      </c>
      <c r="T1016">
        <f>175432.01</f>
        <v>175432.01</v>
      </c>
      <c r="U1016" t="s">
        <v>3569</v>
      </c>
      <c r="V1016">
        <v>177024.79</v>
      </c>
      <c r="W1016" t="s">
        <v>43</v>
      </c>
      <c r="X1016"/>
    </row>
    <row r="1017" spans="1:27">
      <c r="A1017" t="s">
        <v>35</v>
      </c>
      <c r="B1017" t="s">
        <v>29</v>
      </c>
      <c r="C1017" t="s">
        <v>644</v>
      </c>
      <c r="D1017" t="s">
        <v>3570</v>
      </c>
      <c r="E1017" t="s">
        <v>3571</v>
      </c>
      <c r="F1017" t="s">
        <v>33</v>
      </c>
      <c r="G1017">
        <v>0</v>
      </c>
      <c r="H1017">
        <f>((0/1000) * G1017)</f>
        <v>0</v>
      </c>
      <c r="I1017">
        <v>0</v>
      </c>
      <c r="J1017">
        <v>0</v>
      </c>
      <c r="K1017" s="4043">
        <v>156263.01</v>
      </c>
      <c r="L1017" s="4044">
        <f>(K1017 * G1017)</f>
        <v>0</v>
      </c>
      <c r="M1017" s="4045">
        <v>218768.22</v>
      </c>
      <c r="N1017" s="4046">
        <f>(G1017 * M1017)</f>
        <v>0</v>
      </c>
      <c r="O1017">
        <v>0</v>
      </c>
      <c r="P1017">
        <v>0</v>
      </c>
      <c r="Q1017">
        <f>IF(O1017&gt;G1017,(O1017-G1017),0)</f>
        <v>0</v>
      </c>
      <c r="R1017">
        <v>0</v>
      </c>
      <c r="S1017">
        <f>IF(Q1017&gt;0,Int(P1017/Q1017),0)</f>
        <v>0</v>
      </c>
      <c r="T1017">
        <f>156263.01</f>
        <v>156263.01</v>
      </c>
      <c r="U1017" t="s">
        <v>3572</v>
      </c>
      <c r="V1017">
        <v>156263.01</v>
      </c>
      <c r="W1017" t="s">
        <v>75</v>
      </c>
      <c r="X1017"/>
    </row>
    <row r="1018" spans="1:27">
      <c r="A1018" t="s">
        <v>28</v>
      </c>
      <c r="B1018" t="s">
        <v>29</v>
      </c>
      <c r="C1018" t="s">
        <v>3573</v>
      </c>
      <c r="D1018" t="s">
        <v>3574</v>
      </c>
      <c r="E1018" t="s">
        <v>3575</v>
      </c>
      <c r="F1018" t="s">
        <v>33</v>
      </c>
      <c r="G1018">
        <v>0</v>
      </c>
      <c r="H1018">
        <f>((0/1000) * G1018)</f>
        <v>0</v>
      </c>
      <c r="I1018">
        <v>0</v>
      </c>
      <c r="J1018">
        <v>0</v>
      </c>
      <c r="K1018" s="4047">
        <v>159028.57</v>
      </c>
      <c r="L1018" s="4048">
        <f>(K1018 * G1018)</f>
        <v>0</v>
      </c>
      <c r="M1018" s="4049">
        <v>222640</v>
      </c>
      <c r="N1018" s="4050">
        <f>(G1018 * M1018)</f>
        <v>0</v>
      </c>
      <c r="O1018">
        <v>0</v>
      </c>
      <c r="P1018">
        <v>0</v>
      </c>
      <c r="Q1018">
        <f>IF(O1018&gt;G1018,(O1018-G1018),0)</f>
        <v>0</v>
      </c>
      <c r="R1018">
        <v>1</v>
      </c>
      <c r="S1018">
        <f>IF(Q1018&gt;0,Int(P1018/Q1018),0)</f>
        <v>0</v>
      </c>
      <c r="T1018">
        <f>170545.45</f>
        <v>170545.45</v>
      </c>
      <c r="U1018" t="s">
        <v>3576</v>
      </c>
      <c r="V1018">
        <v>159028.57</v>
      </c>
      <c r="W1018" t="s">
        <v>301</v>
      </c>
      <c r="X1018"/>
    </row>
    <row r="1019" spans="1:27">
      <c r="A1019" t="s">
        <v>28</v>
      </c>
      <c r="B1019" t="s">
        <v>29</v>
      </c>
      <c r="C1019" t="s">
        <v>3577</v>
      </c>
      <c r="D1019" t="s">
        <v>3578</v>
      </c>
      <c r="E1019" t="s">
        <v>3579</v>
      </c>
      <c r="F1019" t="s">
        <v>33</v>
      </c>
      <c r="G1019">
        <v>0</v>
      </c>
      <c r="H1019">
        <f>((0/1000) * G1019)</f>
        <v>0</v>
      </c>
      <c r="I1019">
        <v>0</v>
      </c>
      <c r="J1019">
        <v>0</v>
      </c>
      <c r="K1019" s="4051">
        <v>57174.23</v>
      </c>
      <c r="L1019" s="4052">
        <f>(K1019 * G1019)</f>
        <v>0</v>
      </c>
      <c r="M1019" s="4053">
        <v>80043.92</v>
      </c>
      <c r="N1019" s="4054">
        <f>(G1019 * M1019)</f>
        <v>0</v>
      </c>
      <c r="O1019">
        <v>0</v>
      </c>
      <c r="P1019">
        <v>0</v>
      </c>
      <c r="Q1019">
        <f>IF(O1019&gt;G1019,(O1019-G1019),0)</f>
        <v>0</v>
      </c>
      <c r="R1019">
        <v>1</v>
      </c>
      <c r="S1019">
        <f>IF(Q1019&gt;0,Int(P1019/Q1019),0)</f>
        <v>0</v>
      </c>
      <c r="T1019">
        <f>0</f>
        <v>0</v>
      </c>
      <c r="U1019"/>
      <c r="V1019">
        <v>57174.23</v>
      </c>
      <c r="W1019" t="s">
        <v>75</v>
      </c>
      <c r="X1019"/>
    </row>
    <row r="1020" spans="1:27">
      <c r="A1020" t="s">
        <v>28</v>
      </c>
      <c r="B1020" t="s">
        <v>29</v>
      </c>
      <c r="C1020" t="s">
        <v>3580</v>
      </c>
      <c r="D1020" t="s">
        <v>3581</v>
      </c>
      <c r="E1020" t="s">
        <v>3582</v>
      </c>
      <c r="F1020" t="s">
        <v>41</v>
      </c>
      <c r="G1020">
        <v>0</v>
      </c>
      <c r="H1020">
        <f>((0/1000) * G1020)</f>
        <v>0</v>
      </c>
      <c r="I1020">
        <v>0</v>
      </c>
      <c r="J1020">
        <v>0</v>
      </c>
      <c r="K1020" s="4055">
        <v>504000</v>
      </c>
      <c r="L1020" s="4056">
        <f>(K1020 * G1020)</f>
        <v>0</v>
      </c>
      <c r="M1020" s="4057">
        <v>705600</v>
      </c>
      <c r="N1020" s="4058">
        <f>(G1020 * M1020)</f>
        <v>0</v>
      </c>
      <c r="O1020">
        <v>0</v>
      </c>
      <c r="P1020">
        <v>0</v>
      </c>
      <c r="Q1020">
        <f>IF(O1020&gt;G1020,(O1020-G1020),0)</f>
        <v>0</v>
      </c>
      <c r="R1020">
        <v>0</v>
      </c>
      <c r="S1020">
        <f>IF(Q1020&gt;0,Int(P1020/Q1020),0)</f>
        <v>0</v>
      </c>
      <c r="T1020">
        <f>0</f>
        <v>0</v>
      </c>
      <c r="U1020"/>
      <c r="V1020">
        <v>504000</v>
      </c>
      <c r="W1020" t="s">
        <v>75</v>
      </c>
      <c r="X1020"/>
    </row>
    <row r="1021" spans="1:27">
      <c r="A1021" t="s">
        <v>35</v>
      </c>
      <c r="B1021" t="s">
        <v>29</v>
      </c>
      <c r="C1021" t="s">
        <v>3583</v>
      </c>
      <c r="D1021" t="s">
        <v>3584</v>
      </c>
      <c r="E1021" t="s">
        <v>3585</v>
      </c>
      <c r="F1021" t="s">
        <v>41</v>
      </c>
      <c r="G1021">
        <v>0</v>
      </c>
      <c r="H1021">
        <f>((0/1000) * G1021)</f>
        <v>0</v>
      </c>
      <c r="I1021">
        <v>0</v>
      </c>
      <c r="J1021">
        <v>0</v>
      </c>
      <c r="K1021" s="4059">
        <v>0</v>
      </c>
      <c r="L1021" s="4060">
        <f>(K1021 * G1021)</f>
        <v>0</v>
      </c>
      <c r="M1021" s="4061">
        <v>0</v>
      </c>
      <c r="N1021" s="4062">
        <f>(G1021 * M1021)</f>
        <v>0</v>
      </c>
      <c r="O1021">
        <v>0</v>
      </c>
      <c r="P1021">
        <v>0</v>
      </c>
      <c r="Q1021">
        <f>IF(O1021&gt;G1021,(O1021-G1021),0)</f>
        <v>0</v>
      </c>
      <c r="R1021">
        <v>1</v>
      </c>
      <c r="S1021">
        <f>IF(Q1021&gt;0,Int(P1021/Q1021),0)</f>
        <v>0</v>
      </c>
      <c r="T1021">
        <f>0</f>
        <v>0</v>
      </c>
      <c r="U1021"/>
      <c r="V1021">
        <v>0</v>
      </c>
      <c r="W1021">
        <v>0</v>
      </c>
      <c r="X1021"/>
    </row>
    <row r="1022" spans="1:27">
      <c r="A1022" t="s">
        <v>28</v>
      </c>
      <c r="B1022" t="s">
        <v>29</v>
      </c>
      <c r="C1022" t="s">
        <v>3586</v>
      </c>
      <c r="D1022" t="s">
        <v>3587</v>
      </c>
      <c r="E1022" t="s">
        <v>3588</v>
      </c>
      <c r="F1022" t="s">
        <v>33</v>
      </c>
      <c r="G1022">
        <v>0</v>
      </c>
      <c r="H1022">
        <f>((0/1000) * G1022)</f>
        <v>0</v>
      </c>
      <c r="I1022">
        <v>0</v>
      </c>
      <c r="J1022">
        <v>0</v>
      </c>
      <c r="K1022" s="4063">
        <v>51829.33</v>
      </c>
      <c r="L1022" s="4064">
        <f>(K1022 * G1022)</f>
        <v>0</v>
      </c>
      <c r="M1022" s="4065">
        <v>72561.06</v>
      </c>
      <c r="N1022" s="4066">
        <f>(G1022 * M1022)</f>
        <v>0</v>
      </c>
      <c r="O1022">
        <v>0</v>
      </c>
      <c r="P1022">
        <v>0</v>
      </c>
      <c r="Q1022">
        <f>IF(O1022&gt;G1022,(O1022-G1022),0)</f>
        <v>0</v>
      </c>
      <c r="R1022">
        <v>1</v>
      </c>
      <c r="S1022">
        <f>IF(Q1022&gt;0,Int(P1022/Q1022),0)</f>
        <v>0</v>
      </c>
      <c r="T1022">
        <f>0</f>
        <v>0</v>
      </c>
      <c r="U1022"/>
      <c r="V1022">
        <v>51829.33</v>
      </c>
      <c r="W1022" t="s">
        <v>75</v>
      </c>
      <c r="X1022"/>
    </row>
    <row r="1023" spans="1:27">
      <c r="A1023" t="s">
        <v>28</v>
      </c>
      <c r="B1023" t="s">
        <v>29</v>
      </c>
      <c r="C1023" t="s">
        <v>3589</v>
      </c>
      <c r="D1023" t="s">
        <v>3590</v>
      </c>
      <c r="E1023" t="s">
        <v>3591</v>
      </c>
      <c r="F1023" t="s">
        <v>33</v>
      </c>
      <c r="G1023">
        <v>0</v>
      </c>
      <c r="H1023">
        <f>((0/1000) * G1023)</f>
        <v>0</v>
      </c>
      <c r="I1023">
        <v>0</v>
      </c>
      <c r="J1023">
        <v>0</v>
      </c>
      <c r="K1023" s="4067">
        <v>379694.62</v>
      </c>
      <c r="L1023" s="4068">
        <f>(K1023 * G1023)</f>
        <v>0</v>
      </c>
      <c r="M1023" s="4069">
        <v>531572.47</v>
      </c>
      <c r="N1023" s="4070">
        <f>(G1023 * M1023)</f>
        <v>0</v>
      </c>
      <c r="O1023">
        <v>0</v>
      </c>
      <c r="P1023">
        <v>0</v>
      </c>
      <c r="Q1023">
        <f>IF(O1023&gt;G1023,(O1023-G1023),0)</f>
        <v>0</v>
      </c>
      <c r="R1023">
        <v>1</v>
      </c>
      <c r="S1023">
        <f>IF(Q1023&gt;0,Int(P1023/Q1023),0)</f>
        <v>0</v>
      </c>
      <c r="T1023">
        <f>320273.72</f>
        <v>320273.72</v>
      </c>
      <c r="U1023" t="s">
        <v>3592</v>
      </c>
      <c r="V1023">
        <v>379694.62</v>
      </c>
      <c r="W1023" t="s">
        <v>182</v>
      </c>
      <c r="X1023"/>
    </row>
    <row r="1024" spans="1:27">
      <c r="A1024" t="s">
        <v>28</v>
      </c>
      <c r="B1024" t="s">
        <v>29</v>
      </c>
      <c r="C1024" t="s">
        <v>3593</v>
      </c>
      <c r="D1024" t="s">
        <v>3594</v>
      </c>
      <c r="E1024" t="s">
        <v>3595</v>
      </c>
      <c r="F1024" t="s">
        <v>33</v>
      </c>
      <c r="G1024">
        <v>0</v>
      </c>
      <c r="H1024">
        <f>((0/1000) * G1024)</f>
        <v>0</v>
      </c>
      <c r="I1024">
        <v>0</v>
      </c>
      <c r="J1024">
        <v>0</v>
      </c>
      <c r="K1024" s="4071">
        <v>364096.53</v>
      </c>
      <c r="L1024" s="4072">
        <f>(K1024 * G1024)</f>
        <v>0</v>
      </c>
      <c r="M1024" s="4073">
        <v>509735.15</v>
      </c>
      <c r="N1024" s="4074">
        <f>(G1024 * M1024)</f>
        <v>0</v>
      </c>
      <c r="O1024">
        <v>0</v>
      </c>
      <c r="P1024">
        <v>0</v>
      </c>
      <c r="Q1024">
        <f>IF(O1024&gt;G1024,(O1024-G1024),0)</f>
        <v>0</v>
      </c>
      <c r="R1024">
        <v>1</v>
      </c>
      <c r="S1024">
        <f>IF(Q1024&gt;0,Int(P1024/Q1024),0)</f>
        <v>0</v>
      </c>
      <c r="T1024">
        <f>268441.46</f>
        <v>268441.46</v>
      </c>
      <c r="U1024" t="s">
        <v>3596</v>
      </c>
      <c r="V1024">
        <v>364096.53</v>
      </c>
      <c r="W1024" t="s">
        <v>182</v>
      </c>
      <c r="X1024"/>
    </row>
    <row r="1025" spans="1:27">
      <c r="A1025" t="s">
        <v>35</v>
      </c>
      <c r="B1025" t="s">
        <v>29</v>
      </c>
      <c r="C1025" t="s">
        <v>3597</v>
      </c>
      <c r="D1025" t="s">
        <v>1922</v>
      </c>
      <c r="E1025" t="s">
        <v>3598</v>
      </c>
      <c r="F1025" t="s">
        <v>33</v>
      </c>
      <c r="G1025">
        <v>0</v>
      </c>
      <c r="H1025">
        <f>((0/1000) * G1025)</f>
        <v>0</v>
      </c>
      <c r="I1025">
        <v>0</v>
      </c>
      <c r="J1025">
        <v>0</v>
      </c>
      <c r="K1025" s="4075">
        <v>161546.16</v>
      </c>
      <c r="L1025" s="4076">
        <f>(K1025 * G1025)</f>
        <v>0</v>
      </c>
      <c r="M1025" s="4077">
        <v>226164.62</v>
      </c>
      <c r="N1025" s="4078">
        <f>(G1025 * M1025)</f>
        <v>0</v>
      </c>
      <c r="O1025">
        <v>0</v>
      </c>
      <c r="P1025">
        <v>0</v>
      </c>
      <c r="Q1025">
        <f>IF(O1025&gt;G1025,(O1025-G1025),0)</f>
        <v>0</v>
      </c>
      <c r="R1025">
        <v>1</v>
      </c>
      <c r="S1025">
        <f>IF(Q1025&gt;0,Int(P1025/Q1025),0)</f>
        <v>0</v>
      </c>
      <c r="T1025">
        <f>139485</f>
        <v>139485</v>
      </c>
      <c r="U1025" t="s">
        <v>3599</v>
      </c>
      <c r="V1025">
        <v>161546.16</v>
      </c>
      <c r="W1025" t="s">
        <v>75</v>
      </c>
      <c r="X1025"/>
    </row>
    <row r="1026" spans="1:27">
      <c r="A1026" t="s">
        <v>35</v>
      </c>
      <c r="B1026" t="s">
        <v>29</v>
      </c>
      <c r="C1026" t="s">
        <v>3600</v>
      </c>
      <c r="D1026" t="s">
        <v>3601</v>
      </c>
      <c r="E1026" t="s">
        <v>3602</v>
      </c>
      <c r="F1026" t="s">
        <v>41</v>
      </c>
      <c r="G1026">
        <v>0</v>
      </c>
      <c r="H1026">
        <f>((0/1000) * G1026)</f>
        <v>0</v>
      </c>
      <c r="I1026">
        <v>0</v>
      </c>
      <c r="J1026">
        <v>0</v>
      </c>
      <c r="K1026" s="4079">
        <v>302513.28</v>
      </c>
      <c r="L1026" s="4080">
        <f>(K1026 * G1026)</f>
        <v>0</v>
      </c>
      <c r="M1026" s="4081">
        <v>423518.59</v>
      </c>
      <c r="N1026" s="4082">
        <f>(G1026 * M1026)</f>
        <v>0</v>
      </c>
      <c r="O1026">
        <v>0</v>
      </c>
      <c r="P1026">
        <v>0</v>
      </c>
      <c r="Q1026">
        <f>IF(O1026&gt;G1026,(O1026-G1026),0)</f>
        <v>0</v>
      </c>
      <c r="R1026">
        <v>0</v>
      </c>
      <c r="S1026">
        <f>IF(Q1026&gt;0,Int(P1026/Q1026),0)</f>
        <v>0</v>
      </c>
      <c r="T1026">
        <f>0</f>
        <v>0</v>
      </c>
      <c r="U1026"/>
      <c r="V1026">
        <v>302513.28</v>
      </c>
      <c r="W1026" t="s">
        <v>274</v>
      </c>
      <c r="X1026"/>
    </row>
    <row r="1027" spans="1:27">
      <c r="A1027" t="s">
        <v>28</v>
      </c>
      <c r="B1027" t="s">
        <v>29</v>
      </c>
      <c r="C1027" t="s">
        <v>3603</v>
      </c>
      <c r="D1027" t="s">
        <v>3604</v>
      </c>
      <c r="E1027" t="s">
        <v>3605</v>
      </c>
      <c r="F1027" t="s">
        <v>41</v>
      </c>
      <c r="G1027">
        <v>0</v>
      </c>
      <c r="H1027">
        <f>((0/1000) * G1027)</f>
        <v>0</v>
      </c>
      <c r="I1027">
        <v>0</v>
      </c>
      <c r="J1027">
        <v>0</v>
      </c>
      <c r="K1027" s="4083">
        <v>419583.55</v>
      </c>
      <c r="L1027" s="4084">
        <f>(K1027 * G1027)</f>
        <v>0</v>
      </c>
      <c r="M1027" s="4085">
        <v>587416.97</v>
      </c>
      <c r="N1027" s="4086">
        <f>(G1027 * M1027)</f>
        <v>0</v>
      </c>
      <c r="O1027">
        <v>0</v>
      </c>
      <c r="P1027">
        <v>0</v>
      </c>
      <c r="Q1027">
        <f>IF(O1027&gt;G1027,(O1027-G1027),0)</f>
        <v>0</v>
      </c>
      <c r="R1027">
        <v>1</v>
      </c>
      <c r="S1027">
        <f>IF(Q1027&gt;0,Int(P1027/Q1027),0)</f>
        <v>0</v>
      </c>
      <c r="T1027">
        <f>435477.72</f>
        <v>435477.72</v>
      </c>
      <c r="U1027" t="s">
        <v>3606</v>
      </c>
      <c r="V1027">
        <v>419583.55</v>
      </c>
      <c r="W1027" t="s">
        <v>182</v>
      </c>
      <c r="X1027"/>
    </row>
    <row r="1028" spans="1:27">
      <c r="A1028" t="s">
        <v>28</v>
      </c>
      <c r="B1028" t="s">
        <v>29</v>
      </c>
      <c r="C1028" t="s">
        <v>3607</v>
      </c>
      <c r="D1028" t="s">
        <v>3608</v>
      </c>
      <c r="E1028" t="s">
        <v>3609</v>
      </c>
      <c r="F1028" t="s">
        <v>33</v>
      </c>
      <c r="G1028">
        <v>0</v>
      </c>
      <c r="H1028">
        <f>((0/1000) * G1028)</f>
        <v>0</v>
      </c>
      <c r="I1028">
        <v>0</v>
      </c>
      <c r="J1028">
        <v>0</v>
      </c>
      <c r="K1028" s="4087">
        <v>64273.55</v>
      </c>
      <c r="L1028" s="4088">
        <f>(K1028 * G1028)</f>
        <v>0</v>
      </c>
      <c r="M1028" s="4089">
        <v>89982.97</v>
      </c>
      <c r="N1028" s="4090">
        <f>(G1028 * M1028)</f>
        <v>0</v>
      </c>
      <c r="O1028">
        <v>0</v>
      </c>
      <c r="P1028">
        <v>0</v>
      </c>
      <c r="Q1028">
        <f>IF(O1028&gt;G1028,(O1028-G1028),0)</f>
        <v>0</v>
      </c>
      <c r="R1028">
        <v>1</v>
      </c>
      <c r="S1028">
        <f>IF(Q1028&gt;0,Int(P1028/Q1028),0)</f>
        <v>0</v>
      </c>
      <c r="T1028">
        <f>0</f>
        <v>0</v>
      </c>
      <c r="U1028"/>
      <c r="V1028">
        <v>64273.55</v>
      </c>
      <c r="W1028" t="s">
        <v>75</v>
      </c>
      <c r="X1028"/>
    </row>
    <row r="1029" spans="1:27">
      <c r="A1029" t="s">
        <v>28</v>
      </c>
      <c r="B1029" t="s">
        <v>29</v>
      </c>
      <c r="C1029" t="s">
        <v>3610</v>
      </c>
      <c r="D1029" t="s">
        <v>3611</v>
      </c>
      <c r="E1029" t="s">
        <v>3612</v>
      </c>
      <c r="F1029" t="s">
        <v>33</v>
      </c>
      <c r="G1029">
        <v>0</v>
      </c>
      <c r="H1029">
        <f>((0/1000) * G1029)</f>
        <v>0</v>
      </c>
      <c r="I1029">
        <v>0</v>
      </c>
      <c r="J1029">
        <v>0</v>
      </c>
      <c r="K1029" s="4091">
        <v>208272.72</v>
      </c>
      <c r="L1029" s="4092">
        <f>(K1029 * G1029)</f>
        <v>0</v>
      </c>
      <c r="M1029" s="4093">
        <v>291581.81</v>
      </c>
      <c r="N1029" s="4094">
        <f>(G1029 * M1029)</f>
        <v>0</v>
      </c>
      <c r="O1029">
        <v>0</v>
      </c>
      <c r="P1029">
        <v>0</v>
      </c>
      <c r="Q1029">
        <f>IF(O1029&gt;G1029,(O1029-G1029),0)</f>
        <v>0</v>
      </c>
      <c r="R1029">
        <v>0</v>
      </c>
      <c r="S1029">
        <f>IF(Q1029&gt;0,Int(P1029/Q1029),0)</f>
        <v>0</v>
      </c>
      <c r="T1029">
        <f>0</f>
        <v>0</v>
      </c>
      <c r="U1029"/>
      <c r="V1029">
        <v>208272.72</v>
      </c>
      <c r="W1029" t="s">
        <v>75</v>
      </c>
      <c r="X1029"/>
    </row>
    <row r="1030" spans="1:27">
      <c r="A1030" t="s">
        <v>28</v>
      </c>
      <c r="B1030" t="s">
        <v>29</v>
      </c>
      <c r="C1030" t="s">
        <v>3613</v>
      </c>
      <c r="D1030" t="s">
        <v>3614</v>
      </c>
      <c r="E1030" t="s">
        <v>3615</v>
      </c>
      <c r="F1030" t="s">
        <v>33</v>
      </c>
      <c r="G1030">
        <v>0</v>
      </c>
      <c r="H1030">
        <f>((0/1000) * G1030)</f>
        <v>0</v>
      </c>
      <c r="I1030">
        <v>0</v>
      </c>
      <c r="J1030">
        <v>0</v>
      </c>
      <c r="K1030" s="4095">
        <v>349652.95</v>
      </c>
      <c r="L1030" s="4096">
        <f>(K1030 * G1030)</f>
        <v>0</v>
      </c>
      <c r="M1030" s="4097">
        <v>489514.13</v>
      </c>
      <c r="N1030" s="4098">
        <f>(G1030 * M1030)</f>
        <v>0</v>
      </c>
      <c r="O1030">
        <v>0</v>
      </c>
      <c r="P1030">
        <v>0</v>
      </c>
      <c r="Q1030">
        <f>IF(O1030&gt;G1030,(O1030-G1030),0)</f>
        <v>0</v>
      </c>
      <c r="R1030">
        <v>0</v>
      </c>
      <c r="S1030">
        <f>IF(Q1030&gt;0,Int(P1030/Q1030),0)</f>
        <v>0</v>
      </c>
      <c r="T1030">
        <f>0</f>
        <v>0</v>
      </c>
      <c r="U1030"/>
      <c r="V1030">
        <v>349652.95</v>
      </c>
      <c r="W1030" t="s">
        <v>182</v>
      </c>
      <c r="X1030"/>
    </row>
    <row r="1031" spans="1:27">
      <c r="A1031" t="s">
        <v>28</v>
      </c>
      <c r="B1031" t="s">
        <v>29</v>
      </c>
      <c r="C1031" t="s">
        <v>3616</v>
      </c>
      <c r="D1031" t="s">
        <v>3617</v>
      </c>
      <c r="E1031" t="s">
        <v>3618</v>
      </c>
      <c r="F1031" t="s">
        <v>33</v>
      </c>
      <c r="G1031">
        <v>0</v>
      </c>
      <c r="H1031">
        <f>((0/1000) * G1031)</f>
        <v>0</v>
      </c>
      <c r="I1031">
        <v>0</v>
      </c>
      <c r="J1031">
        <v>0</v>
      </c>
      <c r="K1031" s="4099">
        <v>349660.99</v>
      </c>
      <c r="L1031" s="4100">
        <f>(K1031 * G1031)</f>
        <v>0</v>
      </c>
      <c r="M1031" s="4101">
        <v>489525.39</v>
      </c>
      <c r="N1031" s="4102">
        <f>(G1031 * M1031)</f>
        <v>0</v>
      </c>
      <c r="O1031">
        <v>0</v>
      </c>
      <c r="P1031">
        <v>0</v>
      </c>
      <c r="Q1031">
        <f>IF(O1031&gt;G1031,(O1031-G1031),0)</f>
        <v>0</v>
      </c>
      <c r="R1031">
        <v>1</v>
      </c>
      <c r="S1031">
        <f>IF(Q1031&gt;0,Int(P1031/Q1031),0)</f>
        <v>0</v>
      </c>
      <c r="T1031">
        <f>0</f>
        <v>0</v>
      </c>
      <c r="U1031"/>
      <c r="V1031">
        <v>349660.99</v>
      </c>
      <c r="W1031" t="s">
        <v>182</v>
      </c>
      <c r="X1031"/>
    </row>
    <row r="1032" spans="1:27">
      <c r="A1032" t="s">
        <v>35</v>
      </c>
      <c r="B1032" t="s">
        <v>29</v>
      </c>
      <c r="C1032" t="s">
        <v>3619</v>
      </c>
      <c r="D1032" t="s">
        <v>3620</v>
      </c>
      <c r="E1032" t="s">
        <v>3621</v>
      </c>
      <c r="F1032" t="s">
        <v>33</v>
      </c>
      <c r="G1032">
        <v>0</v>
      </c>
      <c r="H1032">
        <f>((0/1000) * G1032)</f>
        <v>0</v>
      </c>
      <c r="I1032">
        <v>0</v>
      </c>
      <c r="J1032">
        <v>0</v>
      </c>
      <c r="K1032" s="4103">
        <v>197297.66</v>
      </c>
      <c r="L1032" s="4104">
        <f>(K1032 * G1032)</f>
        <v>0</v>
      </c>
      <c r="M1032" s="4105">
        <v>276216.73</v>
      </c>
      <c r="N1032" s="4106">
        <f>(G1032 * M1032)</f>
        <v>0</v>
      </c>
      <c r="O1032">
        <v>0</v>
      </c>
      <c r="P1032">
        <v>0</v>
      </c>
      <c r="Q1032">
        <f>IF(O1032&gt;G1032,(O1032-G1032),0)</f>
        <v>0</v>
      </c>
      <c r="R1032">
        <v>1</v>
      </c>
      <c r="S1032">
        <f>IF(Q1032&gt;0,Int(P1032/Q1032),0)</f>
        <v>0</v>
      </c>
      <c r="T1032">
        <f>0</f>
        <v>0</v>
      </c>
      <c r="U1032"/>
      <c r="V1032">
        <v>197297.66</v>
      </c>
      <c r="W1032" t="s">
        <v>75</v>
      </c>
      <c r="X1032"/>
    </row>
    <row r="1033" spans="1:27">
      <c r="A1033" t="s">
        <v>28</v>
      </c>
      <c r="B1033" t="s">
        <v>29</v>
      </c>
      <c r="C1033" t="s">
        <v>3622</v>
      </c>
      <c r="D1033" t="s">
        <v>3623</v>
      </c>
      <c r="E1033" t="s">
        <v>3624</v>
      </c>
      <c r="F1033" t="s">
        <v>33</v>
      </c>
      <c r="G1033">
        <v>0</v>
      </c>
      <c r="H1033">
        <f>((0/1000) * G1033)</f>
        <v>0</v>
      </c>
      <c r="I1033">
        <v>0</v>
      </c>
      <c r="J1033">
        <v>0</v>
      </c>
      <c r="K1033" s="4107">
        <v>365395.59</v>
      </c>
      <c r="L1033" s="4108">
        <f>(K1033 * G1033)</f>
        <v>0</v>
      </c>
      <c r="M1033" s="4109">
        <v>511553.82</v>
      </c>
      <c r="N1033" s="4110">
        <f>(G1033 * M1033)</f>
        <v>0</v>
      </c>
      <c r="O1033">
        <v>0</v>
      </c>
      <c r="P1033">
        <v>0</v>
      </c>
      <c r="Q1033">
        <f>IF(O1033&gt;G1033,(O1033-G1033),0)</f>
        <v>0</v>
      </c>
      <c r="R1033">
        <v>1</v>
      </c>
      <c r="S1033">
        <f>IF(Q1033&gt;0,Int(P1033/Q1033),0)</f>
        <v>0</v>
      </c>
      <c r="T1033">
        <f>0</f>
        <v>0</v>
      </c>
      <c r="U1033"/>
      <c r="V1033">
        <v>365395.59</v>
      </c>
      <c r="W1033" t="s">
        <v>182</v>
      </c>
      <c r="X1033"/>
    </row>
    <row r="1034" spans="1:27">
      <c r="A1034" t="s">
        <v>28</v>
      </c>
      <c r="B1034" t="s">
        <v>29</v>
      </c>
      <c r="C1034" t="s">
        <v>3625</v>
      </c>
      <c r="D1034" t="s">
        <v>3626</v>
      </c>
      <c r="E1034" t="s">
        <v>3627</v>
      </c>
      <c r="F1034" t="s">
        <v>41</v>
      </c>
      <c r="G1034">
        <v>3</v>
      </c>
      <c r="H1034">
        <f>((0/1000) * G1034)</f>
        <v>0</v>
      </c>
      <c r="I1034">
        <v>0</v>
      </c>
      <c r="J1034">
        <v>3</v>
      </c>
      <c r="K1034" s="4111">
        <v>145377</v>
      </c>
      <c r="L1034" s="4112">
        <f>(K1034 * G1034)</f>
        <v>436131</v>
      </c>
      <c r="M1034" s="4113">
        <v>214876.03</v>
      </c>
      <c r="N1034" s="4114">
        <f>(G1034 * M1034)</f>
        <v>644628.09</v>
      </c>
      <c r="O1034">
        <v>0</v>
      </c>
      <c r="P1034">
        <v>0</v>
      </c>
      <c r="Q1034">
        <f>IF(O1034&gt;G1034,(O1034-G1034),0)</f>
        <v>0</v>
      </c>
      <c r="R1034">
        <v>0</v>
      </c>
      <c r="S1034">
        <f>IF(Q1034&gt;0,Int(P1034/Q1034),0)</f>
        <v>0</v>
      </c>
      <c r="T1034">
        <f>145377</f>
        <v>145377</v>
      </c>
      <c r="U1034" t="s">
        <v>993</v>
      </c>
      <c r="V1034">
        <v>145377</v>
      </c>
      <c r="W1034" t="s">
        <v>54</v>
      </c>
      <c r="X1034"/>
    </row>
    <row r="1035" spans="1:27">
      <c r="A1035" t="s">
        <v>35</v>
      </c>
      <c r="B1035" t="s">
        <v>29</v>
      </c>
      <c r="C1035" t="s">
        <v>2391</v>
      </c>
      <c r="D1035" t="s">
        <v>3628</v>
      </c>
      <c r="E1035" t="s">
        <v>3629</v>
      </c>
      <c r="F1035" t="s">
        <v>33</v>
      </c>
      <c r="G1035">
        <v>3</v>
      </c>
      <c r="H1035">
        <f>((0/1000) * G1035)</f>
        <v>0</v>
      </c>
      <c r="I1035">
        <v>0</v>
      </c>
      <c r="J1035">
        <v>3</v>
      </c>
      <c r="K1035" s="4115">
        <v>186570.35</v>
      </c>
      <c r="L1035" s="4116">
        <f>(K1035 * G1035)</f>
        <v>559711.05</v>
      </c>
      <c r="M1035" s="4117">
        <v>298512.56</v>
      </c>
      <c r="N1035" s="4118">
        <f>(G1035 * M1035)</f>
        <v>895537.68</v>
      </c>
      <c r="O1035">
        <v>0</v>
      </c>
      <c r="P1035">
        <v>0</v>
      </c>
      <c r="Q1035">
        <f>IF(O1035&gt;G1035,(O1035-G1035),0)</f>
        <v>0</v>
      </c>
      <c r="R1035">
        <v>0</v>
      </c>
      <c r="S1035">
        <f>IF(Q1035&gt;0,Int(P1035/Q1035),0)</f>
        <v>0</v>
      </c>
      <c r="T1035">
        <f>186570.35</f>
        <v>186570.35</v>
      </c>
      <c r="U1035" t="s">
        <v>135</v>
      </c>
      <c r="V1035">
        <v>186570.35</v>
      </c>
      <c r="W1035" t="s">
        <v>898</v>
      </c>
      <c r="X1035"/>
    </row>
    <row r="1036" spans="1:27">
      <c r="A1036" t="s">
        <v>35</v>
      </c>
      <c r="B1036" t="s">
        <v>29</v>
      </c>
      <c r="C1036" t="s">
        <v>3630</v>
      </c>
      <c r="D1036" t="s">
        <v>3630</v>
      </c>
      <c r="E1036" t="s">
        <v>3631</v>
      </c>
      <c r="F1036" t="s">
        <v>33</v>
      </c>
      <c r="G1036">
        <v>0</v>
      </c>
      <c r="H1036">
        <f>((1/1000) * G1036)</f>
        <v>0</v>
      </c>
      <c r="I1036">
        <v>0</v>
      </c>
      <c r="J1036">
        <v>0</v>
      </c>
      <c r="K1036" s="4119">
        <v>0</v>
      </c>
      <c r="L1036" s="4120">
        <f>(K1036 * G1036)</f>
        <v>0</v>
      </c>
      <c r="M1036" s="4121">
        <v>0</v>
      </c>
      <c r="N1036" s="4122">
        <f>(G1036 * M1036)</f>
        <v>0</v>
      </c>
      <c r="O1036">
        <v>0</v>
      </c>
      <c r="P1036">
        <v>0</v>
      </c>
      <c r="Q1036">
        <f>IF(O1036&gt;G1036,(O1036-G1036),0)</f>
        <v>0</v>
      </c>
      <c r="R1036">
        <v>0</v>
      </c>
      <c r="S1036">
        <f>IF(Q1036&gt;0,Int(P1036/Q1036),0)</f>
        <v>0</v>
      </c>
      <c r="T1036">
        <f>0</f>
        <v>0</v>
      </c>
      <c r="U1036"/>
      <c r="V1036">
        <v>0</v>
      </c>
      <c r="W1036">
        <v>0</v>
      </c>
      <c r="X1036"/>
    </row>
    <row r="1037" spans="1:27">
      <c r="A1037" t="s">
        <v>35</v>
      </c>
      <c r="B1037" t="s">
        <v>29</v>
      </c>
      <c r="C1037" t="s">
        <v>3632</v>
      </c>
      <c r="D1037" t="s">
        <v>3632</v>
      </c>
      <c r="E1037" t="s">
        <v>3633</v>
      </c>
      <c r="F1037" t="s">
        <v>33</v>
      </c>
      <c r="G1037">
        <v>0</v>
      </c>
      <c r="H1037">
        <f>((1/1000) * G1037)</f>
        <v>0</v>
      </c>
      <c r="I1037">
        <v>0</v>
      </c>
      <c r="J1037">
        <v>0</v>
      </c>
      <c r="K1037" s="4123">
        <v>0</v>
      </c>
      <c r="L1037" s="4124">
        <f>(K1037 * G1037)</f>
        <v>0</v>
      </c>
      <c r="M1037" s="4125">
        <v>0</v>
      </c>
      <c r="N1037" s="4126">
        <f>(G1037 * M1037)</f>
        <v>0</v>
      </c>
      <c r="O1037">
        <v>0</v>
      </c>
      <c r="P1037">
        <v>0</v>
      </c>
      <c r="Q1037">
        <f>IF(O1037&gt;G1037,(O1037-G1037),0)</f>
        <v>0</v>
      </c>
      <c r="R1037">
        <v>0</v>
      </c>
      <c r="S1037">
        <f>IF(Q1037&gt;0,Int(P1037/Q1037),0)</f>
        <v>0</v>
      </c>
      <c r="T1037">
        <f>0</f>
        <v>0</v>
      </c>
      <c r="U1037"/>
      <c r="V1037">
        <v>0</v>
      </c>
      <c r="W1037">
        <v>0</v>
      </c>
      <c r="X1037"/>
    </row>
    <row r="1038" spans="1:27">
      <c r="A1038" t="s">
        <v>28</v>
      </c>
      <c r="B1038" t="s">
        <v>29</v>
      </c>
      <c r="C1038" t="s">
        <v>3634</v>
      </c>
      <c r="D1038" t="s">
        <v>3635</v>
      </c>
      <c r="E1038" t="s">
        <v>3636</v>
      </c>
      <c r="F1038" t="s">
        <v>33</v>
      </c>
      <c r="G1038">
        <v>0</v>
      </c>
      <c r="H1038">
        <f>((0/1000) * G1038)</f>
        <v>0</v>
      </c>
      <c r="I1038">
        <v>0</v>
      </c>
      <c r="J1038">
        <v>0</v>
      </c>
      <c r="K1038" s="4127">
        <v>37597.14</v>
      </c>
      <c r="L1038" s="4128">
        <f>(K1038 * G1038)</f>
        <v>0</v>
      </c>
      <c r="M1038" s="4129">
        <v>52635.99</v>
      </c>
      <c r="N1038" s="4130">
        <f>(G1038 * M1038)</f>
        <v>0</v>
      </c>
      <c r="O1038">
        <v>0</v>
      </c>
      <c r="P1038">
        <v>0</v>
      </c>
      <c r="Q1038">
        <f>IF(O1038&gt;G1038,(O1038-G1038),0)</f>
        <v>0</v>
      </c>
      <c r="R1038">
        <v>1</v>
      </c>
      <c r="S1038">
        <f>IF(Q1038&gt;0,Int(P1038/Q1038),0)</f>
        <v>0</v>
      </c>
      <c r="T1038">
        <f>0</f>
        <v>0</v>
      </c>
      <c r="U1038"/>
      <c r="V1038">
        <v>37597.14</v>
      </c>
      <c r="W1038" t="s">
        <v>75</v>
      </c>
      <c r="X1038"/>
    </row>
    <row r="1039" spans="1:27">
      <c r="A1039" t="s">
        <v>28</v>
      </c>
      <c r="B1039" t="s">
        <v>29</v>
      </c>
      <c r="C1039" t="s">
        <v>3637</v>
      </c>
      <c r="D1039" t="s">
        <v>3638</v>
      </c>
      <c r="E1039" t="s">
        <v>3639</v>
      </c>
      <c r="F1039" t="s">
        <v>33</v>
      </c>
      <c r="G1039">
        <v>0</v>
      </c>
      <c r="H1039">
        <f>((0/1000) * G1039)</f>
        <v>0</v>
      </c>
      <c r="I1039">
        <v>0</v>
      </c>
      <c r="J1039">
        <v>0</v>
      </c>
      <c r="K1039" s="4131">
        <v>94214</v>
      </c>
      <c r="L1039" s="4132">
        <f>(K1039 * G1039)</f>
        <v>0</v>
      </c>
      <c r="M1039" s="4133">
        <v>180991.74</v>
      </c>
      <c r="N1039" s="4134">
        <f>(G1039 * M1039)</f>
        <v>0</v>
      </c>
      <c r="O1039">
        <v>0</v>
      </c>
      <c r="P1039">
        <v>0</v>
      </c>
      <c r="Q1039">
        <f>IF(O1039&gt;G1039,(O1039-G1039),0)</f>
        <v>0</v>
      </c>
      <c r="R1039">
        <v>1</v>
      </c>
      <c r="S1039">
        <f>IF(Q1039&gt;0,Int(P1039/Q1039),0)</f>
        <v>0</v>
      </c>
      <c r="T1039">
        <f>148595.04</f>
        <v>148595.04</v>
      </c>
      <c r="U1039" t="s">
        <v>96</v>
      </c>
      <c r="V1039">
        <v>94214</v>
      </c>
      <c r="W1039" t="s">
        <v>3640</v>
      </c>
      <c r="X1039"/>
    </row>
    <row r="1040" spans="1:27">
      <c r="A1040" t="s">
        <v>28</v>
      </c>
      <c r="B1040" t="s">
        <v>29</v>
      </c>
      <c r="C1040" t="s">
        <v>3641</v>
      </c>
      <c r="D1040" t="s">
        <v>3642</v>
      </c>
      <c r="E1040" t="s">
        <v>3643</v>
      </c>
      <c r="F1040" t="s">
        <v>41</v>
      </c>
      <c r="G1040">
        <v>0</v>
      </c>
      <c r="H1040">
        <f>((0/1000) * G1040)</f>
        <v>0</v>
      </c>
      <c r="I1040">
        <v>0</v>
      </c>
      <c r="J1040">
        <v>0</v>
      </c>
      <c r="K1040" s="4135">
        <v>0</v>
      </c>
      <c r="L1040" s="4136">
        <f>(K1040 * G1040)</f>
        <v>0</v>
      </c>
      <c r="M1040" s="4137">
        <v>0</v>
      </c>
      <c r="N1040" s="4138">
        <f>(G1040 * M1040)</f>
        <v>0</v>
      </c>
      <c r="O1040">
        <v>0</v>
      </c>
      <c r="P1040">
        <v>0</v>
      </c>
      <c r="Q1040">
        <f>IF(O1040&gt;G1040,(O1040-G1040),0)</f>
        <v>0</v>
      </c>
      <c r="R1040">
        <v>1</v>
      </c>
      <c r="S1040">
        <f>IF(Q1040&gt;0,Int(P1040/Q1040),0)</f>
        <v>0</v>
      </c>
      <c r="T1040">
        <f>13677.45</f>
        <v>13677.45</v>
      </c>
      <c r="U1040" t="s">
        <v>3644</v>
      </c>
      <c r="V1040">
        <v>0</v>
      </c>
      <c r="W1040">
        <v>0</v>
      </c>
      <c r="X1040"/>
    </row>
    <row r="1041" spans="1:27">
      <c r="A1041" t="s">
        <v>35</v>
      </c>
      <c r="B1041" t="s">
        <v>29</v>
      </c>
      <c r="C1041" t="s">
        <v>3645</v>
      </c>
      <c r="D1041" t="s">
        <v>3646</v>
      </c>
      <c r="E1041" t="s">
        <v>3647</v>
      </c>
      <c r="F1041" t="s">
        <v>33</v>
      </c>
      <c r="G1041">
        <v>0</v>
      </c>
      <c r="H1041">
        <f>((0/1000) * G1041)</f>
        <v>0</v>
      </c>
      <c r="I1041">
        <v>0</v>
      </c>
      <c r="J1041">
        <v>0</v>
      </c>
      <c r="K1041" s="4139">
        <v>0</v>
      </c>
      <c r="L1041" s="4140">
        <f>(K1041 * G1041)</f>
        <v>0</v>
      </c>
      <c r="M1041" s="4141">
        <v>0</v>
      </c>
      <c r="N1041" s="4142">
        <f>(G1041 * M1041)</f>
        <v>0</v>
      </c>
      <c r="O1041">
        <v>0</v>
      </c>
      <c r="P1041">
        <v>0</v>
      </c>
      <c r="Q1041">
        <f>IF(O1041&gt;G1041,(O1041-G1041),0)</f>
        <v>0</v>
      </c>
      <c r="R1041">
        <v>1</v>
      </c>
      <c r="S1041">
        <f>IF(Q1041&gt;0,Int(P1041/Q1041),0)</f>
        <v>0</v>
      </c>
      <c r="T1041">
        <f>70848.98</f>
        <v>70848.98</v>
      </c>
      <c r="U1041" t="s">
        <v>3648</v>
      </c>
      <c r="V1041">
        <v>0</v>
      </c>
      <c r="W1041">
        <v>0</v>
      </c>
      <c r="X1041"/>
    </row>
    <row r="1042" spans="1:27">
      <c r="A1042" t="s">
        <v>28</v>
      </c>
      <c r="B1042" t="s">
        <v>29</v>
      </c>
      <c r="C1042" t="s">
        <v>3649</v>
      </c>
      <c r="D1042" t="s">
        <v>3650</v>
      </c>
      <c r="E1042" t="s">
        <v>3651</v>
      </c>
      <c r="F1042" t="s">
        <v>41</v>
      </c>
      <c r="G1042">
        <v>0</v>
      </c>
      <c r="H1042">
        <f>((0/1000) * G1042)</f>
        <v>0</v>
      </c>
      <c r="I1042">
        <v>0</v>
      </c>
      <c r="J1042">
        <v>0</v>
      </c>
      <c r="K1042" s="4143">
        <v>272351.16</v>
      </c>
      <c r="L1042" s="4144">
        <f>(K1042 * G1042)</f>
        <v>0</v>
      </c>
      <c r="M1042" s="4145">
        <v>381291.62</v>
      </c>
      <c r="N1042" s="4146">
        <f>(G1042 * M1042)</f>
        <v>0</v>
      </c>
      <c r="O1042">
        <v>0</v>
      </c>
      <c r="P1042">
        <v>0</v>
      </c>
      <c r="Q1042">
        <f>IF(O1042&gt;G1042,(O1042-G1042),0)</f>
        <v>0</v>
      </c>
      <c r="R1042">
        <v>1</v>
      </c>
      <c r="S1042">
        <f>IF(Q1042&gt;0,Int(P1042/Q1042),0)</f>
        <v>0</v>
      </c>
      <c r="T1042">
        <f>253869.27</f>
        <v>253869.27</v>
      </c>
      <c r="U1042" t="s">
        <v>3652</v>
      </c>
      <c r="V1042">
        <v>272351.16</v>
      </c>
      <c r="W1042" t="s">
        <v>182</v>
      </c>
      <c r="X1042"/>
    </row>
    <row r="1043" spans="1:27">
      <c r="A1043" t="s">
        <v>28</v>
      </c>
      <c r="B1043" t="s">
        <v>29</v>
      </c>
      <c r="C1043" t="s">
        <v>3653</v>
      </c>
      <c r="D1043" t="s">
        <v>3654</v>
      </c>
      <c r="E1043" t="s">
        <v>3655</v>
      </c>
      <c r="F1043" t="s">
        <v>33</v>
      </c>
      <c r="G1043">
        <v>0</v>
      </c>
      <c r="H1043">
        <f>((0/1000) * G1043)</f>
        <v>0</v>
      </c>
      <c r="I1043">
        <v>0</v>
      </c>
      <c r="J1043">
        <v>0</v>
      </c>
      <c r="K1043" s="4147">
        <v>175371.9</v>
      </c>
      <c r="L1043" s="4148">
        <f>(K1043 * G1043)</f>
        <v>0</v>
      </c>
      <c r="M1043" s="4149">
        <v>192909.09</v>
      </c>
      <c r="N1043" s="4150">
        <f>(G1043 * M1043)</f>
        <v>0</v>
      </c>
      <c r="O1043">
        <v>0</v>
      </c>
      <c r="P1043">
        <v>0</v>
      </c>
      <c r="Q1043">
        <f>IF(O1043&gt;G1043,(O1043-G1043),0)</f>
        <v>0</v>
      </c>
      <c r="R1043">
        <v>1</v>
      </c>
      <c r="S1043">
        <f>IF(Q1043&gt;0,Int(P1043/Q1043),0)</f>
        <v>0</v>
      </c>
      <c r="T1043">
        <f>176258.45</f>
        <v>176258.45</v>
      </c>
      <c r="U1043" t="s">
        <v>3656</v>
      </c>
      <c r="V1043">
        <v>175371.9</v>
      </c>
      <c r="W1043" t="s">
        <v>43</v>
      </c>
      <c r="X1043"/>
    </row>
    <row r="1044" spans="1:27">
      <c r="A1044" t="s">
        <v>28</v>
      </c>
      <c r="B1044" t="s">
        <v>29</v>
      </c>
      <c r="C1044" t="s">
        <v>3657</v>
      </c>
      <c r="D1044" t="s">
        <v>3658</v>
      </c>
      <c r="E1044" t="s">
        <v>3659</v>
      </c>
      <c r="F1044" t="s">
        <v>33</v>
      </c>
      <c r="G1044">
        <v>0</v>
      </c>
      <c r="H1044">
        <f>((0/1000) * G1044)</f>
        <v>0</v>
      </c>
      <c r="I1044">
        <v>0</v>
      </c>
      <c r="J1044">
        <v>0</v>
      </c>
      <c r="K1044" s="4151">
        <v>39285.71</v>
      </c>
      <c r="L1044" s="4152">
        <f>(K1044 * G1044)</f>
        <v>0</v>
      </c>
      <c r="M1044" s="4153">
        <v>55000</v>
      </c>
      <c r="N1044" s="4154">
        <f>(G1044 * M1044)</f>
        <v>0</v>
      </c>
      <c r="O1044">
        <v>0</v>
      </c>
      <c r="P1044">
        <v>0</v>
      </c>
      <c r="Q1044">
        <f>IF(O1044&gt;G1044,(O1044-G1044),0)</f>
        <v>0</v>
      </c>
      <c r="R1044">
        <v>1</v>
      </c>
      <c r="S1044">
        <f>IF(Q1044&gt;0,Int(P1044/Q1044),0)</f>
        <v>0</v>
      </c>
      <c r="T1044">
        <f>0</f>
        <v>0</v>
      </c>
      <c r="U1044"/>
      <c r="V1044">
        <v>39285.71</v>
      </c>
      <c r="W1044" t="s">
        <v>75</v>
      </c>
      <c r="X1044"/>
    </row>
    <row r="1045" spans="1:27">
      <c r="A1045" t="s">
        <v>35</v>
      </c>
      <c r="B1045" t="s">
        <v>29</v>
      </c>
      <c r="C1045" t="s">
        <v>3660</v>
      </c>
      <c r="D1045" t="s">
        <v>3661</v>
      </c>
      <c r="E1045" t="s">
        <v>3662</v>
      </c>
      <c r="F1045" t="s">
        <v>33</v>
      </c>
      <c r="G1045">
        <v>8</v>
      </c>
      <c r="H1045">
        <f>((0/1000) * G1045)</f>
        <v>0</v>
      </c>
      <c r="I1045">
        <v>0</v>
      </c>
      <c r="J1045">
        <v>8</v>
      </c>
      <c r="K1045" s="4155">
        <v>120579</v>
      </c>
      <c r="L1045" s="4156">
        <f>(K1045 * G1045)</f>
        <v>964632</v>
      </c>
      <c r="M1045" s="4157">
        <v>194214.88</v>
      </c>
      <c r="N1045" s="4158">
        <f>(G1045 * M1045)</f>
        <v>1553719.04</v>
      </c>
      <c r="O1045">
        <v>0</v>
      </c>
      <c r="P1045">
        <v>0</v>
      </c>
      <c r="Q1045">
        <f>IF(O1045&gt;G1045,(O1045-G1045),0)</f>
        <v>0</v>
      </c>
      <c r="R1045">
        <v>1</v>
      </c>
      <c r="S1045">
        <f>IF(Q1045&gt;0,Int(P1045/Q1045),0)</f>
        <v>0</v>
      </c>
      <c r="T1045">
        <f>120579</f>
        <v>120579</v>
      </c>
      <c r="U1045" t="s">
        <v>122</v>
      </c>
      <c r="V1045">
        <v>120579</v>
      </c>
      <c r="W1045" t="s">
        <v>3640</v>
      </c>
      <c r="X1045" t="s">
        <v>753</v>
      </c>
    </row>
    <row r="1046" spans="1:27">
      <c r="A1046" t="s">
        <v>28</v>
      </c>
      <c r="B1046" t="s">
        <v>29</v>
      </c>
      <c r="C1046" t="s">
        <v>3663</v>
      </c>
      <c r="D1046" t="s">
        <v>3664</v>
      </c>
      <c r="E1046" t="s">
        <v>3665</v>
      </c>
      <c r="F1046" t="s">
        <v>41</v>
      </c>
      <c r="G1046">
        <v>0</v>
      </c>
      <c r="H1046">
        <f>((0/1000) * G1046)</f>
        <v>0</v>
      </c>
      <c r="I1046">
        <v>0</v>
      </c>
      <c r="J1046">
        <v>0</v>
      </c>
      <c r="K1046" s="4159">
        <v>82727.27</v>
      </c>
      <c r="L1046" s="4160">
        <f>(K1046 * G1046)</f>
        <v>0</v>
      </c>
      <c r="M1046" s="4161">
        <v>91000</v>
      </c>
      <c r="N1046" s="4162">
        <f>(G1046 * M1046)</f>
        <v>0</v>
      </c>
      <c r="O1046">
        <v>0</v>
      </c>
      <c r="P1046">
        <v>0</v>
      </c>
      <c r="Q1046">
        <f>IF(O1046&gt;G1046,(O1046-G1046),0)</f>
        <v>0</v>
      </c>
      <c r="R1046">
        <v>1</v>
      </c>
      <c r="S1046">
        <f>IF(Q1046&gt;0,Int(P1046/Q1046),0)</f>
        <v>0</v>
      </c>
      <c r="T1046">
        <f>0</f>
        <v>0</v>
      </c>
      <c r="U1046"/>
      <c r="V1046">
        <v>82727.27</v>
      </c>
      <c r="W1046" t="s">
        <v>43</v>
      </c>
      <c r="X1046"/>
    </row>
    <row r="1047" spans="1:27">
      <c r="A1047" t="s">
        <v>28</v>
      </c>
      <c r="B1047" t="s">
        <v>29</v>
      </c>
      <c r="C1047" t="s">
        <v>3666</v>
      </c>
      <c r="D1047" t="s">
        <v>3667</v>
      </c>
      <c r="E1047" t="s">
        <v>3668</v>
      </c>
      <c r="F1047" t="s">
        <v>33</v>
      </c>
      <c r="G1047">
        <v>0</v>
      </c>
      <c r="H1047">
        <f>((0/1000) * G1047)</f>
        <v>0</v>
      </c>
      <c r="I1047">
        <v>0</v>
      </c>
      <c r="J1047">
        <v>0</v>
      </c>
      <c r="K1047" s="4163">
        <v>57693.68</v>
      </c>
      <c r="L1047" s="4164">
        <f>(K1047 * G1047)</f>
        <v>0</v>
      </c>
      <c r="M1047" s="4165">
        <v>80771.16</v>
      </c>
      <c r="N1047" s="4166">
        <f>(G1047 * M1047)</f>
        <v>0</v>
      </c>
      <c r="O1047">
        <v>0</v>
      </c>
      <c r="P1047">
        <v>0</v>
      </c>
      <c r="Q1047">
        <f>IF(O1047&gt;G1047,(O1047-G1047),0)</f>
        <v>0</v>
      </c>
      <c r="R1047">
        <v>1</v>
      </c>
      <c r="S1047">
        <f>IF(Q1047&gt;0,Int(P1047/Q1047),0)</f>
        <v>0</v>
      </c>
      <c r="T1047">
        <f>0</f>
        <v>0</v>
      </c>
      <c r="U1047"/>
      <c r="V1047">
        <v>57693.68</v>
      </c>
      <c r="W1047" t="s">
        <v>75</v>
      </c>
      <c r="X1047"/>
    </row>
    <row r="1048" spans="1:27">
      <c r="A1048" t="s">
        <v>35</v>
      </c>
      <c r="B1048" t="s">
        <v>29</v>
      </c>
      <c r="C1048" t="s">
        <v>3669</v>
      </c>
      <c r="D1048" t="s">
        <v>3670</v>
      </c>
      <c r="E1048" t="s">
        <v>3671</v>
      </c>
      <c r="F1048" t="s">
        <v>33</v>
      </c>
      <c r="G1048">
        <v>0</v>
      </c>
      <c r="H1048">
        <f>((0/1000) * G1048)</f>
        <v>0</v>
      </c>
      <c r="I1048">
        <v>0</v>
      </c>
      <c r="J1048">
        <v>0</v>
      </c>
      <c r="K1048" s="4167">
        <v>216528.93</v>
      </c>
      <c r="L1048" s="4168">
        <f>(K1048 * G1048)</f>
        <v>0</v>
      </c>
      <c r="M1048" s="4169">
        <v>238181.82</v>
      </c>
      <c r="N1048" s="4170">
        <f>(G1048 * M1048)</f>
        <v>0</v>
      </c>
      <c r="O1048">
        <v>0</v>
      </c>
      <c r="P1048">
        <v>0</v>
      </c>
      <c r="Q1048">
        <f>IF(O1048&gt;G1048,(O1048-G1048),0)</f>
        <v>0</v>
      </c>
      <c r="R1048">
        <v>1</v>
      </c>
      <c r="S1048">
        <f>IF(Q1048&gt;0,Int(P1048/Q1048),0)</f>
        <v>0</v>
      </c>
      <c r="T1048">
        <f>97595.79</f>
        <v>97595.79</v>
      </c>
      <c r="U1048" t="s">
        <v>3672</v>
      </c>
      <c r="V1048">
        <v>216528.93</v>
      </c>
      <c r="W1048" t="s">
        <v>43</v>
      </c>
      <c r="X1048"/>
    </row>
    <row r="1049" spans="1:27">
      <c r="A1049" t="s">
        <v>35</v>
      </c>
      <c r="B1049" t="s">
        <v>29</v>
      </c>
      <c r="C1049" t="s">
        <v>3673</v>
      </c>
      <c r="D1049" t="s">
        <v>3674</v>
      </c>
      <c r="E1049" t="s">
        <v>3675</v>
      </c>
      <c r="F1049" t="s">
        <v>33</v>
      </c>
      <c r="G1049">
        <v>0</v>
      </c>
      <c r="H1049">
        <f>((0/1000) * G1049)</f>
        <v>0</v>
      </c>
      <c r="I1049">
        <v>0</v>
      </c>
      <c r="J1049">
        <v>0</v>
      </c>
      <c r="K1049" s="4171">
        <v>0</v>
      </c>
      <c r="L1049" s="4172">
        <f>(K1049 * G1049)</f>
        <v>0</v>
      </c>
      <c r="M1049" s="4173">
        <v>0</v>
      </c>
      <c r="N1049" s="4174">
        <f>(G1049 * M1049)</f>
        <v>0</v>
      </c>
      <c r="O1049">
        <v>0</v>
      </c>
      <c r="P1049">
        <v>0</v>
      </c>
      <c r="Q1049">
        <f>IF(O1049&gt;G1049,(O1049-G1049),0)</f>
        <v>0</v>
      </c>
      <c r="R1049">
        <v>1</v>
      </c>
      <c r="S1049">
        <f>IF(Q1049&gt;0,Int(P1049/Q1049),0)</f>
        <v>0</v>
      </c>
      <c r="T1049">
        <f>0</f>
        <v>0</v>
      </c>
      <c r="U1049"/>
      <c r="V1049">
        <v>0</v>
      </c>
      <c r="W1049">
        <v>0</v>
      </c>
      <c r="X1049"/>
    </row>
    <row r="1050" spans="1:27">
      <c r="A1050" t="s">
        <v>28</v>
      </c>
      <c r="B1050" t="s">
        <v>29</v>
      </c>
      <c r="C1050" t="s">
        <v>3676</v>
      </c>
      <c r="D1050" t="s">
        <v>3677</v>
      </c>
      <c r="E1050" t="s">
        <v>3678</v>
      </c>
      <c r="F1050" t="s">
        <v>33</v>
      </c>
      <c r="G1050">
        <v>0</v>
      </c>
      <c r="H1050">
        <f>((0/1000) * G1050)</f>
        <v>0</v>
      </c>
      <c r="I1050">
        <v>0</v>
      </c>
      <c r="J1050">
        <v>0</v>
      </c>
      <c r="K1050" s="4175">
        <v>153727.28</v>
      </c>
      <c r="L1050" s="4176">
        <f>(K1050 * G1050)</f>
        <v>0</v>
      </c>
      <c r="M1050" s="4177">
        <v>215218.19</v>
      </c>
      <c r="N1050" s="4178">
        <f>(G1050 * M1050)</f>
        <v>0</v>
      </c>
      <c r="O1050">
        <v>0</v>
      </c>
      <c r="P1050">
        <v>0</v>
      </c>
      <c r="Q1050">
        <f>IF(O1050&gt;G1050,(O1050-G1050),0)</f>
        <v>0</v>
      </c>
      <c r="R1050">
        <v>1</v>
      </c>
      <c r="S1050">
        <f>IF(Q1050&gt;0,Int(P1050/Q1050),0)</f>
        <v>0</v>
      </c>
      <c r="T1050">
        <f>0</f>
        <v>0</v>
      </c>
      <c r="U1050"/>
      <c r="V1050">
        <v>153727.28</v>
      </c>
      <c r="W1050" t="s">
        <v>75</v>
      </c>
      <c r="X1050"/>
    </row>
    <row r="1051" spans="1:27">
      <c r="A1051" t="s">
        <v>28</v>
      </c>
      <c r="B1051" t="s">
        <v>29</v>
      </c>
      <c r="C1051" t="s">
        <v>3679</v>
      </c>
      <c r="D1051" t="s">
        <v>3680</v>
      </c>
      <c r="E1051" t="s">
        <v>3681</v>
      </c>
      <c r="F1051" t="s">
        <v>41</v>
      </c>
      <c r="G1051">
        <v>0</v>
      </c>
      <c r="H1051">
        <f>((0/1000) * G1051)</f>
        <v>0</v>
      </c>
      <c r="I1051">
        <v>0</v>
      </c>
      <c r="J1051">
        <v>0</v>
      </c>
      <c r="K1051" s="4179">
        <v>106041.38</v>
      </c>
      <c r="L1051" s="4180">
        <f>(K1051 * G1051)</f>
        <v>0</v>
      </c>
      <c r="M1051" s="4181">
        <v>148457.93</v>
      </c>
      <c r="N1051" s="4182">
        <f>(G1051 * M1051)</f>
        <v>0</v>
      </c>
      <c r="O1051">
        <v>0</v>
      </c>
      <c r="P1051">
        <v>0</v>
      </c>
      <c r="Q1051">
        <f>IF(O1051&gt;G1051,(O1051-G1051),0)</f>
        <v>0</v>
      </c>
      <c r="R1051">
        <v>1</v>
      </c>
      <c r="S1051">
        <f>IF(Q1051&gt;0,Int(P1051/Q1051),0)</f>
        <v>0</v>
      </c>
      <c r="T1051">
        <f>205096</f>
        <v>205096</v>
      </c>
      <c r="U1051" t="s">
        <v>3682</v>
      </c>
      <c r="V1051">
        <v>106041.38</v>
      </c>
      <c r="W1051" t="s">
        <v>75</v>
      </c>
      <c r="X1051"/>
    </row>
    <row r="1052" spans="1:27">
      <c r="A1052" t="s">
        <v>28</v>
      </c>
      <c r="B1052" t="s">
        <v>29</v>
      </c>
      <c r="C1052" t="s">
        <v>3683</v>
      </c>
      <c r="D1052" t="s">
        <v>3684</v>
      </c>
      <c r="E1052" t="s">
        <v>3685</v>
      </c>
      <c r="F1052" t="s">
        <v>33</v>
      </c>
      <c r="G1052">
        <v>0</v>
      </c>
      <c r="H1052">
        <f>((0/1000) * G1052)</f>
        <v>0</v>
      </c>
      <c r="I1052">
        <v>0</v>
      </c>
      <c r="J1052">
        <v>0</v>
      </c>
      <c r="K1052" s="4183">
        <v>297224.01</v>
      </c>
      <c r="L1052" s="4184">
        <f>(K1052 * G1052)</f>
        <v>0</v>
      </c>
      <c r="M1052" s="4185">
        <v>416113.61</v>
      </c>
      <c r="N1052" s="4186">
        <f>(G1052 * M1052)</f>
        <v>0</v>
      </c>
      <c r="O1052">
        <v>0</v>
      </c>
      <c r="P1052">
        <v>0</v>
      </c>
      <c r="Q1052">
        <f>IF(O1052&gt;G1052,(O1052-G1052),0)</f>
        <v>0</v>
      </c>
      <c r="R1052">
        <v>1</v>
      </c>
      <c r="S1052">
        <f>IF(Q1052&gt;0,Int(P1052/Q1052),0)</f>
        <v>0</v>
      </c>
      <c r="T1052">
        <f>297224.01</f>
        <v>297224.01</v>
      </c>
      <c r="U1052" t="s">
        <v>3686</v>
      </c>
      <c r="V1052">
        <v>297224.01</v>
      </c>
      <c r="W1052" t="s">
        <v>301</v>
      </c>
      <c r="X1052"/>
    </row>
    <row r="1053" spans="1:27">
      <c r="A1053" t="s">
        <v>28</v>
      </c>
      <c r="B1053" t="s">
        <v>29</v>
      </c>
      <c r="C1053" t="s">
        <v>3687</v>
      </c>
      <c r="D1053" t="s">
        <v>3688</v>
      </c>
      <c r="E1053" t="s">
        <v>3689</v>
      </c>
      <c r="F1053" t="s">
        <v>33</v>
      </c>
      <c r="G1053">
        <v>0</v>
      </c>
      <c r="H1053">
        <f>((0/1000) * G1053)</f>
        <v>0</v>
      </c>
      <c r="I1053">
        <v>0</v>
      </c>
      <c r="J1053">
        <v>0</v>
      </c>
      <c r="K1053" s="4187">
        <v>331481.29</v>
      </c>
      <c r="L1053" s="4188">
        <f>(K1053 * G1053)</f>
        <v>0</v>
      </c>
      <c r="M1053" s="4189">
        <v>464073.81</v>
      </c>
      <c r="N1053" s="4190">
        <f>(G1053 * M1053)</f>
        <v>0</v>
      </c>
      <c r="O1053">
        <v>0</v>
      </c>
      <c r="P1053">
        <v>0</v>
      </c>
      <c r="Q1053">
        <f>IF(O1053&gt;G1053,(O1053-G1053),0)</f>
        <v>0</v>
      </c>
      <c r="R1053">
        <v>1</v>
      </c>
      <c r="S1053">
        <f>IF(Q1053&gt;0,Int(P1053/Q1053),0)</f>
        <v>0</v>
      </c>
      <c r="T1053">
        <f>240133.57</f>
        <v>240133.57</v>
      </c>
      <c r="U1053" t="s">
        <v>3690</v>
      </c>
      <c r="V1053">
        <v>331481.29</v>
      </c>
      <c r="W1053" t="s">
        <v>182</v>
      </c>
      <c r="X1053"/>
    </row>
    <row r="1054" spans="1:27">
      <c r="A1054" t="s">
        <v>28</v>
      </c>
      <c r="B1054" t="s">
        <v>29</v>
      </c>
      <c r="C1054" t="s">
        <v>3691</v>
      </c>
      <c r="D1054" t="s">
        <v>3692</v>
      </c>
      <c r="E1054" t="s">
        <v>3693</v>
      </c>
      <c r="F1054" t="s">
        <v>41</v>
      </c>
      <c r="G1054">
        <v>4</v>
      </c>
      <c r="H1054">
        <f>((0/1000) * G1054)</f>
        <v>0</v>
      </c>
      <c r="I1054">
        <v>0</v>
      </c>
      <c r="J1054">
        <v>4</v>
      </c>
      <c r="K1054" s="4191">
        <v>128419</v>
      </c>
      <c r="L1054" s="4192">
        <f>(K1054 * G1054)</f>
        <v>513676</v>
      </c>
      <c r="M1054" s="4193">
        <v>214876.03</v>
      </c>
      <c r="N1054" s="4194">
        <f>(G1054 * M1054)</f>
        <v>859504.12</v>
      </c>
      <c r="O1054">
        <v>0</v>
      </c>
      <c r="P1054">
        <v>0</v>
      </c>
      <c r="Q1054">
        <f>IF(O1054&gt;G1054,(O1054-G1054),0)</f>
        <v>0</v>
      </c>
      <c r="R1054">
        <v>0</v>
      </c>
      <c r="S1054">
        <f>IF(Q1054&gt;0,Int(P1054/Q1054),0)</f>
        <v>0</v>
      </c>
      <c r="T1054">
        <f>128419</f>
        <v>128419</v>
      </c>
      <c r="U1054" t="s">
        <v>993</v>
      </c>
      <c r="V1054">
        <v>128419</v>
      </c>
      <c r="W1054" t="s">
        <v>3640</v>
      </c>
      <c r="X1054"/>
    </row>
    <row r="1055" spans="1:27">
      <c r="A1055" t="s">
        <v>28</v>
      </c>
      <c r="B1055" t="s">
        <v>29</v>
      </c>
      <c r="C1055" t="s">
        <v>1454</v>
      </c>
      <c r="D1055" t="s">
        <v>3694</v>
      </c>
      <c r="E1055" t="s">
        <v>3695</v>
      </c>
      <c r="F1055" t="s">
        <v>41</v>
      </c>
      <c r="G1055">
        <v>0</v>
      </c>
      <c r="H1055">
        <f>((0/1000) * G1055)</f>
        <v>0</v>
      </c>
      <c r="I1055">
        <v>0</v>
      </c>
      <c r="J1055">
        <v>0</v>
      </c>
      <c r="K1055" s="4195">
        <v>105962</v>
      </c>
      <c r="L1055" s="4196">
        <f>(K1055 * G1055)</f>
        <v>0</v>
      </c>
      <c r="M1055" s="4197">
        <v>158943</v>
      </c>
      <c r="N1055" s="4198">
        <f>(G1055 * M1055)</f>
        <v>0</v>
      </c>
      <c r="O1055">
        <v>0</v>
      </c>
      <c r="P1055">
        <v>0</v>
      </c>
      <c r="Q1055">
        <f>IF(O1055&gt;G1055,(O1055-G1055),0)</f>
        <v>0</v>
      </c>
      <c r="R1055">
        <v>0</v>
      </c>
      <c r="S1055">
        <f>IF(Q1055&gt;0,Int(P1055/Q1055),0)</f>
        <v>0</v>
      </c>
      <c r="T1055">
        <f>105962</f>
        <v>105962</v>
      </c>
      <c r="U1055" t="s">
        <v>3696</v>
      </c>
      <c r="V1055">
        <v>105962</v>
      </c>
      <c r="W1055" t="s">
        <v>3311</v>
      </c>
      <c r="X1055"/>
    </row>
    <row r="1056" spans="1:27">
      <c r="A1056" t="s">
        <v>35</v>
      </c>
      <c r="B1056" t="s">
        <v>29</v>
      </c>
      <c r="C1056" t="s">
        <v>3697</v>
      </c>
      <c r="D1056" t="s">
        <v>3697</v>
      </c>
      <c r="E1056" t="s">
        <v>3698</v>
      </c>
      <c r="F1056" t="s">
        <v>33</v>
      </c>
      <c r="G1056">
        <v>0</v>
      </c>
      <c r="H1056">
        <f>((1/1000) * G1056)</f>
        <v>0</v>
      </c>
      <c r="I1056">
        <v>0</v>
      </c>
      <c r="J1056">
        <v>0</v>
      </c>
      <c r="K1056" s="4199">
        <v>0</v>
      </c>
      <c r="L1056" s="4200">
        <f>(K1056 * G1056)</f>
        <v>0</v>
      </c>
      <c r="M1056" s="4201">
        <v>0</v>
      </c>
      <c r="N1056" s="4202">
        <f>(G1056 * M1056)</f>
        <v>0</v>
      </c>
      <c r="O1056">
        <v>0</v>
      </c>
      <c r="P1056">
        <v>0</v>
      </c>
      <c r="Q1056">
        <f>IF(O1056&gt;G1056,(O1056-G1056),0)</f>
        <v>0</v>
      </c>
      <c r="R1056">
        <v>0</v>
      </c>
      <c r="S1056">
        <f>IF(Q1056&gt;0,Int(P1056/Q1056),0)</f>
        <v>0</v>
      </c>
      <c r="T1056">
        <f>0</f>
        <v>0</v>
      </c>
      <c r="U1056"/>
      <c r="V1056">
        <v>0</v>
      </c>
      <c r="W1056">
        <v>0</v>
      </c>
      <c r="X1056"/>
    </row>
    <row r="1057" spans="1:27">
      <c r="A1057" t="s">
        <v>35</v>
      </c>
      <c r="B1057" t="s">
        <v>29</v>
      </c>
      <c r="C1057" t="s">
        <v>3699</v>
      </c>
      <c r="D1057" t="s">
        <v>3700</v>
      </c>
      <c r="E1057" t="s">
        <v>3701</v>
      </c>
      <c r="F1057" t="s">
        <v>33</v>
      </c>
      <c r="G1057">
        <v>0</v>
      </c>
      <c r="H1057">
        <f>((1/1000) * G1057)</f>
        <v>0</v>
      </c>
      <c r="I1057">
        <v>0</v>
      </c>
      <c r="J1057">
        <v>0</v>
      </c>
      <c r="K1057" s="4203">
        <v>155221.47</v>
      </c>
      <c r="L1057" s="4204">
        <f>(K1057 * G1057)</f>
        <v>0</v>
      </c>
      <c r="M1057" s="4205">
        <v>217310.06</v>
      </c>
      <c r="N1057" s="4206">
        <f>(G1057 * M1057)</f>
        <v>0</v>
      </c>
      <c r="O1057">
        <v>0</v>
      </c>
      <c r="P1057">
        <v>0</v>
      </c>
      <c r="Q1057">
        <f>IF(O1057&gt;G1057,(O1057-G1057),0)</f>
        <v>0</v>
      </c>
      <c r="R1057">
        <v>1</v>
      </c>
      <c r="S1057">
        <f>IF(Q1057&gt;0,Int(P1057/Q1057),0)</f>
        <v>0</v>
      </c>
      <c r="T1057">
        <f>120000</f>
        <v>120000</v>
      </c>
      <c r="U1057" t="s">
        <v>3702</v>
      </c>
      <c r="V1057">
        <v>155221.47</v>
      </c>
      <c r="W1057" t="s">
        <v>75</v>
      </c>
      <c r="X1057"/>
    </row>
    <row r="1058" spans="1:27">
      <c r="A1058" t="s">
        <v>35</v>
      </c>
      <c r="B1058" t="s">
        <v>29</v>
      </c>
      <c r="C1058" t="s">
        <v>3703</v>
      </c>
      <c r="D1058" t="s">
        <v>3703</v>
      </c>
      <c r="E1058" t="s">
        <v>3704</v>
      </c>
      <c r="F1058" t="s">
        <v>33</v>
      </c>
      <c r="G1058">
        <v>0</v>
      </c>
      <c r="H1058">
        <f>((1/1000) * G1058)</f>
        <v>0</v>
      </c>
      <c r="I1058">
        <v>0</v>
      </c>
      <c r="J1058">
        <v>0</v>
      </c>
      <c r="K1058" s="4207">
        <v>0</v>
      </c>
      <c r="L1058" s="4208">
        <f>(K1058 * G1058)</f>
        <v>0</v>
      </c>
      <c r="M1058" s="4209">
        <v>0</v>
      </c>
      <c r="N1058" s="4210">
        <f>(G1058 * M1058)</f>
        <v>0</v>
      </c>
      <c r="O1058">
        <v>0</v>
      </c>
      <c r="P1058">
        <v>0</v>
      </c>
      <c r="Q1058">
        <f>IF(O1058&gt;G1058,(O1058-G1058),0)</f>
        <v>0</v>
      </c>
      <c r="R1058">
        <v>0</v>
      </c>
      <c r="S1058">
        <f>IF(Q1058&gt;0,Int(P1058/Q1058),0)</f>
        <v>0</v>
      </c>
      <c r="T1058">
        <f>0</f>
        <v>0</v>
      </c>
      <c r="U1058"/>
      <c r="V1058">
        <v>0</v>
      </c>
      <c r="W1058">
        <v>0</v>
      </c>
      <c r="X1058"/>
    </row>
    <row r="1059" spans="1:27">
      <c r="A1059" t="s">
        <v>28</v>
      </c>
      <c r="B1059" t="s">
        <v>29</v>
      </c>
      <c r="C1059" t="s">
        <v>3705</v>
      </c>
      <c r="D1059" t="s">
        <v>3706</v>
      </c>
      <c r="E1059" t="s">
        <v>3707</v>
      </c>
      <c r="F1059" t="s">
        <v>33</v>
      </c>
      <c r="G1059">
        <v>0</v>
      </c>
      <c r="H1059">
        <f>((0/1000) * G1059)</f>
        <v>0</v>
      </c>
      <c r="I1059">
        <v>0</v>
      </c>
      <c r="J1059">
        <v>0</v>
      </c>
      <c r="K1059" s="4211">
        <v>136362.6</v>
      </c>
      <c r="L1059" s="4212">
        <f>(K1059 * G1059)</f>
        <v>0</v>
      </c>
      <c r="M1059" s="4213">
        <v>190907.64</v>
      </c>
      <c r="N1059" s="4214">
        <f>(G1059 * M1059)</f>
        <v>0</v>
      </c>
      <c r="O1059">
        <v>0</v>
      </c>
      <c r="P1059">
        <v>0</v>
      </c>
      <c r="Q1059">
        <f>IF(O1059&gt;G1059,(O1059-G1059),0)</f>
        <v>0</v>
      </c>
      <c r="R1059">
        <v>1</v>
      </c>
      <c r="S1059">
        <f>IF(Q1059&gt;0,Int(P1059/Q1059),0)</f>
        <v>0</v>
      </c>
      <c r="T1059">
        <f>136362.6</f>
        <v>136362.6</v>
      </c>
      <c r="U1059" t="s">
        <v>3708</v>
      </c>
      <c r="V1059">
        <v>136362.6</v>
      </c>
      <c r="W1059" t="s">
        <v>75</v>
      </c>
      <c r="X1059"/>
    </row>
    <row r="1060" spans="1:27">
      <c r="A1060" t="s">
        <v>28</v>
      </c>
      <c r="B1060" t="s">
        <v>29</v>
      </c>
      <c r="C1060" t="s">
        <v>3709</v>
      </c>
      <c r="D1060" t="s">
        <v>3710</v>
      </c>
      <c r="E1060" t="s">
        <v>3711</v>
      </c>
      <c r="F1060" t="s">
        <v>33</v>
      </c>
      <c r="G1060">
        <v>0</v>
      </c>
      <c r="H1060">
        <f>((0/1000) * G1060)</f>
        <v>0</v>
      </c>
      <c r="I1060">
        <v>0</v>
      </c>
      <c r="J1060">
        <v>0</v>
      </c>
      <c r="K1060" s="4215">
        <v>0</v>
      </c>
      <c r="L1060" s="4216">
        <f>(K1060 * G1060)</f>
        <v>0</v>
      </c>
      <c r="M1060" s="4217">
        <v>0</v>
      </c>
      <c r="N1060" s="4218">
        <f>(G1060 * M1060)</f>
        <v>0</v>
      </c>
      <c r="O1060">
        <v>0</v>
      </c>
      <c r="P1060">
        <v>0</v>
      </c>
      <c r="Q1060">
        <f>IF(O1060&gt;G1060,(O1060-G1060),0)</f>
        <v>0</v>
      </c>
      <c r="R1060">
        <v>1</v>
      </c>
      <c r="S1060">
        <f>IF(Q1060&gt;0,Int(P1060/Q1060),0)</f>
        <v>0</v>
      </c>
      <c r="T1060">
        <f>0</f>
        <v>0</v>
      </c>
      <c r="U1060" t="s">
        <v>3712</v>
      </c>
      <c r="V1060">
        <v>0</v>
      </c>
      <c r="W1060">
        <v>0</v>
      </c>
      <c r="X1060"/>
    </row>
    <row r="1061" spans="1:27">
      <c r="A1061" t="s">
        <v>28</v>
      </c>
      <c r="B1061" t="s">
        <v>29</v>
      </c>
      <c r="C1061" t="s">
        <v>3713</v>
      </c>
      <c r="D1061" t="s">
        <v>3714</v>
      </c>
      <c r="E1061" t="s">
        <v>3715</v>
      </c>
      <c r="F1061" t="s">
        <v>41</v>
      </c>
      <c r="G1061">
        <v>0</v>
      </c>
      <c r="H1061">
        <f>((0/1000) * G1061)</f>
        <v>0</v>
      </c>
      <c r="I1061">
        <v>0</v>
      </c>
      <c r="J1061">
        <v>0</v>
      </c>
      <c r="K1061" s="4219">
        <v>266607.36</v>
      </c>
      <c r="L1061" s="4220">
        <f>(K1061 * G1061)</f>
        <v>0</v>
      </c>
      <c r="M1061" s="4221">
        <v>373250.31</v>
      </c>
      <c r="N1061" s="4222">
        <f>(G1061 * M1061)</f>
        <v>0</v>
      </c>
      <c r="O1061">
        <v>0</v>
      </c>
      <c r="P1061">
        <v>0</v>
      </c>
      <c r="Q1061">
        <f>IF(O1061&gt;G1061,(O1061-G1061),0)</f>
        <v>0</v>
      </c>
      <c r="R1061">
        <v>1</v>
      </c>
      <c r="S1061">
        <f>IF(Q1061&gt;0,Int(P1061/Q1061),0)</f>
        <v>0</v>
      </c>
      <c r="T1061">
        <f>237013.45</f>
        <v>237013.45</v>
      </c>
      <c r="U1061" t="s">
        <v>3716</v>
      </c>
      <c r="V1061">
        <v>266607.36</v>
      </c>
      <c r="W1061" t="s">
        <v>182</v>
      </c>
      <c r="X1061"/>
    </row>
    <row r="1062" spans="1:27">
      <c r="A1062" t="s">
        <v>28</v>
      </c>
      <c r="B1062" t="s">
        <v>29</v>
      </c>
      <c r="C1062" t="s">
        <v>3717</v>
      </c>
      <c r="D1062" t="s">
        <v>3718</v>
      </c>
      <c r="E1062" t="s">
        <v>3719</v>
      </c>
      <c r="F1062" t="s">
        <v>33</v>
      </c>
      <c r="G1062">
        <v>0</v>
      </c>
      <c r="H1062">
        <f>((0/1000) * G1062)</f>
        <v>0</v>
      </c>
      <c r="I1062">
        <v>0</v>
      </c>
      <c r="J1062">
        <v>0</v>
      </c>
      <c r="K1062" s="4223">
        <v>266607.36</v>
      </c>
      <c r="L1062" s="4224">
        <f>(K1062 * G1062)</f>
        <v>0</v>
      </c>
      <c r="M1062" s="4225">
        <v>373250.31</v>
      </c>
      <c r="N1062" s="4226">
        <f>(G1062 * M1062)</f>
        <v>0</v>
      </c>
      <c r="O1062">
        <v>0</v>
      </c>
      <c r="P1062">
        <v>0</v>
      </c>
      <c r="Q1062">
        <f>IF(O1062&gt;G1062,(O1062-G1062),0)</f>
        <v>0</v>
      </c>
      <c r="R1062">
        <v>1</v>
      </c>
      <c r="S1062">
        <f>IF(Q1062&gt;0,Int(P1062/Q1062),0)</f>
        <v>0</v>
      </c>
      <c r="T1062">
        <f>0</f>
        <v>0</v>
      </c>
      <c r="U1062"/>
      <c r="V1062">
        <v>266607.36</v>
      </c>
      <c r="W1062" t="s">
        <v>182</v>
      </c>
      <c r="X1062"/>
    </row>
    <row r="1063" spans="1:27">
      <c r="A1063" t="s">
        <v>28</v>
      </c>
      <c r="B1063" t="s">
        <v>29</v>
      </c>
      <c r="C1063" t="s">
        <v>3720</v>
      </c>
      <c r="D1063" t="s">
        <v>3721</v>
      </c>
      <c r="E1063" t="s">
        <v>3722</v>
      </c>
      <c r="F1063" t="s">
        <v>33</v>
      </c>
      <c r="G1063">
        <v>2</v>
      </c>
      <c r="H1063">
        <f>((0/1000) * G1063)</f>
        <v>0</v>
      </c>
      <c r="I1063">
        <v>0</v>
      </c>
      <c r="J1063">
        <v>2</v>
      </c>
      <c r="K1063" s="4227">
        <v>231832.49</v>
      </c>
      <c r="L1063" s="4228">
        <f>(K1063 * G1063)</f>
        <v>463664.98</v>
      </c>
      <c r="M1063" s="4229">
        <v>324565.48</v>
      </c>
      <c r="N1063" s="4230">
        <f>(G1063 * M1063)</f>
        <v>649130.96</v>
      </c>
      <c r="O1063">
        <v>0</v>
      </c>
      <c r="P1063">
        <v>0</v>
      </c>
      <c r="Q1063">
        <f>IF(O1063&gt;G1063,(O1063-G1063),0)</f>
        <v>0</v>
      </c>
      <c r="R1063">
        <v>1</v>
      </c>
      <c r="S1063">
        <f>IF(Q1063&gt;0,Int(P1063/Q1063),0)</f>
        <v>0</v>
      </c>
      <c r="T1063">
        <f>190909.09</f>
        <v>190909.09</v>
      </c>
      <c r="U1063" t="s">
        <v>3723</v>
      </c>
      <c r="V1063">
        <v>231832.49</v>
      </c>
      <c r="W1063" t="s">
        <v>182</v>
      </c>
      <c r="X1063" t="s">
        <v>280</v>
      </c>
    </row>
    <row r="1064" spans="1:27">
      <c r="A1064" t="s">
        <v>28</v>
      </c>
      <c r="B1064" t="s">
        <v>29</v>
      </c>
      <c r="C1064" t="s">
        <v>3724</v>
      </c>
      <c r="D1064" t="s">
        <v>3725</v>
      </c>
      <c r="E1064" t="s">
        <v>3726</v>
      </c>
      <c r="F1064" t="s">
        <v>33</v>
      </c>
      <c r="G1064">
        <v>0</v>
      </c>
      <c r="H1064">
        <f>((0/1000) * G1064)</f>
        <v>0</v>
      </c>
      <c r="I1064">
        <v>0</v>
      </c>
      <c r="J1064">
        <v>0</v>
      </c>
      <c r="K1064" s="4231">
        <v>198831.88</v>
      </c>
      <c r="L1064" s="4232">
        <f>(K1064 * G1064)</f>
        <v>0</v>
      </c>
      <c r="M1064" s="4233">
        <v>278364.63</v>
      </c>
      <c r="N1064" s="4234">
        <f>(G1064 * M1064)</f>
        <v>0</v>
      </c>
      <c r="O1064">
        <v>0</v>
      </c>
      <c r="P1064">
        <v>0</v>
      </c>
      <c r="Q1064">
        <f>IF(O1064&gt;G1064,(O1064-G1064),0)</f>
        <v>0</v>
      </c>
      <c r="R1064">
        <v>1</v>
      </c>
      <c r="S1064">
        <f>IF(Q1064&gt;0,Int(P1064/Q1064),0)</f>
        <v>0</v>
      </c>
      <c r="T1064">
        <f>0</f>
        <v>0</v>
      </c>
      <c r="U1064" t="s">
        <v>3727</v>
      </c>
      <c r="V1064">
        <v>198831.88</v>
      </c>
      <c r="W1064" t="s">
        <v>301</v>
      </c>
      <c r="X1064"/>
    </row>
    <row r="1065" spans="1:27">
      <c r="A1065" t="s">
        <v>28</v>
      </c>
      <c r="B1065" t="s">
        <v>29</v>
      </c>
      <c r="C1065" t="s">
        <v>3728</v>
      </c>
      <c r="D1065" t="s">
        <v>3728</v>
      </c>
      <c r="E1065" t="s">
        <v>3729</v>
      </c>
      <c r="F1065" t="s">
        <v>41</v>
      </c>
      <c r="G1065">
        <v>4</v>
      </c>
      <c r="H1065">
        <f>((0/1000) * G1065)</f>
        <v>0</v>
      </c>
      <c r="I1065">
        <v>0</v>
      </c>
      <c r="J1065">
        <v>4</v>
      </c>
      <c r="K1065" s="4235">
        <v>113000</v>
      </c>
      <c r="L1065" s="4236">
        <f>(K1065 * G1065)</f>
        <v>452000</v>
      </c>
      <c r="M1065" s="4237">
        <v>169500</v>
      </c>
      <c r="N1065" s="4238">
        <f>(G1065 * M1065)</f>
        <v>678000</v>
      </c>
      <c r="O1065">
        <v>0</v>
      </c>
      <c r="P1065">
        <v>0</v>
      </c>
      <c r="Q1065">
        <f>IF(O1065&gt;G1065,(O1065-G1065),0)</f>
        <v>0</v>
      </c>
      <c r="R1065">
        <v>0</v>
      </c>
      <c r="S1065">
        <f>IF(Q1065&gt;0,Int(P1065/Q1065),0)</f>
        <v>0</v>
      </c>
      <c r="T1065">
        <f>135849</f>
        <v>135849</v>
      </c>
      <c r="U1065" t="s">
        <v>3730</v>
      </c>
      <c r="V1065">
        <v>113000</v>
      </c>
      <c r="W1065" t="s">
        <v>80</v>
      </c>
      <c r="X1065" t="s">
        <v>280</v>
      </c>
    </row>
    <row r="1066" spans="1:27">
      <c r="A1066" t="s">
        <v>28</v>
      </c>
      <c r="B1066" t="s">
        <v>29</v>
      </c>
      <c r="C1066" t="s">
        <v>3731</v>
      </c>
      <c r="D1066" t="s">
        <v>3732</v>
      </c>
      <c r="E1066" t="s">
        <v>3733</v>
      </c>
      <c r="F1066" t="s">
        <v>33</v>
      </c>
      <c r="G1066">
        <v>0</v>
      </c>
      <c r="H1066">
        <f>((0/1000) * G1066)</f>
        <v>0</v>
      </c>
      <c r="I1066">
        <v>0</v>
      </c>
      <c r="J1066">
        <v>0</v>
      </c>
      <c r="K1066" s="4239">
        <v>47111.43</v>
      </c>
      <c r="L1066" s="4240">
        <f>(K1066 * G1066)</f>
        <v>0</v>
      </c>
      <c r="M1066" s="4241">
        <v>65956</v>
      </c>
      <c r="N1066" s="4242">
        <f>(G1066 * M1066)</f>
        <v>0</v>
      </c>
      <c r="O1066">
        <v>0</v>
      </c>
      <c r="P1066">
        <v>0</v>
      </c>
      <c r="Q1066">
        <f>IF(O1066&gt;G1066,(O1066-G1066),0)</f>
        <v>0</v>
      </c>
      <c r="R1066">
        <v>1</v>
      </c>
      <c r="S1066">
        <f>IF(Q1066&gt;0,Int(P1066/Q1066),0)</f>
        <v>0</v>
      </c>
      <c r="T1066">
        <f>0</f>
        <v>0</v>
      </c>
      <c r="U1066"/>
      <c r="V1066">
        <v>47111.43</v>
      </c>
      <c r="W1066" t="s">
        <v>75</v>
      </c>
      <c r="X1066"/>
    </row>
    <row r="1067" spans="1:27">
      <c r="A1067" t="s">
        <v>28</v>
      </c>
      <c r="B1067" t="s">
        <v>29</v>
      </c>
      <c r="C1067" t="s">
        <v>3734</v>
      </c>
      <c r="D1067" t="s">
        <v>3735</v>
      </c>
      <c r="E1067" t="s">
        <v>3736</v>
      </c>
      <c r="F1067" t="s">
        <v>33</v>
      </c>
      <c r="G1067">
        <v>0</v>
      </c>
      <c r="H1067">
        <f>((0/1000) * G1067)</f>
        <v>0</v>
      </c>
      <c r="I1067">
        <v>0</v>
      </c>
      <c r="J1067">
        <v>0</v>
      </c>
      <c r="K1067" s="4243">
        <v>47111.43</v>
      </c>
      <c r="L1067" s="4244">
        <f>(K1067 * G1067)</f>
        <v>0</v>
      </c>
      <c r="M1067" s="4245">
        <v>65956</v>
      </c>
      <c r="N1067" s="4246">
        <f>(G1067 * M1067)</f>
        <v>0</v>
      </c>
      <c r="O1067">
        <v>0</v>
      </c>
      <c r="P1067">
        <v>0</v>
      </c>
      <c r="Q1067">
        <f>IF(O1067&gt;G1067,(O1067-G1067),0)</f>
        <v>0</v>
      </c>
      <c r="R1067">
        <v>1</v>
      </c>
      <c r="S1067">
        <f>IF(Q1067&gt;0,Int(P1067/Q1067),0)</f>
        <v>0</v>
      </c>
      <c r="T1067">
        <f>0</f>
        <v>0</v>
      </c>
      <c r="U1067"/>
      <c r="V1067">
        <v>47111.43</v>
      </c>
      <c r="W1067" t="s">
        <v>75</v>
      </c>
      <c r="X1067"/>
    </row>
    <row r="1068" spans="1:27">
      <c r="A1068" t="s">
        <v>28</v>
      </c>
      <c r="B1068" t="s">
        <v>29</v>
      </c>
      <c r="C1068" t="s">
        <v>3737</v>
      </c>
      <c r="D1068" t="s">
        <v>3738</v>
      </c>
      <c r="E1068" t="s">
        <v>3739</v>
      </c>
      <c r="F1068" t="s">
        <v>33</v>
      </c>
      <c r="G1068">
        <v>0</v>
      </c>
      <c r="H1068">
        <f>((0/1000) * G1068)</f>
        <v>0</v>
      </c>
      <c r="I1068">
        <v>0</v>
      </c>
      <c r="J1068">
        <v>0</v>
      </c>
      <c r="K1068" s="4247">
        <v>150090.91</v>
      </c>
      <c r="L1068" s="4248">
        <f>(K1068 * G1068)</f>
        <v>0</v>
      </c>
      <c r="M1068" s="4249">
        <v>210127.27</v>
      </c>
      <c r="N1068" s="4250">
        <f>(G1068 * M1068)</f>
        <v>0</v>
      </c>
      <c r="O1068">
        <v>0</v>
      </c>
      <c r="P1068">
        <v>0</v>
      </c>
      <c r="Q1068">
        <f>IF(O1068&gt;G1068,(O1068-G1068),0)</f>
        <v>0</v>
      </c>
      <c r="R1068">
        <v>1</v>
      </c>
      <c r="S1068">
        <f>IF(Q1068&gt;0,Int(P1068/Q1068),0)</f>
        <v>0</v>
      </c>
      <c r="T1068">
        <f>0</f>
        <v>0</v>
      </c>
      <c r="U1068"/>
      <c r="V1068">
        <v>150090.91</v>
      </c>
      <c r="W1068" t="s">
        <v>75</v>
      </c>
      <c r="X1068"/>
    </row>
    <row r="1069" spans="1:27">
      <c r="A1069" t="s">
        <v>28</v>
      </c>
      <c r="B1069" t="s">
        <v>29</v>
      </c>
      <c r="C1069" t="s">
        <v>3740</v>
      </c>
      <c r="D1069" t="s">
        <v>3741</v>
      </c>
      <c r="E1069" t="s">
        <v>3742</v>
      </c>
      <c r="F1069" t="s">
        <v>41</v>
      </c>
      <c r="G1069">
        <v>0</v>
      </c>
      <c r="H1069">
        <f>((0/1000) * G1069)</f>
        <v>0</v>
      </c>
      <c r="I1069">
        <v>0</v>
      </c>
      <c r="J1069">
        <v>0</v>
      </c>
      <c r="K1069" s="4251">
        <v>355818.18</v>
      </c>
      <c r="L1069" s="4252">
        <f>(K1069 * G1069)</f>
        <v>0</v>
      </c>
      <c r="M1069" s="4253">
        <v>498145.45</v>
      </c>
      <c r="N1069" s="4254">
        <f>(G1069 * M1069)</f>
        <v>0</v>
      </c>
      <c r="O1069">
        <v>0</v>
      </c>
      <c r="P1069">
        <v>0</v>
      </c>
      <c r="Q1069">
        <f>IF(O1069&gt;G1069,(O1069-G1069),0)</f>
        <v>0</v>
      </c>
      <c r="R1069">
        <v>1</v>
      </c>
      <c r="S1069">
        <f>IF(Q1069&gt;0,Int(P1069/Q1069),0)</f>
        <v>0</v>
      </c>
      <c r="T1069">
        <f>116228.4</f>
        <v>116228.4</v>
      </c>
      <c r="U1069" t="s">
        <v>3743</v>
      </c>
      <c r="V1069">
        <v>355818.18</v>
      </c>
      <c r="W1069" t="s">
        <v>75</v>
      </c>
      <c r="X1069"/>
    </row>
    <row r="1070" spans="1:27">
      <c r="A1070" t="s">
        <v>28</v>
      </c>
      <c r="B1070" t="s">
        <v>29</v>
      </c>
      <c r="C1070" t="s">
        <v>3744</v>
      </c>
      <c r="D1070" t="s">
        <v>3745</v>
      </c>
      <c r="E1070" t="s">
        <v>3746</v>
      </c>
      <c r="F1070" t="s">
        <v>41</v>
      </c>
      <c r="G1070">
        <v>4</v>
      </c>
      <c r="H1070">
        <f>((0/1000) * G1070)</f>
        <v>0</v>
      </c>
      <c r="I1070">
        <v>0</v>
      </c>
      <c r="J1070">
        <v>4</v>
      </c>
      <c r="K1070" s="4255">
        <v>123055</v>
      </c>
      <c r="L1070" s="4256">
        <f>(K1070 * G1070)</f>
        <v>492220</v>
      </c>
      <c r="M1070" s="4257">
        <v>206611.57</v>
      </c>
      <c r="N1070" s="4258">
        <f>(G1070 * M1070)</f>
        <v>826446.28</v>
      </c>
      <c r="O1070">
        <v>0</v>
      </c>
      <c r="P1070">
        <v>0</v>
      </c>
      <c r="Q1070">
        <f>IF(O1070&gt;G1070,(O1070-G1070),0)</f>
        <v>0</v>
      </c>
      <c r="R1070">
        <v>0</v>
      </c>
      <c r="S1070">
        <f>IF(Q1070&gt;0,Int(P1070/Q1070),0)</f>
        <v>0</v>
      </c>
      <c r="T1070">
        <f>123055</f>
        <v>123055</v>
      </c>
      <c r="U1070" t="s">
        <v>993</v>
      </c>
      <c r="V1070">
        <v>123055</v>
      </c>
      <c r="W1070" t="s">
        <v>3640</v>
      </c>
      <c r="X1070"/>
    </row>
    <row r="1071" spans="1:27">
      <c r="A1071" t="s">
        <v>35</v>
      </c>
      <c r="B1071" t="s">
        <v>29</v>
      </c>
      <c r="C1071" t="s">
        <v>3747</v>
      </c>
      <c r="D1071" t="s">
        <v>3748</v>
      </c>
      <c r="E1071" t="s">
        <v>3749</v>
      </c>
      <c r="F1071" t="s">
        <v>33</v>
      </c>
      <c r="G1071">
        <v>0</v>
      </c>
      <c r="H1071">
        <f>((0/1000) * G1071)</f>
        <v>0</v>
      </c>
      <c r="I1071">
        <v>0</v>
      </c>
      <c r="J1071">
        <v>0</v>
      </c>
      <c r="K1071" s="4259">
        <v>0</v>
      </c>
      <c r="L1071" s="4260">
        <f>(K1071 * G1071)</f>
        <v>0</v>
      </c>
      <c r="M1071" s="4261">
        <v>0</v>
      </c>
      <c r="N1071" s="4262">
        <f>(G1071 * M1071)</f>
        <v>0</v>
      </c>
      <c r="O1071">
        <v>0</v>
      </c>
      <c r="P1071">
        <v>0</v>
      </c>
      <c r="Q1071">
        <f>IF(O1071&gt;G1071,(O1071-G1071),0)</f>
        <v>0</v>
      </c>
      <c r="R1071">
        <v>1</v>
      </c>
      <c r="S1071">
        <f>IF(Q1071&gt;0,Int(P1071/Q1071),0)</f>
        <v>0</v>
      </c>
      <c r="T1071">
        <f>0</f>
        <v>0</v>
      </c>
      <c r="U1071"/>
      <c r="V1071">
        <v>0</v>
      </c>
      <c r="W1071">
        <v>0</v>
      </c>
      <c r="X1071"/>
    </row>
    <row r="1072" spans="1:27">
      <c r="A1072" t="s">
        <v>35</v>
      </c>
      <c r="B1072" t="s">
        <v>29</v>
      </c>
      <c r="C1072" t="s">
        <v>3750</v>
      </c>
      <c r="D1072" t="s">
        <v>3751</v>
      </c>
      <c r="E1072" t="s">
        <v>3752</v>
      </c>
      <c r="F1072" t="s">
        <v>33</v>
      </c>
      <c r="G1072">
        <v>0</v>
      </c>
      <c r="H1072">
        <f>((0/1000) * G1072)</f>
        <v>0</v>
      </c>
      <c r="I1072">
        <v>0</v>
      </c>
      <c r="J1072">
        <v>0</v>
      </c>
      <c r="K1072" s="4263">
        <v>191900.83</v>
      </c>
      <c r="L1072" s="4264">
        <f>(K1072 * G1072)</f>
        <v>0</v>
      </c>
      <c r="M1072" s="4265">
        <v>211090.91</v>
      </c>
      <c r="N1072" s="4266">
        <f>(G1072 * M1072)</f>
        <v>0</v>
      </c>
      <c r="O1072">
        <v>0</v>
      </c>
      <c r="P1072">
        <v>0</v>
      </c>
      <c r="Q1072">
        <f>IF(O1072&gt;G1072,(O1072-G1072),0)</f>
        <v>0</v>
      </c>
      <c r="R1072">
        <v>1</v>
      </c>
      <c r="S1072">
        <f>IF(Q1072&gt;0,Int(P1072/Q1072),0)</f>
        <v>0</v>
      </c>
      <c r="T1072">
        <f>72400</f>
        <v>72400</v>
      </c>
      <c r="U1072" t="s">
        <v>3753</v>
      </c>
      <c r="V1072">
        <v>191900.83</v>
      </c>
      <c r="W1072" t="s">
        <v>43</v>
      </c>
      <c r="X1072"/>
    </row>
    <row r="1073" spans="1:27">
      <c r="A1073" t="s">
        <v>28</v>
      </c>
      <c r="B1073" t="s">
        <v>29</v>
      </c>
      <c r="C1073" t="s">
        <v>3754</v>
      </c>
      <c r="D1073" t="s">
        <v>3755</v>
      </c>
      <c r="E1073" t="s">
        <v>3756</v>
      </c>
      <c r="F1073" t="s">
        <v>33</v>
      </c>
      <c r="G1073">
        <v>0</v>
      </c>
      <c r="H1073">
        <f>((0/1000) * G1073)</f>
        <v>0</v>
      </c>
      <c r="I1073">
        <v>0</v>
      </c>
      <c r="J1073">
        <v>0</v>
      </c>
      <c r="K1073" s="4267">
        <v>115772.72</v>
      </c>
      <c r="L1073" s="4268">
        <f>(K1073 * G1073)</f>
        <v>0</v>
      </c>
      <c r="M1073" s="4269">
        <v>173659.08</v>
      </c>
      <c r="N1073" s="4270">
        <f>(G1073 * M1073)</f>
        <v>0</v>
      </c>
      <c r="O1073">
        <v>0</v>
      </c>
      <c r="P1073">
        <v>0</v>
      </c>
      <c r="Q1073">
        <f>IF(O1073&gt;G1073,(O1073-G1073),0)</f>
        <v>0</v>
      </c>
      <c r="R1073">
        <v>1</v>
      </c>
      <c r="S1073">
        <f>IF(Q1073&gt;0,Int(P1073/Q1073),0)</f>
        <v>0</v>
      </c>
      <c r="T1073">
        <f>105247.93</f>
        <v>105247.93</v>
      </c>
      <c r="U1073" t="s">
        <v>3757</v>
      </c>
      <c r="V1073">
        <v>115772.72</v>
      </c>
      <c r="W1073" t="s">
        <v>292</v>
      </c>
      <c r="X1073" t="s">
        <v>166</v>
      </c>
    </row>
    <row r="1074" spans="1:27">
      <c r="A1074" t="s">
        <v>35</v>
      </c>
      <c r="B1074" t="s">
        <v>29</v>
      </c>
      <c r="C1074" t="s">
        <v>3758</v>
      </c>
      <c r="D1074" t="s">
        <v>3759</v>
      </c>
      <c r="E1074" t="s">
        <v>3760</v>
      </c>
      <c r="F1074" t="s">
        <v>33</v>
      </c>
      <c r="G1074">
        <v>9</v>
      </c>
      <c r="H1074">
        <f>((0/1000) * G1074)</f>
        <v>0</v>
      </c>
      <c r="I1074">
        <v>0</v>
      </c>
      <c r="J1074">
        <v>9</v>
      </c>
      <c r="K1074" s="4271">
        <v>124722.73</v>
      </c>
      <c r="L1074" s="4272">
        <f>(K1074 * G1074)</f>
        <v>1122504.57</v>
      </c>
      <c r="M1074" s="4273">
        <v>187084.1</v>
      </c>
      <c r="N1074" s="4274">
        <f>(G1074 * M1074)</f>
        <v>1683756.9</v>
      </c>
      <c r="O1074">
        <v>0</v>
      </c>
      <c r="P1074">
        <v>0</v>
      </c>
      <c r="Q1074">
        <f>IF(O1074&gt;G1074,(O1074-G1074),0)</f>
        <v>0</v>
      </c>
      <c r="R1074">
        <v>1</v>
      </c>
      <c r="S1074">
        <f>IF(Q1074&gt;0,Int(P1074/Q1074),0)</f>
        <v>0</v>
      </c>
      <c r="T1074">
        <f>124722.73</f>
        <v>124722.73</v>
      </c>
      <c r="U1074" t="s">
        <v>3761</v>
      </c>
      <c r="V1074">
        <v>124722.73</v>
      </c>
      <c r="W1074" t="s">
        <v>2299</v>
      </c>
      <c r="X1074" t="s">
        <v>409</v>
      </c>
    </row>
    <row r="1075" spans="1:27">
      <c r="A1075" t="s">
        <v>28</v>
      </c>
      <c r="B1075" t="s">
        <v>29</v>
      </c>
      <c r="C1075" t="s">
        <v>3762</v>
      </c>
      <c r="D1075" t="s">
        <v>3763</v>
      </c>
      <c r="E1075" t="s">
        <v>3764</v>
      </c>
      <c r="F1075" t="s">
        <v>33</v>
      </c>
      <c r="G1075">
        <v>0</v>
      </c>
      <c r="H1075">
        <f>((0/1000) * G1075)</f>
        <v>0</v>
      </c>
      <c r="I1075">
        <v>0</v>
      </c>
      <c r="J1075">
        <v>0</v>
      </c>
      <c r="K1075" s="4275">
        <v>84787.19</v>
      </c>
      <c r="L1075" s="4276">
        <f>(K1075 * G1075)</f>
        <v>0</v>
      </c>
      <c r="M1075" s="4277">
        <v>118702.06</v>
      </c>
      <c r="N1075" s="4278">
        <f>(G1075 * M1075)</f>
        <v>0</v>
      </c>
      <c r="O1075">
        <v>0</v>
      </c>
      <c r="P1075">
        <v>0</v>
      </c>
      <c r="Q1075">
        <f>IF(O1075&gt;G1075,(O1075-G1075),0)</f>
        <v>0</v>
      </c>
      <c r="R1075">
        <v>1</v>
      </c>
      <c r="S1075">
        <f>IF(Q1075&gt;0,Int(P1075/Q1075),0)</f>
        <v>0</v>
      </c>
      <c r="T1075">
        <f>0</f>
        <v>0</v>
      </c>
      <c r="U1075"/>
      <c r="V1075">
        <v>84787.19</v>
      </c>
      <c r="W1075" t="s">
        <v>75</v>
      </c>
      <c r="X1075"/>
    </row>
    <row r="1076" spans="1:27">
      <c r="A1076" t="s">
        <v>35</v>
      </c>
      <c r="B1076" t="s">
        <v>29</v>
      </c>
      <c r="C1076" t="s">
        <v>3765</v>
      </c>
      <c r="D1076" t="s">
        <v>3765</v>
      </c>
      <c r="E1076" t="s">
        <v>3766</v>
      </c>
      <c r="F1076" t="s">
        <v>33</v>
      </c>
      <c r="G1076">
        <v>0</v>
      </c>
      <c r="H1076">
        <f>((1/1000) * G1076)</f>
        <v>0</v>
      </c>
      <c r="I1076">
        <v>0</v>
      </c>
      <c r="J1076">
        <v>0</v>
      </c>
      <c r="K1076" s="4279">
        <v>0</v>
      </c>
      <c r="L1076" s="4280">
        <f>(K1076 * G1076)</f>
        <v>0</v>
      </c>
      <c r="M1076" s="4281">
        <v>0</v>
      </c>
      <c r="N1076" s="4282">
        <f>(G1076 * M1076)</f>
        <v>0</v>
      </c>
      <c r="O1076">
        <v>0</v>
      </c>
      <c r="P1076">
        <v>0</v>
      </c>
      <c r="Q1076">
        <f>IF(O1076&gt;G1076,(O1076-G1076),0)</f>
        <v>0</v>
      </c>
      <c r="R1076">
        <v>0</v>
      </c>
      <c r="S1076">
        <f>IF(Q1076&gt;0,Int(P1076/Q1076),0)</f>
        <v>0</v>
      </c>
      <c r="T1076">
        <f>0</f>
        <v>0</v>
      </c>
      <c r="U1076"/>
      <c r="V1076">
        <v>0</v>
      </c>
      <c r="W1076">
        <v>0</v>
      </c>
      <c r="X1076"/>
    </row>
    <row r="1077" spans="1:27">
      <c r="A1077" t="s">
        <v>28</v>
      </c>
      <c r="B1077" t="s">
        <v>29</v>
      </c>
      <c r="C1077" t="s">
        <v>3767</v>
      </c>
      <c r="D1077" t="s">
        <v>3768</v>
      </c>
      <c r="E1077" t="s">
        <v>3769</v>
      </c>
      <c r="F1077" t="s">
        <v>33</v>
      </c>
      <c r="G1077">
        <v>0</v>
      </c>
      <c r="H1077">
        <f>((0/1000) * G1077)</f>
        <v>0</v>
      </c>
      <c r="I1077">
        <v>0</v>
      </c>
      <c r="J1077">
        <v>0</v>
      </c>
      <c r="K1077" s="4283">
        <v>143289.15</v>
      </c>
      <c r="L1077" s="4284">
        <f>(K1077 * G1077)</f>
        <v>0</v>
      </c>
      <c r="M1077" s="4285">
        <v>200604.8</v>
      </c>
      <c r="N1077" s="4286">
        <f>(G1077 * M1077)</f>
        <v>0</v>
      </c>
      <c r="O1077">
        <v>0</v>
      </c>
      <c r="P1077">
        <v>0</v>
      </c>
      <c r="Q1077">
        <f>IF(O1077&gt;G1077,(O1077-G1077),0)</f>
        <v>0</v>
      </c>
      <c r="R1077">
        <v>1</v>
      </c>
      <c r="S1077">
        <f>IF(Q1077&gt;0,Int(P1077/Q1077),0)</f>
        <v>0</v>
      </c>
      <c r="T1077">
        <f>35764.5</f>
        <v>35764.5</v>
      </c>
      <c r="U1077" t="s">
        <v>2374</v>
      </c>
      <c r="V1077">
        <v>143289.15</v>
      </c>
      <c r="W1077" t="s">
        <v>75</v>
      </c>
      <c r="X1077"/>
    </row>
    <row r="1078" spans="1:27">
      <c r="A1078" t="s">
        <v>28</v>
      </c>
      <c r="B1078" t="s">
        <v>29</v>
      </c>
      <c r="C1078" t="s">
        <v>3770</v>
      </c>
      <c r="D1078" t="s">
        <v>3771</v>
      </c>
      <c r="E1078" t="s">
        <v>3772</v>
      </c>
      <c r="F1078" t="s">
        <v>33</v>
      </c>
      <c r="G1078">
        <v>0</v>
      </c>
      <c r="H1078">
        <f>((0/1000) * G1078)</f>
        <v>0</v>
      </c>
      <c r="I1078">
        <v>0</v>
      </c>
      <c r="J1078">
        <v>0</v>
      </c>
      <c r="K1078" s="4287">
        <v>273528.87</v>
      </c>
      <c r="L1078" s="4288">
        <f>(K1078 * G1078)</f>
        <v>0</v>
      </c>
      <c r="M1078" s="4289">
        <v>382940.42</v>
      </c>
      <c r="N1078" s="4290">
        <f>(G1078 * M1078)</f>
        <v>0</v>
      </c>
      <c r="O1078">
        <v>0</v>
      </c>
      <c r="P1078">
        <v>0</v>
      </c>
      <c r="Q1078">
        <f>IF(O1078&gt;G1078,(O1078-G1078),0)</f>
        <v>0</v>
      </c>
      <c r="R1078">
        <v>1</v>
      </c>
      <c r="S1078">
        <f>IF(Q1078&gt;0,Int(P1078/Q1078),0)</f>
        <v>0</v>
      </c>
      <c r="T1078">
        <f>129977.46</f>
        <v>129977.46</v>
      </c>
      <c r="U1078" t="s">
        <v>3773</v>
      </c>
      <c r="V1078">
        <v>273528.87</v>
      </c>
      <c r="W1078" t="s">
        <v>182</v>
      </c>
      <c r="X1078"/>
    </row>
    <row r="1079" spans="1:27">
      <c r="A1079" t="s">
        <v>28</v>
      </c>
      <c r="B1079" t="s">
        <v>29</v>
      </c>
      <c r="C1079" t="s">
        <v>3774</v>
      </c>
      <c r="D1079" t="s">
        <v>3775</v>
      </c>
      <c r="E1079" t="s">
        <v>3776</v>
      </c>
      <c r="F1079" t="s">
        <v>33</v>
      </c>
      <c r="G1079">
        <v>0</v>
      </c>
      <c r="H1079">
        <f>((0/1000) * G1079)</f>
        <v>0</v>
      </c>
      <c r="I1079">
        <v>0</v>
      </c>
      <c r="J1079">
        <v>0</v>
      </c>
      <c r="K1079" s="4291">
        <v>137814.05</v>
      </c>
      <c r="L1079" s="4292">
        <f>(K1079 * G1079)</f>
        <v>0</v>
      </c>
      <c r="M1079" s="4293">
        <v>192939.67</v>
      </c>
      <c r="N1079" s="4294">
        <f>(G1079 * M1079)</f>
        <v>0</v>
      </c>
      <c r="O1079">
        <v>0</v>
      </c>
      <c r="P1079">
        <v>0</v>
      </c>
      <c r="Q1079">
        <f>IF(O1079&gt;G1079,(O1079-G1079),0)</f>
        <v>0</v>
      </c>
      <c r="R1079">
        <v>0</v>
      </c>
      <c r="S1079">
        <f>IF(Q1079&gt;0,Int(P1079/Q1079),0)</f>
        <v>0</v>
      </c>
      <c r="T1079">
        <f>0</f>
        <v>0</v>
      </c>
      <c r="U1079"/>
      <c r="V1079">
        <v>137814.05</v>
      </c>
      <c r="W1079" t="s">
        <v>529</v>
      </c>
      <c r="X1079"/>
    </row>
    <row r="1080" spans="1:27">
      <c r="A1080" t="s">
        <v>28</v>
      </c>
      <c r="B1080" t="s">
        <v>29</v>
      </c>
      <c r="C1080" t="s">
        <v>3777</v>
      </c>
      <c r="D1080" t="s">
        <v>3778</v>
      </c>
      <c r="E1080" t="s">
        <v>3779</v>
      </c>
      <c r="F1080" t="s">
        <v>41</v>
      </c>
      <c r="G1080">
        <v>10</v>
      </c>
      <c r="H1080">
        <f>((0/1000) * G1080)</f>
        <v>0</v>
      </c>
      <c r="I1080">
        <v>4</v>
      </c>
      <c r="J1080">
        <v>6</v>
      </c>
      <c r="K1080" s="4295">
        <v>287205.32</v>
      </c>
      <c r="L1080" s="4296">
        <f>(K1080 * G1080)</f>
        <v>2872053.2</v>
      </c>
      <c r="M1080" s="4297">
        <v>402087.45</v>
      </c>
      <c r="N1080" s="4298">
        <f>(G1080 * M1080)</f>
        <v>4020874.5</v>
      </c>
      <c r="O1080">
        <v>0</v>
      </c>
      <c r="P1080">
        <v>0</v>
      </c>
      <c r="Q1080">
        <f>IF(O1080&gt;G1080,(O1080-G1080),0)</f>
        <v>0</v>
      </c>
      <c r="R1080">
        <v>1</v>
      </c>
      <c r="S1080">
        <f>IF(Q1080&gt;0,Int(P1080/Q1080),0)</f>
        <v>0</v>
      </c>
      <c r="T1080">
        <f>210368.14</f>
        <v>210368.14</v>
      </c>
      <c r="U1080" t="s">
        <v>3780</v>
      </c>
      <c r="V1080">
        <v>287205.32</v>
      </c>
      <c r="W1080" t="s">
        <v>182</v>
      </c>
      <c r="X1080" t="s">
        <v>81</v>
      </c>
    </row>
    <row r="1081" spans="1:27">
      <c r="A1081" t="s">
        <v>28</v>
      </c>
      <c r="B1081" t="s">
        <v>29</v>
      </c>
      <c r="C1081" t="s">
        <v>3781</v>
      </c>
      <c r="D1081" t="s">
        <v>3509</v>
      </c>
      <c r="E1081" t="s">
        <v>3782</v>
      </c>
      <c r="F1081" t="s">
        <v>33</v>
      </c>
      <c r="G1081">
        <v>0</v>
      </c>
      <c r="H1081">
        <f>((0/1000) * G1081)</f>
        <v>0</v>
      </c>
      <c r="I1081">
        <v>0</v>
      </c>
      <c r="J1081">
        <v>0</v>
      </c>
      <c r="K1081" s="4299">
        <v>119161.43</v>
      </c>
      <c r="L1081" s="4300">
        <f>(K1081 * G1081)</f>
        <v>0</v>
      </c>
      <c r="M1081" s="4301">
        <v>166826</v>
      </c>
      <c r="N1081" s="4302">
        <f>(G1081 * M1081)</f>
        <v>0</v>
      </c>
      <c r="O1081">
        <v>0</v>
      </c>
      <c r="P1081">
        <v>0</v>
      </c>
      <c r="Q1081">
        <f>IF(O1081&gt;G1081,(O1081-G1081),0)</f>
        <v>0</v>
      </c>
      <c r="R1081">
        <v>1</v>
      </c>
      <c r="S1081">
        <f>IF(Q1081&gt;0,Int(P1081/Q1081),0)</f>
        <v>0</v>
      </c>
      <c r="T1081">
        <f>103305.78</f>
        <v>103305.78</v>
      </c>
      <c r="U1081" t="s">
        <v>3783</v>
      </c>
      <c r="V1081">
        <v>119161.43</v>
      </c>
      <c r="W1081" t="s">
        <v>75</v>
      </c>
      <c r="X1081"/>
    </row>
    <row r="1082" spans="1:27">
      <c r="A1082" t="s">
        <v>28</v>
      </c>
      <c r="B1082" t="s">
        <v>29</v>
      </c>
      <c r="C1082" t="s">
        <v>3784</v>
      </c>
      <c r="D1082" t="s">
        <v>3784</v>
      </c>
      <c r="E1082" t="s">
        <v>3785</v>
      </c>
      <c r="F1082" t="s">
        <v>41</v>
      </c>
      <c r="G1082">
        <v>4</v>
      </c>
      <c r="H1082">
        <f>((0/1000) * G1082)</f>
        <v>0</v>
      </c>
      <c r="I1082">
        <v>0</v>
      </c>
      <c r="J1082">
        <v>4</v>
      </c>
      <c r="K1082" s="4303">
        <v>110544.5</v>
      </c>
      <c r="L1082" s="4304">
        <f>(K1082 * G1082)</f>
        <v>442178</v>
      </c>
      <c r="M1082" s="4305">
        <v>190909.09</v>
      </c>
      <c r="N1082" s="4306">
        <f>(G1082 * M1082)</f>
        <v>763636.36</v>
      </c>
      <c r="O1082">
        <v>0</v>
      </c>
      <c r="P1082">
        <v>0</v>
      </c>
      <c r="Q1082">
        <f>IF(O1082&gt;G1082,(O1082-G1082),0)</f>
        <v>0</v>
      </c>
      <c r="R1082">
        <v>0</v>
      </c>
      <c r="S1082">
        <f>IF(Q1082&gt;0,Int(P1082/Q1082),0)</f>
        <v>0</v>
      </c>
      <c r="T1082">
        <f>110544.5</f>
        <v>110544.5</v>
      </c>
      <c r="U1082" t="s">
        <v>3786</v>
      </c>
      <c r="V1082">
        <v>110544.5</v>
      </c>
      <c r="W1082" t="s">
        <v>2412</v>
      </c>
      <c r="X1082" t="s">
        <v>280</v>
      </c>
    </row>
    <row r="1083" spans="1:27">
      <c r="A1083" t="s">
        <v>35</v>
      </c>
      <c r="B1083" t="s">
        <v>29</v>
      </c>
      <c r="C1083" t="s">
        <v>380</v>
      </c>
      <c r="D1083" t="s">
        <v>3787</v>
      </c>
      <c r="E1083" t="s">
        <v>3788</v>
      </c>
      <c r="F1083" t="s">
        <v>33</v>
      </c>
      <c r="G1083">
        <v>0</v>
      </c>
      <c r="H1083">
        <f>((0/1000) * G1083)</f>
        <v>0</v>
      </c>
      <c r="I1083">
        <v>0</v>
      </c>
      <c r="J1083">
        <v>0</v>
      </c>
      <c r="K1083" s="4307">
        <v>130417.1</v>
      </c>
      <c r="L1083" s="4308">
        <f>(K1083 * G1083)</f>
        <v>0</v>
      </c>
      <c r="M1083" s="4309">
        <v>182545.45</v>
      </c>
      <c r="N1083" s="4310">
        <f>(G1083 * M1083)</f>
        <v>0</v>
      </c>
      <c r="O1083">
        <v>0</v>
      </c>
      <c r="P1083">
        <v>0</v>
      </c>
      <c r="Q1083">
        <f>IF(O1083&gt;G1083,(O1083-G1083),0)</f>
        <v>0</v>
      </c>
      <c r="R1083">
        <v>0</v>
      </c>
      <c r="S1083">
        <f>IF(Q1083&gt;0,Int(P1083/Q1083),0)</f>
        <v>0</v>
      </c>
      <c r="T1083">
        <f>130417.1</f>
        <v>130417.1</v>
      </c>
      <c r="U1083" t="s">
        <v>3789</v>
      </c>
      <c r="V1083">
        <v>130417.1</v>
      </c>
      <c r="W1083" t="s">
        <v>292</v>
      </c>
      <c r="X1083" t="s">
        <v>166</v>
      </c>
    </row>
    <row r="1084" spans="1:27">
      <c r="A1084" t="s">
        <v>28</v>
      </c>
      <c r="B1084" t="s">
        <v>29</v>
      </c>
      <c r="C1084" t="s">
        <v>3790</v>
      </c>
      <c r="D1084" t="s">
        <v>3791</v>
      </c>
      <c r="E1084" t="s">
        <v>3792</v>
      </c>
      <c r="F1084" t="s">
        <v>41</v>
      </c>
      <c r="G1084">
        <v>0</v>
      </c>
      <c r="H1084">
        <f>((0/1000) * G1084)</f>
        <v>0</v>
      </c>
      <c r="I1084">
        <v>0</v>
      </c>
      <c r="J1084">
        <v>0</v>
      </c>
      <c r="K1084" s="4311">
        <v>226446.29</v>
      </c>
      <c r="L1084" s="4312">
        <f>(K1084 * G1084)</f>
        <v>0</v>
      </c>
      <c r="M1084" s="4313">
        <v>249090.92</v>
      </c>
      <c r="N1084" s="4314">
        <f>(G1084 * M1084)</f>
        <v>0</v>
      </c>
      <c r="O1084">
        <v>0</v>
      </c>
      <c r="P1084">
        <v>0</v>
      </c>
      <c r="Q1084">
        <f>IF(O1084&gt;G1084,(O1084-G1084),0)</f>
        <v>0</v>
      </c>
      <c r="R1084">
        <v>1</v>
      </c>
      <c r="S1084">
        <f>IF(Q1084&gt;0,Int(P1084/Q1084),0)</f>
        <v>0</v>
      </c>
      <c r="T1084">
        <f>0</f>
        <v>0</v>
      </c>
      <c r="U1084"/>
      <c r="V1084">
        <v>226446.29</v>
      </c>
      <c r="W1084" t="s">
        <v>43</v>
      </c>
      <c r="X1084"/>
    </row>
    <row r="1085" spans="1:27">
      <c r="A1085" t="s">
        <v>28</v>
      </c>
      <c r="B1085" t="s">
        <v>29</v>
      </c>
      <c r="C1085" t="s">
        <v>3793</v>
      </c>
      <c r="D1085" t="s">
        <v>3794</v>
      </c>
      <c r="E1085" t="s">
        <v>3795</v>
      </c>
      <c r="F1085" t="s">
        <v>33</v>
      </c>
      <c r="G1085">
        <v>0</v>
      </c>
      <c r="H1085">
        <f>((0/1000) * G1085)</f>
        <v>0</v>
      </c>
      <c r="I1085">
        <v>0</v>
      </c>
      <c r="J1085">
        <v>0</v>
      </c>
      <c r="K1085" s="4315">
        <v>43094.19</v>
      </c>
      <c r="L1085" s="4316">
        <f>(K1085 * G1085)</f>
        <v>0</v>
      </c>
      <c r="M1085" s="4317">
        <v>60331.86</v>
      </c>
      <c r="N1085" s="4318">
        <f>(G1085 * M1085)</f>
        <v>0</v>
      </c>
      <c r="O1085">
        <v>0</v>
      </c>
      <c r="P1085">
        <v>0</v>
      </c>
      <c r="Q1085">
        <f>IF(O1085&gt;G1085,(O1085-G1085),0)</f>
        <v>0</v>
      </c>
      <c r="R1085">
        <v>1</v>
      </c>
      <c r="S1085">
        <f>IF(Q1085&gt;0,Int(P1085/Q1085),0)</f>
        <v>0</v>
      </c>
      <c r="T1085">
        <f>0</f>
        <v>0</v>
      </c>
      <c r="U1085"/>
      <c r="V1085">
        <v>43094.19</v>
      </c>
      <c r="W1085" t="s">
        <v>75</v>
      </c>
      <c r="X1085"/>
    </row>
    <row r="1086" spans="1:27">
      <c r="A1086" t="s">
        <v>28</v>
      </c>
      <c r="B1086" t="s">
        <v>29</v>
      </c>
      <c r="C1086" t="s">
        <v>3796</v>
      </c>
      <c r="D1086" t="s">
        <v>3797</v>
      </c>
      <c r="E1086" t="s">
        <v>3798</v>
      </c>
      <c r="F1086" t="s">
        <v>41</v>
      </c>
      <c r="G1086">
        <v>0</v>
      </c>
      <c r="H1086">
        <f>((0/1000) * G1086)</f>
        <v>0</v>
      </c>
      <c r="I1086">
        <v>0</v>
      </c>
      <c r="J1086">
        <v>0</v>
      </c>
      <c r="K1086" s="4319">
        <v>108909.09</v>
      </c>
      <c r="L1086" s="4320">
        <f>(K1086 * G1086)</f>
        <v>0</v>
      </c>
      <c r="M1086" s="4321">
        <v>152472.73</v>
      </c>
      <c r="N1086" s="4322">
        <f>(G1086 * M1086)</f>
        <v>0</v>
      </c>
      <c r="O1086">
        <v>0</v>
      </c>
      <c r="P1086">
        <v>0</v>
      </c>
      <c r="Q1086">
        <f>IF(O1086&gt;G1086,(O1086-G1086),0)</f>
        <v>0</v>
      </c>
      <c r="R1086">
        <v>1</v>
      </c>
      <c r="S1086">
        <f>IF(Q1086&gt;0,Int(P1086/Q1086),0)</f>
        <v>0</v>
      </c>
      <c r="T1086">
        <f>90007.51</f>
        <v>90007.51</v>
      </c>
      <c r="U1086" t="s">
        <v>3799</v>
      </c>
      <c r="V1086">
        <v>108909.09</v>
      </c>
      <c r="W1086" t="s">
        <v>75</v>
      </c>
      <c r="X1086" t="s">
        <v>280</v>
      </c>
    </row>
    <row r="1087" spans="1:27">
      <c r="A1087" t="s">
        <v>28</v>
      </c>
      <c r="B1087" t="s">
        <v>29</v>
      </c>
      <c r="C1087" t="s">
        <v>3800</v>
      </c>
      <c r="D1087" t="s">
        <v>3801</v>
      </c>
      <c r="E1087" t="s">
        <v>3802</v>
      </c>
      <c r="F1087" t="s">
        <v>33</v>
      </c>
      <c r="G1087">
        <v>0</v>
      </c>
      <c r="H1087">
        <f>((0/1000) * G1087)</f>
        <v>0</v>
      </c>
      <c r="I1087">
        <v>0</v>
      </c>
      <c r="J1087">
        <v>0</v>
      </c>
      <c r="K1087" s="4323">
        <v>216033.14</v>
      </c>
      <c r="L1087" s="4324">
        <f>(K1087 * G1087)</f>
        <v>0</v>
      </c>
      <c r="M1087" s="4325">
        <v>237636.45</v>
      </c>
      <c r="N1087" s="4326">
        <f>(G1087 * M1087)</f>
        <v>0</v>
      </c>
      <c r="O1087">
        <v>0</v>
      </c>
      <c r="P1087">
        <v>0</v>
      </c>
      <c r="Q1087">
        <f>IF(O1087&gt;G1087,(O1087-G1087),0)</f>
        <v>0</v>
      </c>
      <c r="R1087">
        <v>1</v>
      </c>
      <c r="S1087">
        <f>IF(Q1087&gt;0,Int(P1087/Q1087),0)</f>
        <v>0</v>
      </c>
      <c r="T1087">
        <f>196393.76</f>
        <v>196393.76</v>
      </c>
      <c r="U1087" t="s">
        <v>3803</v>
      </c>
      <c r="V1087">
        <v>216033.14</v>
      </c>
      <c r="W1087" t="s">
        <v>43</v>
      </c>
      <c r="X1087"/>
    </row>
    <row r="1088" spans="1:27">
      <c r="A1088" t="s">
        <v>28</v>
      </c>
      <c r="B1088" t="s">
        <v>29</v>
      </c>
      <c r="C1088" t="s">
        <v>3804</v>
      </c>
      <c r="D1088" t="s">
        <v>3805</v>
      </c>
      <c r="E1088" t="s">
        <v>3806</v>
      </c>
      <c r="F1088" t="s">
        <v>41</v>
      </c>
      <c r="G1088">
        <v>0</v>
      </c>
      <c r="H1088">
        <f>((0/1000) * G1088)</f>
        <v>0</v>
      </c>
      <c r="I1088">
        <v>0</v>
      </c>
      <c r="J1088">
        <v>0</v>
      </c>
      <c r="K1088" s="4327">
        <v>240495.87</v>
      </c>
      <c r="L1088" s="4328">
        <f>(K1088 * G1088)</f>
        <v>0</v>
      </c>
      <c r="M1088" s="4329">
        <v>264545.46</v>
      </c>
      <c r="N1088" s="4330">
        <f>(G1088 * M1088)</f>
        <v>0</v>
      </c>
      <c r="O1088">
        <v>0</v>
      </c>
      <c r="P1088">
        <v>0</v>
      </c>
      <c r="Q1088">
        <f>IF(O1088&gt;G1088,(O1088-G1088),0)</f>
        <v>0</v>
      </c>
      <c r="R1088">
        <v>1</v>
      </c>
      <c r="S1088">
        <f>IF(Q1088&gt;0,Int(P1088/Q1088),0)</f>
        <v>0</v>
      </c>
      <c r="T1088">
        <f>0</f>
        <v>0</v>
      </c>
      <c r="U1088"/>
      <c r="V1088">
        <v>240495.87</v>
      </c>
      <c r="W1088" t="s">
        <v>43</v>
      </c>
      <c r="X1088"/>
    </row>
    <row r="1089" spans="1:27">
      <c r="A1089" t="s">
        <v>28</v>
      </c>
      <c r="B1089" t="s">
        <v>29</v>
      </c>
      <c r="C1089" t="s">
        <v>3807</v>
      </c>
      <c r="D1089" t="s">
        <v>3808</v>
      </c>
      <c r="E1089" t="s">
        <v>3809</v>
      </c>
      <c r="F1089" t="s">
        <v>41</v>
      </c>
      <c r="G1089">
        <v>0</v>
      </c>
      <c r="H1089">
        <f>((0/1000) * G1089)</f>
        <v>0</v>
      </c>
      <c r="I1089">
        <v>0</v>
      </c>
      <c r="J1089">
        <v>0</v>
      </c>
      <c r="K1089" s="4331">
        <v>0</v>
      </c>
      <c r="L1089" s="4332">
        <f>(K1089 * G1089)</f>
        <v>0</v>
      </c>
      <c r="M1089" s="4333">
        <v>0</v>
      </c>
      <c r="N1089" s="4334">
        <f>(G1089 * M1089)</f>
        <v>0</v>
      </c>
      <c r="O1089">
        <v>0</v>
      </c>
      <c r="P1089">
        <v>0</v>
      </c>
      <c r="Q1089">
        <f>IF(O1089&gt;G1089,(O1089-G1089),0)</f>
        <v>0</v>
      </c>
      <c r="R1089">
        <v>1</v>
      </c>
      <c r="S1089">
        <f>IF(Q1089&gt;0,Int(P1089/Q1089),0)</f>
        <v>0</v>
      </c>
      <c r="T1089">
        <f>52650</f>
        <v>52650</v>
      </c>
      <c r="U1089" t="s">
        <v>3810</v>
      </c>
      <c r="V1089">
        <v>0</v>
      </c>
      <c r="W1089">
        <v>0</v>
      </c>
      <c r="X1089"/>
    </row>
    <row r="1090" spans="1:27">
      <c r="A1090" t="s">
        <v>28</v>
      </c>
      <c r="B1090" t="s">
        <v>29</v>
      </c>
      <c r="C1090" t="s">
        <v>3811</v>
      </c>
      <c r="D1090" t="s">
        <v>3812</v>
      </c>
      <c r="E1090" t="s">
        <v>3813</v>
      </c>
      <c r="F1090" t="s">
        <v>41</v>
      </c>
      <c r="G1090">
        <v>0</v>
      </c>
      <c r="H1090">
        <f>((0/1000) * G1090)</f>
        <v>0</v>
      </c>
      <c r="I1090">
        <v>0</v>
      </c>
      <c r="J1090">
        <v>0</v>
      </c>
      <c r="K1090" s="4335">
        <v>150000.4</v>
      </c>
      <c r="L1090" s="4336">
        <f>(K1090 * G1090)</f>
        <v>0</v>
      </c>
      <c r="M1090" s="4337">
        <v>210000.56</v>
      </c>
      <c r="N1090" s="4338">
        <f>(G1090 * M1090)</f>
        <v>0</v>
      </c>
      <c r="O1090">
        <v>0</v>
      </c>
      <c r="P1090">
        <v>0</v>
      </c>
      <c r="Q1090">
        <f>IF(O1090&gt;G1090,(O1090-G1090),0)</f>
        <v>0</v>
      </c>
      <c r="R1090">
        <v>1</v>
      </c>
      <c r="S1090">
        <f>IF(Q1090&gt;0,Int(P1090/Q1090),0)</f>
        <v>0</v>
      </c>
      <c r="T1090">
        <f>139628.27</f>
        <v>139628.27</v>
      </c>
      <c r="U1090" t="s">
        <v>3814</v>
      </c>
      <c r="V1090">
        <v>150000.4</v>
      </c>
      <c r="W1090" t="s">
        <v>75</v>
      </c>
      <c r="X1090"/>
    </row>
    <row r="1091" spans="1:27">
      <c r="A1091" t="s">
        <v>35</v>
      </c>
      <c r="B1091" t="s">
        <v>29</v>
      </c>
      <c r="C1091" t="s">
        <v>3815</v>
      </c>
      <c r="D1091" t="s">
        <v>3816</v>
      </c>
      <c r="E1091" t="s">
        <v>3817</v>
      </c>
      <c r="F1091" t="s">
        <v>41</v>
      </c>
      <c r="G1091">
        <v>0</v>
      </c>
      <c r="H1091">
        <f>((1/1000) * G1091)</f>
        <v>0</v>
      </c>
      <c r="I1091">
        <v>0</v>
      </c>
      <c r="J1091">
        <v>0</v>
      </c>
      <c r="K1091" s="4339">
        <v>207042.48</v>
      </c>
      <c r="L1091" s="4340">
        <f>(K1091 * G1091)</f>
        <v>0</v>
      </c>
      <c r="M1091" s="4341">
        <v>227746.73</v>
      </c>
      <c r="N1091" s="4342">
        <f>(G1091 * M1091)</f>
        <v>0</v>
      </c>
      <c r="O1091">
        <v>0</v>
      </c>
      <c r="P1091">
        <v>0</v>
      </c>
      <c r="Q1091">
        <f>IF(O1091&gt;G1091,(O1091-G1091),0)</f>
        <v>0</v>
      </c>
      <c r="R1091">
        <v>1</v>
      </c>
      <c r="S1091">
        <f>IF(Q1091&gt;0,Int(P1091/Q1091),0)</f>
        <v>0</v>
      </c>
      <c r="T1091">
        <f>0</f>
        <v>0</v>
      </c>
      <c r="U1091"/>
      <c r="V1091">
        <v>207042.48</v>
      </c>
      <c r="W1091" t="s">
        <v>43</v>
      </c>
      <c r="X1091"/>
    </row>
    <row r="1092" spans="1:27">
      <c r="A1092" t="s">
        <v>28</v>
      </c>
      <c r="B1092" t="s">
        <v>29</v>
      </c>
      <c r="C1092" t="s">
        <v>3818</v>
      </c>
      <c r="D1092" t="s">
        <v>3819</v>
      </c>
      <c r="E1092" t="s">
        <v>3820</v>
      </c>
      <c r="F1092" t="s">
        <v>33</v>
      </c>
      <c r="G1092">
        <v>0</v>
      </c>
      <c r="H1092">
        <f>((0/1000) * G1092)</f>
        <v>0</v>
      </c>
      <c r="I1092">
        <v>0</v>
      </c>
      <c r="J1092">
        <v>0</v>
      </c>
      <c r="K1092" s="4343">
        <v>109046.36</v>
      </c>
      <c r="L1092" s="4344">
        <f>(K1092 * G1092)</f>
        <v>0</v>
      </c>
      <c r="M1092" s="4345">
        <v>152664.9</v>
      </c>
      <c r="N1092" s="4346">
        <f>(G1092 * M1092)</f>
        <v>0</v>
      </c>
      <c r="O1092">
        <v>0</v>
      </c>
      <c r="P1092">
        <v>0</v>
      </c>
      <c r="Q1092">
        <f>IF(O1092&gt;G1092,(O1092-G1092),0)</f>
        <v>0</v>
      </c>
      <c r="R1092">
        <v>1</v>
      </c>
      <c r="S1092">
        <f>IF(Q1092&gt;0,Int(P1092/Q1092),0)</f>
        <v>0</v>
      </c>
      <c r="T1092">
        <f>99133.05</f>
        <v>99133.05</v>
      </c>
      <c r="U1092" t="s">
        <v>3821</v>
      </c>
      <c r="V1092">
        <v>109046.36</v>
      </c>
      <c r="W1092" t="s">
        <v>75</v>
      </c>
      <c r="X1092"/>
    </row>
    <row r="1093" spans="1:27">
      <c r="A1093" t="s">
        <v>28</v>
      </c>
      <c r="B1093" t="s">
        <v>29</v>
      </c>
      <c r="C1093" t="s">
        <v>3822</v>
      </c>
      <c r="D1093" t="s">
        <v>3823</v>
      </c>
      <c r="E1093" t="s">
        <v>3824</v>
      </c>
      <c r="F1093" t="s">
        <v>33</v>
      </c>
      <c r="G1093">
        <v>0</v>
      </c>
      <c r="H1093">
        <f>((0/1000) * G1093)</f>
        <v>0</v>
      </c>
      <c r="I1093">
        <v>0</v>
      </c>
      <c r="J1093">
        <v>0</v>
      </c>
      <c r="K1093" s="4347">
        <v>127515.94</v>
      </c>
      <c r="L1093" s="4348">
        <f>(K1093 * G1093)</f>
        <v>0</v>
      </c>
      <c r="M1093" s="4349">
        <v>178522.31</v>
      </c>
      <c r="N1093" s="4350">
        <f>(G1093 * M1093)</f>
        <v>0</v>
      </c>
      <c r="O1093">
        <v>0</v>
      </c>
      <c r="P1093">
        <v>0</v>
      </c>
      <c r="Q1093">
        <f>IF(O1093&gt;G1093,(O1093-G1093),0)</f>
        <v>0</v>
      </c>
      <c r="R1093">
        <v>0</v>
      </c>
      <c r="S1093">
        <f>IF(Q1093&gt;0,Int(P1093/Q1093),0)</f>
        <v>0</v>
      </c>
      <c r="T1093">
        <f>0</f>
        <v>0</v>
      </c>
      <c r="U1093"/>
      <c r="V1093">
        <v>127515.94</v>
      </c>
      <c r="W1093" t="s">
        <v>529</v>
      </c>
      <c r="X1093"/>
    </row>
    <row r="1094" spans="1:27">
      <c r="A1094" t="s">
        <v>28</v>
      </c>
      <c r="B1094" t="s">
        <v>29</v>
      </c>
      <c r="C1094" t="s">
        <v>388</v>
      </c>
      <c r="D1094" t="s">
        <v>3825</v>
      </c>
      <c r="E1094" t="s">
        <v>3826</v>
      </c>
      <c r="F1094" t="s">
        <v>33</v>
      </c>
      <c r="G1094">
        <v>0</v>
      </c>
      <c r="H1094">
        <f>((0/1000) * G1094)</f>
        <v>0</v>
      </c>
      <c r="I1094">
        <v>0</v>
      </c>
      <c r="J1094">
        <v>0</v>
      </c>
      <c r="K1094" s="4351">
        <v>132020.43</v>
      </c>
      <c r="L1094" s="4352">
        <f>(K1094 * G1094)</f>
        <v>0</v>
      </c>
      <c r="M1094" s="4353">
        <v>184828.6</v>
      </c>
      <c r="N1094" s="4354">
        <f>(G1094 * M1094)</f>
        <v>0</v>
      </c>
      <c r="O1094">
        <v>0</v>
      </c>
      <c r="P1094">
        <v>0</v>
      </c>
      <c r="Q1094">
        <f>IF(O1094&gt;G1094,(O1094-G1094),0)</f>
        <v>0</v>
      </c>
      <c r="R1094">
        <v>0</v>
      </c>
      <c r="S1094">
        <f>IF(Q1094&gt;0,Int(P1094/Q1094),0)</f>
        <v>0</v>
      </c>
      <c r="T1094">
        <f>0</f>
        <v>0</v>
      </c>
      <c r="U1094"/>
      <c r="V1094">
        <v>132020.43</v>
      </c>
      <c r="W1094" t="s">
        <v>75</v>
      </c>
      <c r="X1094"/>
    </row>
    <row r="1095" spans="1:27">
      <c r="A1095" t="s">
        <v>28</v>
      </c>
      <c r="B1095" t="s">
        <v>29</v>
      </c>
      <c r="C1095" t="s">
        <v>3827</v>
      </c>
      <c r="D1095" t="s">
        <v>3828</v>
      </c>
      <c r="E1095" t="s">
        <v>3829</v>
      </c>
      <c r="F1095" t="s">
        <v>33</v>
      </c>
      <c r="G1095">
        <v>0</v>
      </c>
      <c r="H1095">
        <f>((0/1000) * G1095)</f>
        <v>0</v>
      </c>
      <c r="I1095">
        <v>0</v>
      </c>
      <c r="J1095">
        <v>0</v>
      </c>
      <c r="K1095" s="4355">
        <v>152619.41</v>
      </c>
      <c r="L1095" s="4356">
        <f>(K1095 * G1095)</f>
        <v>0</v>
      </c>
      <c r="M1095" s="4357">
        <v>213667.18</v>
      </c>
      <c r="N1095" s="4358">
        <f>(G1095 * M1095)</f>
        <v>0</v>
      </c>
      <c r="O1095">
        <v>0</v>
      </c>
      <c r="P1095">
        <v>0</v>
      </c>
      <c r="Q1095">
        <f>IF(O1095&gt;G1095,(O1095-G1095),0)</f>
        <v>0</v>
      </c>
      <c r="R1095">
        <v>1</v>
      </c>
      <c r="S1095">
        <f>IF(Q1095&gt;0,Int(P1095/Q1095),0)</f>
        <v>0</v>
      </c>
      <c r="T1095">
        <f>152619.41</f>
        <v>152619.41</v>
      </c>
      <c r="U1095" t="s">
        <v>3830</v>
      </c>
      <c r="V1095">
        <v>152619.41</v>
      </c>
      <c r="W1095" t="s">
        <v>48</v>
      </c>
      <c r="X1095" t="s">
        <v>239</v>
      </c>
    </row>
    <row r="1096" spans="1:27">
      <c r="A1096" t="s">
        <v>35</v>
      </c>
      <c r="B1096" t="s">
        <v>29</v>
      </c>
      <c r="C1096" t="s">
        <v>3831</v>
      </c>
      <c r="D1096" t="s">
        <v>3832</v>
      </c>
      <c r="E1096" t="s">
        <v>3833</v>
      </c>
      <c r="F1096" t="s">
        <v>33</v>
      </c>
      <c r="G1096">
        <v>0</v>
      </c>
      <c r="H1096">
        <f>((0/1000) * G1096)</f>
        <v>0</v>
      </c>
      <c r="I1096">
        <v>0</v>
      </c>
      <c r="J1096">
        <v>0</v>
      </c>
      <c r="K1096" s="4359">
        <v>119589.8</v>
      </c>
      <c r="L1096" s="4360">
        <f>(K1096 * G1096)</f>
        <v>0</v>
      </c>
      <c r="M1096" s="4361">
        <v>168181.82</v>
      </c>
      <c r="N1096" s="4362">
        <f>(G1096 * M1096)</f>
        <v>0</v>
      </c>
      <c r="O1096">
        <v>0</v>
      </c>
      <c r="P1096">
        <v>0</v>
      </c>
      <c r="Q1096">
        <f>IF(O1096&gt;G1096,(O1096-G1096),0)</f>
        <v>0</v>
      </c>
      <c r="R1096">
        <v>1</v>
      </c>
      <c r="S1096">
        <f>IF(Q1096&gt;0,Int(P1096/Q1096),0)</f>
        <v>0</v>
      </c>
      <c r="T1096">
        <f>119589.8</f>
        <v>119589.8</v>
      </c>
      <c r="U1096" t="s">
        <v>650</v>
      </c>
      <c r="V1096">
        <v>119589.8</v>
      </c>
      <c r="W1096" t="s">
        <v>577</v>
      </c>
      <c r="X1096" t="s">
        <v>753</v>
      </c>
    </row>
    <row r="1097" spans="1:27">
      <c r="A1097" t="s">
        <v>28</v>
      </c>
      <c r="B1097" t="s">
        <v>29</v>
      </c>
      <c r="C1097" t="s">
        <v>3834</v>
      </c>
      <c r="D1097" t="s">
        <v>3835</v>
      </c>
      <c r="E1097" t="s">
        <v>3836</v>
      </c>
      <c r="F1097" t="s">
        <v>41</v>
      </c>
      <c r="G1097">
        <v>0</v>
      </c>
      <c r="H1097">
        <f>((0/1000) * G1097)</f>
        <v>0</v>
      </c>
      <c r="I1097">
        <v>0</v>
      </c>
      <c r="J1097">
        <v>0</v>
      </c>
      <c r="K1097" s="4363">
        <v>264710.74</v>
      </c>
      <c r="L1097" s="4364">
        <f>(K1097 * G1097)</f>
        <v>0</v>
      </c>
      <c r="M1097" s="4365">
        <v>291181.82</v>
      </c>
      <c r="N1097" s="4366">
        <f>(G1097 * M1097)</f>
        <v>0</v>
      </c>
      <c r="O1097">
        <v>0</v>
      </c>
      <c r="P1097">
        <v>0</v>
      </c>
      <c r="Q1097">
        <f>IF(O1097&gt;G1097,(O1097-G1097),0)</f>
        <v>0</v>
      </c>
      <c r="R1097">
        <v>1</v>
      </c>
      <c r="S1097">
        <f>IF(Q1097&gt;0,Int(P1097/Q1097),0)</f>
        <v>0</v>
      </c>
      <c r="T1097">
        <f>0</f>
        <v>0</v>
      </c>
      <c r="U1097"/>
      <c r="V1097">
        <v>264710.74</v>
      </c>
      <c r="W1097" t="s">
        <v>43</v>
      </c>
      <c r="X1097"/>
    </row>
    <row r="1098" spans="1:27">
      <c r="A1098" t="s">
        <v>28</v>
      </c>
      <c r="B1098" t="s">
        <v>29</v>
      </c>
      <c r="C1098" t="s">
        <v>3837</v>
      </c>
      <c r="D1098" t="s">
        <v>3838</v>
      </c>
      <c r="E1098" t="s">
        <v>3839</v>
      </c>
      <c r="F1098" t="s">
        <v>41</v>
      </c>
      <c r="G1098">
        <v>0</v>
      </c>
      <c r="H1098">
        <f>((0/1000) * G1098)</f>
        <v>0</v>
      </c>
      <c r="I1098">
        <v>0</v>
      </c>
      <c r="J1098">
        <v>0</v>
      </c>
      <c r="K1098" s="4367">
        <v>195772.25</v>
      </c>
      <c r="L1098" s="4368">
        <f>(K1098 * G1098)</f>
        <v>0</v>
      </c>
      <c r="M1098" s="4369">
        <v>215349.48</v>
      </c>
      <c r="N1098" s="4370">
        <f>(G1098 * M1098)</f>
        <v>0</v>
      </c>
      <c r="O1098">
        <v>0</v>
      </c>
      <c r="P1098">
        <v>0</v>
      </c>
      <c r="Q1098">
        <f>IF(O1098&gt;G1098,(O1098-G1098),0)</f>
        <v>0</v>
      </c>
      <c r="R1098">
        <v>1</v>
      </c>
      <c r="S1098">
        <f>IF(Q1098&gt;0,Int(P1098/Q1098),0)</f>
        <v>0</v>
      </c>
      <c r="T1098">
        <f>177974.77</f>
        <v>177974.77</v>
      </c>
      <c r="U1098" t="s">
        <v>3840</v>
      </c>
      <c r="V1098">
        <v>195772.25</v>
      </c>
      <c r="W1098" t="s">
        <v>43</v>
      </c>
      <c r="X1098" t="s">
        <v>275</v>
      </c>
    </row>
    <row r="1099" spans="1:27">
      <c r="A1099" t="s">
        <v>28</v>
      </c>
      <c r="B1099" t="s">
        <v>29</v>
      </c>
      <c r="C1099" t="s">
        <v>3841</v>
      </c>
      <c r="D1099" t="s">
        <v>3842</v>
      </c>
      <c r="E1099" t="s">
        <v>3843</v>
      </c>
      <c r="F1099" t="s">
        <v>41</v>
      </c>
      <c r="G1099">
        <v>0</v>
      </c>
      <c r="H1099">
        <f>((0/1000) * G1099)</f>
        <v>0</v>
      </c>
      <c r="I1099">
        <v>0</v>
      </c>
      <c r="J1099">
        <v>0</v>
      </c>
      <c r="K1099" s="4371">
        <v>219008.26</v>
      </c>
      <c r="L1099" s="4372">
        <f>(K1099 * G1099)</f>
        <v>0</v>
      </c>
      <c r="M1099" s="4373">
        <v>240909.09</v>
      </c>
      <c r="N1099" s="4374">
        <f>(G1099 * M1099)</f>
        <v>0</v>
      </c>
      <c r="O1099">
        <v>0</v>
      </c>
      <c r="P1099">
        <v>0</v>
      </c>
      <c r="Q1099">
        <f>IF(O1099&gt;G1099,(O1099-G1099),0)</f>
        <v>0</v>
      </c>
      <c r="R1099">
        <v>1</v>
      </c>
      <c r="S1099">
        <f>IF(Q1099&gt;0,Int(P1099/Q1099),0)</f>
        <v>0</v>
      </c>
      <c r="T1099">
        <f>0</f>
        <v>0</v>
      </c>
      <c r="U1099"/>
      <c r="V1099">
        <v>219008.26</v>
      </c>
      <c r="W1099" t="s">
        <v>43</v>
      </c>
      <c r="X1099"/>
    </row>
    <row r="1100" spans="1:27">
      <c r="A1100" t="s">
        <v>28</v>
      </c>
      <c r="B1100" t="s">
        <v>29</v>
      </c>
      <c r="C1100" t="s">
        <v>3844</v>
      </c>
      <c r="D1100" t="s">
        <v>3845</v>
      </c>
      <c r="E1100" t="s">
        <v>3846</v>
      </c>
      <c r="F1100" t="s">
        <v>41</v>
      </c>
      <c r="G1100">
        <v>0</v>
      </c>
      <c r="H1100">
        <f>((0/1000) * G1100)</f>
        <v>0</v>
      </c>
      <c r="I1100">
        <v>0</v>
      </c>
      <c r="J1100">
        <v>0</v>
      </c>
      <c r="K1100" s="4375">
        <v>68925.62</v>
      </c>
      <c r="L1100" s="4376">
        <f>(K1100 * G1100)</f>
        <v>0</v>
      </c>
      <c r="M1100" s="4377">
        <v>96495.87</v>
      </c>
      <c r="N1100" s="4378">
        <f>(G1100 * M1100)</f>
        <v>0</v>
      </c>
      <c r="O1100">
        <v>0</v>
      </c>
      <c r="P1100">
        <v>0</v>
      </c>
      <c r="Q1100">
        <f>IF(O1100&gt;G1100,(O1100-G1100),0)</f>
        <v>0</v>
      </c>
      <c r="R1100">
        <v>1</v>
      </c>
      <c r="S1100">
        <f>IF(Q1100&gt;0,Int(P1100/Q1100),0)</f>
        <v>0</v>
      </c>
      <c r="T1100">
        <f>29274.38</f>
        <v>29274.38</v>
      </c>
      <c r="U1100" t="s">
        <v>3847</v>
      </c>
      <c r="V1100">
        <v>68925.62</v>
      </c>
      <c r="W1100" t="s">
        <v>75</v>
      </c>
      <c r="X1100"/>
    </row>
    <row r="1101" spans="1:27">
      <c r="A1101" t="s">
        <v>28</v>
      </c>
      <c r="B1101" t="s">
        <v>29</v>
      </c>
      <c r="C1101" t="s">
        <v>3848</v>
      </c>
      <c r="D1101" t="s">
        <v>3849</v>
      </c>
      <c r="E1101" t="s">
        <v>3850</v>
      </c>
      <c r="F1101" t="s">
        <v>33</v>
      </c>
      <c r="G1101">
        <v>0</v>
      </c>
      <c r="H1101">
        <f>((0/1000) * G1101)</f>
        <v>0</v>
      </c>
      <c r="I1101">
        <v>0</v>
      </c>
      <c r="J1101">
        <v>0</v>
      </c>
      <c r="K1101" s="4379">
        <v>209473.97</v>
      </c>
      <c r="L1101" s="4380">
        <f>(K1101 * G1101)</f>
        <v>0</v>
      </c>
      <c r="M1101" s="4381">
        <v>293263.56</v>
      </c>
      <c r="N1101" s="4382">
        <f>(G1101 * M1101)</f>
        <v>0</v>
      </c>
      <c r="O1101">
        <v>0</v>
      </c>
      <c r="P1101">
        <v>0</v>
      </c>
      <c r="Q1101">
        <f>IF(O1101&gt;G1101,(O1101-G1101),0)</f>
        <v>0</v>
      </c>
      <c r="R1101">
        <v>1</v>
      </c>
      <c r="S1101">
        <f>IF(Q1101&gt;0,Int(P1101/Q1101),0)</f>
        <v>0</v>
      </c>
      <c r="T1101">
        <f>200658.9</f>
        <v>200658.9</v>
      </c>
      <c r="U1101" t="s">
        <v>3851</v>
      </c>
      <c r="V1101">
        <v>209473.97</v>
      </c>
      <c r="W1101" t="s">
        <v>182</v>
      </c>
      <c r="X1101"/>
    </row>
    <row r="1102" spans="1:27">
      <c r="A1102" t="s">
        <v>28</v>
      </c>
      <c r="B1102" t="s">
        <v>29</v>
      </c>
      <c r="C1102" t="s">
        <v>3852</v>
      </c>
      <c r="D1102" t="s">
        <v>3853</v>
      </c>
      <c r="E1102" t="s">
        <v>3854</v>
      </c>
      <c r="F1102" t="s">
        <v>33</v>
      </c>
      <c r="G1102">
        <v>0</v>
      </c>
      <c r="H1102">
        <f>((0/1000) * G1102)</f>
        <v>0</v>
      </c>
      <c r="I1102">
        <v>0</v>
      </c>
      <c r="J1102">
        <v>0</v>
      </c>
      <c r="K1102" s="4383">
        <v>112277</v>
      </c>
      <c r="L1102" s="4384">
        <f>(K1102 * G1102)</f>
        <v>0</v>
      </c>
      <c r="M1102" s="4385">
        <v>157187.8</v>
      </c>
      <c r="N1102" s="4386">
        <f>(G1102 * M1102)</f>
        <v>0</v>
      </c>
      <c r="O1102">
        <v>0</v>
      </c>
      <c r="P1102">
        <v>0</v>
      </c>
      <c r="Q1102">
        <f>IF(O1102&gt;G1102,(O1102-G1102),0)</f>
        <v>0</v>
      </c>
      <c r="R1102">
        <v>1</v>
      </c>
      <c r="S1102">
        <f>IF(Q1102&gt;0,Int(P1102/Q1102),0)</f>
        <v>0</v>
      </c>
      <c r="T1102">
        <f>123506.08</f>
        <v>123506.08</v>
      </c>
      <c r="U1102" t="s">
        <v>3855</v>
      </c>
      <c r="V1102">
        <v>112277</v>
      </c>
      <c r="W1102" t="s">
        <v>75</v>
      </c>
      <c r="X1102"/>
    </row>
    <row r="1103" spans="1:27">
      <c r="A1103" t="s">
        <v>28</v>
      </c>
      <c r="B1103" t="s">
        <v>29</v>
      </c>
      <c r="C1103" t="s">
        <v>3856</v>
      </c>
      <c r="D1103" t="s">
        <v>3857</v>
      </c>
      <c r="E1103" t="s">
        <v>3858</v>
      </c>
      <c r="F1103" t="s">
        <v>33</v>
      </c>
      <c r="G1103">
        <v>0</v>
      </c>
      <c r="H1103">
        <f>((0/1000) * G1103)</f>
        <v>0</v>
      </c>
      <c r="I1103">
        <v>0</v>
      </c>
      <c r="J1103">
        <v>0</v>
      </c>
      <c r="K1103" s="4387">
        <v>148202.21</v>
      </c>
      <c r="L1103" s="4388">
        <f>(K1103 * G1103)</f>
        <v>0</v>
      </c>
      <c r="M1103" s="4389">
        <v>207483.1</v>
      </c>
      <c r="N1103" s="4390">
        <f>(G1103 * M1103)</f>
        <v>0</v>
      </c>
      <c r="O1103">
        <v>0</v>
      </c>
      <c r="P1103">
        <v>0</v>
      </c>
      <c r="Q1103">
        <f>IF(O1103&gt;G1103,(O1103-G1103),0)</f>
        <v>0</v>
      </c>
      <c r="R1103">
        <v>1</v>
      </c>
      <c r="S1103">
        <f>IF(Q1103&gt;0,Int(P1103/Q1103),0)</f>
        <v>0</v>
      </c>
      <c r="T1103">
        <f>128099.17</f>
        <v>128099.17</v>
      </c>
      <c r="U1103" t="s">
        <v>3859</v>
      </c>
      <c r="V1103">
        <v>148202.21</v>
      </c>
      <c r="W1103" t="s">
        <v>75</v>
      </c>
      <c r="X1103"/>
    </row>
    <row r="1104" spans="1:27">
      <c r="A1104" t="s">
        <v>28</v>
      </c>
      <c r="B1104" t="s">
        <v>29</v>
      </c>
      <c r="C1104" t="s">
        <v>3860</v>
      </c>
      <c r="D1104" t="s">
        <v>3861</v>
      </c>
      <c r="E1104" t="s">
        <v>3862</v>
      </c>
      <c r="F1104" t="s">
        <v>33</v>
      </c>
      <c r="G1104">
        <v>0</v>
      </c>
      <c r="H1104">
        <f>((0/1000) * G1104)</f>
        <v>0</v>
      </c>
      <c r="I1104">
        <v>0</v>
      </c>
      <c r="J1104">
        <v>0</v>
      </c>
      <c r="K1104" s="4391">
        <v>133644.23</v>
      </c>
      <c r="L1104" s="4392">
        <f>(K1104 * G1104)</f>
        <v>0</v>
      </c>
      <c r="M1104" s="4393">
        <v>187101.92</v>
      </c>
      <c r="N1104" s="4394">
        <f>(G1104 * M1104)</f>
        <v>0</v>
      </c>
      <c r="O1104">
        <v>0</v>
      </c>
      <c r="P1104">
        <v>0</v>
      </c>
      <c r="Q1104">
        <f>IF(O1104&gt;G1104,(O1104-G1104),0)</f>
        <v>0</v>
      </c>
      <c r="R1104">
        <v>1</v>
      </c>
      <c r="S1104">
        <f>IF(Q1104&gt;0,Int(P1104/Q1104),0)</f>
        <v>0</v>
      </c>
      <c r="T1104">
        <f>121494.75</f>
        <v>121494.75</v>
      </c>
      <c r="U1104" t="s">
        <v>3863</v>
      </c>
      <c r="V1104">
        <v>133644.23</v>
      </c>
      <c r="W1104" t="s">
        <v>75</v>
      </c>
      <c r="X1104"/>
    </row>
    <row r="1105" spans="1:27">
      <c r="A1105" t="s">
        <v>28</v>
      </c>
      <c r="B1105" t="s">
        <v>29</v>
      </c>
      <c r="C1105" t="s">
        <v>3864</v>
      </c>
      <c r="D1105" t="s">
        <v>2650</v>
      </c>
      <c r="E1105" t="s">
        <v>3865</v>
      </c>
      <c r="F1105" t="s">
        <v>33</v>
      </c>
      <c r="G1105">
        <v>0</v>
      </c>
      <c r="H1105">
        <f>((0/1000) * G1105)</f>
        <v>0</v>
      </c>
      <c r="I1105">
        <v>0</v>
      </c>
      <c r="J1105">
        <v>0</v>
      </c>
      <c r="K1105" s="4395">
        <v>112255.63</v>
      </c>
      <c r="L1105" s="4396">
        <f>(K1105 * G1105)</f>
        <v>0</v>
      </c>
      <c r="M1105" s="4397">
        <v>157157.88</v>
      </c>
      <c r="N1105" s="4398">
        <f>(G1105 * M1105)</f>
        <v>0</v>
      </c>
      <c r="O1105">
        <v>0</v>
      </c>
      <c r="P1105">
        <v>0</v>
      </c>
      <c r="Q1105">
        <f>IF(O1105&gt;G1105,(O1105-G1105),0)</f>
        <v>0</v>
      </c>
      <c r="R1105">
        <v>1</v>
      </c>
      <c r="S1105">
        <f>IF(Q1105&gt;0,Int(P1105/Q1105),0)</f>
        <v>0</v>
      </c>
      <c r="T1105">
        <f>102069.42</f>
        <v>102069.42</v>
      </c>
      <c r="U1105" t="s">
        <v>3866</v>
      </c>
      <c r="V1105">
        <v>112255.63</v>
      </c>
      <c r="W1105" t="s">
        <v>75</v>
      </c>
      <c r="X1105"/>
    </row>
    <row r="1106" spans="1:27">
      <c r="A1106" t="s">
        <v>28</v>
      </c>
      <c r="B1106" t="s">
        <v>29</v>
      </c>
      <c r="C1106" t="s">
        <v>3867</v>
      </c>
      <c r="D1106" t="s">
        <v>3868</v>
      </c>
      <c r="E1106" t="s">
        <v>3869</v>
      </c>
      <c r="F1106" t="s">
        <v>41</v>
      </c>
      <c r="G1106">
        <v>0</v>
      </c>
      <c r="H1106">
        <f>((0/1000) * G1106)</f>
        <v>0</v>
      </c>
      <c r="I1106">
        <v>0</v>
      </c>
      <c r="J1106">
        <v>0</v>
      </c>
      <c r="K1106" s="4399">
        <v>264214.87</v>
      </c>
      <c r="L1106" s="4400">
        <f>(K1106 * G1106)</f>
        <v>0</v>
      </c>
      <c r="M1106" s="4401">
        <v>290636.36</v>
      </c>
      <c r="N1106" s="4402">
        <f>(G1106 * M1106)</f>
        <v>0</v>
      </c>
      <c r="O1106">
        <v>0</v>
      </c>
      <c r="P1106">
        <v>0</v>
      </c>
      <c r="Q1106">
        <f>IF(O1106&gt;G1106,(O1106-G1106),0)</f>
        <v>0</v>
      </c>
      <c r="R1106">
        <v>1</v>
      </c>
      <c r="S1106">
        <f>IF(Q1106&gt;0,Int(P1106/Q1106),0)</f>
        <v>0</v>
      </c>
      <c r="T1106">
        <f>0</f>
        <v>0</v>
      </c>
      <c r="U1106"/>
      <c r="V1106">
        <v>264214.87</v>
      </c>
      <c r="W1106" t="s">
        <v>43</v>
      </c>
      <c r="X1106"/>
    </row>
    <row r="1107" spans="1:27">
      <c r="A1107" t="s">
        <v>28</v>
      </c>
      <c r="B1107" t="s">
        <v>29</v>
      </c>
      <c r="C1107" t="s">
        <v>3870</v>
      </c>
      <c r="D1107" t="s">
        <v>3871</v>
      </c>
      <c r="E1107" t="s">
        <v>3872</v>
      </c>
      <c r="F1107" t="s">
        <v>33</v>
      </c>
      <c r="G1107">
        <v>0</v>
      </c>
      <c r="H1107">
        <f>((0/1000) * G1107)</f>
        <v>0</v>
      </c>
      <c r="I1107">
        <v>0</v>
      </c>
      <c r="J1107">
        <v>0</v>
      </c>
      <c r="K1107" s="4403">
        <v>144545.45</v>
      </c>
      <c r="L1107" s="4404">
        <f>(K1107 * G1107)</f>
        <v>0</v>
      </c>
      <c r="M1107" s="4405">
        <v>202363.63</v>
      </c>
      <c r="N1107" s="4406">
        <f>(G1107 * M1107)</f>
        <v>0</v>
      </c>
      <c r="O1107">
        <v>0</v>
      </c>
      <c r="P1107">
        <v>0</v>
      </c>
      <c r="Q1107">
        <f>IF(O1107&gt;G1107,(O1107-G1107),0)</f>
        <v>0</v>
      </c>
      <c r="R1107">
        <v>1</v>
      </c>
      <c r="S1107">
        <f>IF(Q1107&gt;0,Int(P1107/Q1107),0)</f>
        <v>0</v>
      </c>
      <c r="T1107">
        <f>131404.95</f>
        <v>131404.95</v>
      </c>
      <c r="U1107" t="s">
        <v>3873</v>
      </c>
      <c r="V1107">
        <v>144545.45</v>
      </c>
      <c r="W1107" t="s">
        <v>75</v>
      </c>
      <c r="X1107"/>
    </row>
    <row r="1108" spans="1:27">
      <c r="A1108" t="s">
        <v>35</v>
      </c>
      <c r="B1108" t="s">
        <v>29</v>
      </c>
      <c r="C1108" t="s">
        <v>3874</v>
      </c>
      <c r="D1108" t="s">
        <v>3875</v>
      </c>
      <c r="E1108" t="s">
        <v>3876</v>
      </c>
      <c r="F1108" t="s">
        <v>41</v>
      </c>
      <c r="G1108">
        <v>0</v>
      </c>
      <c r="H1108">
        <f>((1/1000) * G1108)</f>
        <v>0</v>
      </c>
      <c r="I1108">
        <v>0</v>
      </c>
      <c r="J1108">
        <v>0</v>
      </c>
      <c r="K1108" s="4407">
        <v>0</v>
      </c>
      <c r="L1108" s="4408">
        <f>(K1108 * G1108)</f>
        <v>0</v>
      </c>
      <c r="M1108" s="4409">
        <v>0</v>
      </c>
      <c r="N1108" s="4410">
        <f>(G1108 * M1108)</f>
        <v>0</v>
      </c>
      <c r="O1108">
        <v>0</v>
      </c>
      <c r="P1108">
        <v>0</v>
      </c>
      <c r="Q1108">
        <f>IF(O1108&gt;G1108,(O1108-G1108),0)</f>
        <v>0</v>
      </c>
      <c r="R1108">
        <v>1</v>
      </c>
      <c r="S1108">
        <f>IF(Q1108&gt;0,Int(P1108/Q1108),0)</f>
        <v>0</v>
      </c>
      <c r="T1108">
        <f>0</f>
        <v>0</v>
      </c>
      <c r="U1108"/>
      <c r="V1108">
        <v>0</v>
      </c>
      <c r="W1108">
        <v>0</v>
      </c>
      <c r="X1108"/>
    </row>
    <row r="1109" spans="1:27">
      <c r="A1109" t="s">
        <v>28</v>
      </c>
      <c r="B1109" t="s">
        <v>29</v>
      </c>
      <c r="C1109" t="s">
        <v>3877</v>
      </c>
      <c r="D1109" t="s">
        <v>3878</v>
      </c>
      <c r="E1109" t="s">
        <v>3879</v>
      </c>
      <c r="F1109" t="s">
        <v>33</v>
      </c>
      <c r="G1109">
        <v>0</v>
      </c>
      <c r="H1109">
        <f>((0/1000) * G1109)</f>
        <v>0</v>
      </c>
      <c r="I1109">
        <v>0</v>
      </c>
      <c r="J1109">
        <v>0</v>
      </c>
      <c r="K1109" s="4411">
        <v>55552.32</v>
      </c>
      <c r="L1109" s="4412">
        <f>(K1109 * G1109)</f>
        <v>0</v>
      </c>
      <c r="M1109" s="4413">
        <v>77773.24</v>
      </c>
      <c r="N1109" s="4414">
        <f>(G1109 * M1109)</f>
        <v>0</v>
      </c>
      <c r="O1109">
        <v>0</v>
      </c>
      <c r="P1109">
        <v>0</v>
      </c>
      <c r="Q1109">
        <f>IF(O1109&gt;G1109,(O1109-G1109),0)</f>
        <v>0</v>
      </c>
      <c r="R1109">
        <v>1</v>
      </c>
      <c r="S1109">
        <f>IF(Q1109&gt;0,Int(P1109/Q1109),0)</f>
        <v>0</v>
      </c>
      <c r="T1109">
        <f>25705.92</f>
        <v>25705.92</v>
      </c>
      <c r="U1109" t="s">
        <v>3880</v>
      </c>
      <c r="V1109">
        <v>55552.32</v>
      </c>
      <c r="W1109" t="s">
        <v>75</v>
      </c>
      <c r="X1109"/>
    </row>
    <row r="1110" spans="1:27">
      <c r="A1110" t="s">
        <v>28</v>
      </c>
      <c r="B1110" t="s">
        <v>29</v>
      </c>
      <c r="C1110" t="s">
        <v>3881</v>
      </c>
      <c r="D1110" t="s">
        <v>3882</v>
      </c>
      <c r="E1110" t="s">
        <v>3883</v>
      </c>
      <c r="F1110" t="s">
        <v>33</v>
      </c>
      <c r="G1110">
        <v>0</v>
      </c>
      <c r="H1110">
        <f>((0/1000) * G1110)</f>
        <v>0</v>
      </c>
      <c r="I1110">
        <v>0</v>
      </c>
      <c r="J1110">
        <v>0</v>
      </c>
      <c r="K1110" s="4415">
        <v>203116.73</v>
      </c>
      <c r="L1110" s="4416">
        <f>(K1110 * G1110)</f>
        <v>0</v>
      </c>
      <c r="M1110" s="4417">
        <v>284363.42</v>
      </c>
      <c r="N1110" s="4418">
        <f>(G1110 * M1110)</f>
        <v>0</v>
      </c>
      <c r="O1110">
        <v>0</v>
      </c>
      <c r="P1110">
        <v>0</v>
      </c>
      <c r="Q1110">
        <f>IF(O1110&gt;G1110,(O1110-G1110),0)</f>
        <v>0</v>
      </c>
      <c r="R1110">
        <v>1</v>
      </c>
      <c r="S1110">
        <f>IF(Q1110&gt;0,Int(P1110/Q1110),0)</f>
        <v>0</v>
      </c>
      <c r="T1110">
        <f>0</f>
        <v>0</v>
      </c>
      <c r="U1110"/>
      <c r="V1110">
        <v>203116.73</v>
      </c>
      <c r="W1110" t="s">
        <v>75</v>
      </c>
      <c r="X1110"/>
    </row>
    <row r="1111" spans="1:27">
      <c r="A1111" t="s">
        <v>35</v>
      </c>
      <c r="B1111" t="s">
        <v>29</v>
      </c>
      <c r="C1111" t="s">
        <v>3884</v>
      </c>
      <c r="D1111" t="s">
        <v>3884</v>
      </c>
      <c r="E1111" t="s">
        <v>3885</v>
      </c>
      <c r="F1111" t="s">
        <v>33</v>
      </c>
      <c r="G1111">
        <v>0</v>
      </c>
      <c r="H1111">
        <f>((1/1000) * G1111)</f>
        <v>0</v>
      </c>
      <c r="I1111">
        <v>0</v>
      </c>
      <c r="J1111">
        <v>0</v>
      </c>
      <c r="K1111" s="4419">
        <v>0</v>
      </c>
      <c r="L1111" s="4420">
        <f>(K1111 * G1111)</f>
        <v>0</v>
      </c>
      <c r="M1111" s="4421">
        <v>0</v>
      </c>
      <c r="N1111" s="4422">
        <f>(G1111 * M1111)</f>
        <v>0</v>
      </c>
      <c r="O1111">
        <v>0</v>
      </c>
      <c r="P1111">
        <v>0</v>
      </c>
      <c r="Q1111">
        <f>IF(O1111&gt;G1111,(O1111-G1111),0)</f>
        <v>0</v>
      </c>
      <c r="R1111">
        <v>0</v>
      </c>
      <c r="S1111">
        <f>IF(Q1111&gt;0,Int(P1111/Q1111),0)</f>
        <v>0</v>
      </c>
      <c r="T1111">
        <f>0</f>
        <v>0</v>
      </c>
      <c r="U1111"/>
      <c r="V1111">
        <v>0</v>
      </c>
      <c r="W1111">
        <v>0</v>
      </c>
      <c r="X1111"/>
    </row>
    <row r="1112" spans="1:27">
      <c r="A1112" t="s">
        <v>35</v>
      </c>
      <c r="B1112" t="s">
        <v>29</v>
      </c>
      <c r="C1112" t="s">
        <v>3886</v>
      </c>
      <c r="D1112" t="s">
        <v>3887</v>
      </c>
      <c r="E1112" t="s">
        <v>3888</v>
      </c>
      <c r="F1112" t="s">
        <v>41</v>
      </c>
      <c r="G1112">
        <v>0</v>
      </c>
      <c r="H1112">
        <f>((0/1000) * G1112)</f>
        <v>0</v>
      </c>
      <c r="I1112">
        <v>0</v>
      </c>
      <c r="J1112">
        <v>0</v>
      </c>
      <c r="K1112" s="4423">
        <v>472875.46</v>
      </c>
      <c r="L1112" s="4424">
        <f>(K1112 * G1112)</f>
        <v>0</v>
      </c>
      <c r="M1112" s="4425">
        <v>662025.64</v>
      </c>
      <c r="N1112" s="4426">
        <f>(G1112 * M1112)</f>
        <v>0</v>
      </c>
      <c r="O1112">
        <v>0</v>
      </c>
      <c r="P1112">
        <v>0</v>
      </c>
      <c r="Q1112">
        <f>IF(O1112&gt;G1112,(O1112-G1112),0)</f>
        <v>0</v>
      </c>
      <c r="R1112">
        <v>1</v>
      </c>
      <c r="S1112">
        <f>IF(Q1112&gt;0,Int(P1112/Q1112),0)</f>
        <v>0</v>
      </c>
      <c r="T1112">
        <f>73633.6</f>
        <v>73633.6</v>
      </c>
      <c r="U1112" t="s">
        <v>3889</v>
      </c>
      <c r="V1112">
        <v>472875.46</v>
      </c>
      <c r="W1112" t="s">
        <v>75</v>
      </c>
      <c r="X1112"/>
    </row>
    <row r="1113" spans="1:27">
      <c r="A1113" t="s">
        <v>35</v>
      </c>
      <c r="B1113" t="s">
        <v>29</v>
      </c>
      <c r="C1113" t="s">
        <v>3890</v>
      </c>
      <c r="D1113" t="s">
        <v>3891</v>
      </c>
      <c r="E1113" t="s">
        <v>3892</v>
      </c>
      <c r="F1113" t="s">
        <v>41</v>
      </c>
      <c r="G1113">
        <v>0</v>
      </c>
      <c r="H1113">
        <f>((0/1000) * G1113)</f>
        <v>0</v>
      </c>
      <c r="I1113">
        <v>0</v>
      </c>
      <c r="J1113">
        <v>0</v>
      </c>
      <c r="K1113" s="4427">
        <v>564912.78</v>
      </c>
      <c r="L1113" s="4428">
        <f>(K1113 * G1113)</f>
        <v>0</v>
      </c>
      <c r="M1113" s="4429">
        <v>790877.89</v>
      </c>
      <c r="N1113" s="4430">
        <f>(G1113 * M1113)</f>
        <v>0</v>
      </c>
      <c r="O1113">
        <v>0</v>
      </c>
      <c r="P1113">
        <v>0</v>
      </c>
      <c r="Q1113">
        <f>IF(O1113&gt;G1113,(O1113-G1113),0)</f>
        <v>0</v>
      </c>
      <c r="R1113">
        <v>1</v>
      </c>
      <c r="S1113">
        <f>IF(Q1113&gt;0,Int(P1113/Q1113),0)</f>
        <v>0</v>
      </c>
      <c r="T1113">
        <f>241472.58</f>
        <v>241472.58</v>
      </c>
      <c r="U1113" t="s">
        <v>3893</v>
      </c>
      <c r="V1113">
        <v>564912.78</v>
      </c>
      <c r="W1113" t="s">
        <v>182</v>
      </c>
      <c r="X1113"/>
    </row>
    <row r="1114" spans="1:27">
      <c r="A1114" t="s">
        <v>35</v>
      </c>
      <c r="B1114" t="s">
        <v>29</v>
      </c>
      <c r="C1114" t="s">
        <v>3894</v>
      </c>
      <c r="D1114" t="s">
        <v>3894</v>
      </c>
      <c r="E1114" t="s">
        <v>3895</v>
      </c>
      <c r="F1114" t="s">
        <v>33</v>
      </c>
      <c r="G1114">
        <v>0</v>
      </c>
      <c r="H1114">
        <f>((1/1000) * G1114)</f>
        <v>0</v>
      </c>
      <c r="I1114">
        <v>0</v>
      </c>
      <c r="J1114">
        <v>0</v>
      </c>
      <c r="K1114" s="4431">
        <v>0</v>
      </c>
      <c r="L1114" s="4432">
        <f>(K1114 * G1114)</f>
        <v>0</v>
      </c>
      <c r="M1114" s="4433">
        <v>0</v>
      </c>
      <c r="N1114" s="4434">
        <f>(G1114 * M1114)</f>
        <v>0</v>
      </c>
      <c r="O1114">
        <v>0</v>
      </c>
      <c r="P1114">
        <v>0</v>
      </c>
      <c r="Q1114">
        <f>IF(O1114&gt;G1114,(O1114-G1114),0)</f>
        <v>0</v>
      </c>
      <c r="R1114">
        <v>0</v>
      </c>
      <c r="S1114">
        <f>IF(Q1114&gt;0,Int(P1114/Q1114),0)</f>
        <v>0</v>
      </c>
      <c r="T1114">
        <f>0</f>
        <v>0</v>
      </c>
      <c r="U1114"/>
      <c r="V1114">
        <v>0</v>
      </c>
      <c r="W1114">
        <v>0</v>
      </c>
      <c r="X1114"/>
    </row>
    <row r="1115" spans="1:27">
      <c r="A1115" t="s">
        <v>35</v>
      </c>
      <c r="B1115" t="s">
        <v>29</v>
      </c>
      <c r="C1115" t="s">
        <v>3896</v>
      </c>
      <c r="D1115" t="s">
        <v>3896</v>
      </c>
      <c r="E1115" t="s">
        <v>3897</v>
      </c>
      <c r="F1115" t="s">
        <v>33</v>
      </c>
      <c r="G1115">
        <v>0</v>
      </c>
      <c r="H1115">
        <f>((1/1000) * G1115)</f>
        <v>0</v>
      </c>
      <c r="I1115">
        <v>0</v>
      </c>
      <c r="J1115">
        <v>0</v>
      </c>
      <c r="K1115" s="4435">
        <v>0</v>
      </c>
      <c r="L1115" s="4436">
        <f>(K1115 * G1115)</f>
        <v>0</v>
      </c>
      <c r="M1115" s="4437">
        <v>0</v>
      </c>
      <c r="N1115" s="4438">
        <f>(G1115 * M1115)</f>
        <v>0</v>
      </c>
      <c r="O1115">
        <v>0</v>
      </c>
      <c r="P1115">
        <v>0</v>
      </c>
      <c r="Q1115">
        <f>IF(O1115&gt;G1115,(O1115-G1115),0)</f>
        <v>0</v>
      </c>
      <c r="R1115">
        <v>0</v>
      </c>
      <c r="S1115">
        <f>IF(Q1115&gt;0,Int(P1115/Q1115),0)</f>
        <v>0</v>
      </c>
      <c r="T1115">
        <f>0</f>
        <v>0</v>
      </c>
      <c r="U1115"/>
      <c r="V1115">
        <v>0</v>
      </c>
      <c r="W1115">
        <v>0</v>
      </c>
      <c r="X1115"/>
    </row>
    <row r="1116" spans="1:27">
      <c r="A1116" t="s">
        <v>35</v>
      </c>
      <c r="B1116" t="s">
        <v>29</v>
      </c>
      <c r="C1116" t="s">
        <v>3898</v>
      </c>
      <c r="D1116" t="s">
        <v>3899</v>
      </c>
      <c r="E1116" t="s">
        <v>3900</v>
      </c>
      <c r="F1116" t="s">
        <v>41</v>
      </c>
      <c r="G1116">
        <v>2</v>
      </c>
      <c r="H1116">
        <f>((0/1000) * G1116)</f>
        <v>0</v>
      </c>
      <c r="I1116">
        <v>0</v>
      </c>
      <c r="J1116">
        <v>2</v>
      </c>
      <c r="K1116" s="4439">
        <v>64462.82</v>
      </c>
      <c r="L1116" s="4440">
        <f>(K1116 * G1116)</f>
        <v>128925.64</v>
      </c>
      <c r="M1116" s="4441">
        <v>90247.94</v>
      </c>
      <c r="N1116" s="4442">
        <f>(G1116 * M1116)</f>
        <v>180495.88</v>
      </c>
      <c r="O1116">
        <v>0</v>
      </c>
      <c r="P1116">
        <v>0</v>
      </c>
      <c r="Q1116">
        <f>IF(O1116&gt;G1116,(O1116-G1116),0)</f>
        <v>0</v>
      </c>
      <c r="R1116">
        <v>1</v>
      </c>
      <c r="S1116">
        <f>IF(Q1116&gt;0,Int(P1116/Q1116),0)</f>
        <v>0</v>
      </c>
      <c r="T1116">
        <f>0</f>
        <v>0</v>
      </c>
      <c r="U1116"/>
      <c r="V1116">
        <v>64462.82</v>
      </c>
      <c r="W1116" t="s">
        <v>75</v>
      </c>
      <c r="X1116" t="s">
        <v>687</v>
      </c>
    </row>
    <row r="1117" spans="1:27">
      <c r="A1117" t="s">
        <v>35</v>
      </c>
      <c r="B1117" t="s">
        <v>29</v>
      </c>
      <c r="C1117" t="s">
        <v>3901</v>
      </c>
      <c r="D1117" t="s">
        <v>3902</v>
      </c>
      <c r="E1117" t="s">
        <v>3903</v>
      </c>
      <c r="F1117" t="s">
        <v>41</v>
      </c>
      <c r="G1117">
        <v>0</v>
      </c>
      <c r="H1117">
        <f>((0/1000) * G1117)</f>
        <v>0</v>
      </c>
      <c r="I1117">
        <v>0</v>
      </c>
      <c r="J1117">
        <v>0</v>
      </c>
      <c r="K1117" s="4443">
        <v>245466.87</v>
      </c>
      <c r="L1117" s="4444">
        <f>(K1117 * G1117)</f>
        <v>0</v>
      </c>
      <c r="M1117" s="4445">
        <v>343653.62</v>
      </c>
      <c r="N1117" s="4446">
        <f>(G1117 * M1117)</f>
        <v>0</v>
      </c>
      <c r="O1117">
        <v>0</v>
      </c>
      <c r="P1117">
        <v>0</v>
      </c>
      <c r="Q1117">
        <f>IF(O1117&gt;G1117,(O1117-G1117),0)</f>
        <v>0</v>
      </c>
      <c r="R1117">
        <v>0</v>
      </c>
      <c r="S1117">
        <f>IF(Q1117&gt;0,Int(P1117/Q1117),0)</f>
        <v>0</v>
      </c>
      <c r="T1117">
        <f>0</f>
        <v>0</v>
      </c>
      <c r="U1117"/>
      <c r="V1117">
        <v>245466.87</v>
      </c>
      <c r="W1117" t="s">
        <v>182</v>
      </c>
      <c r="X1117"/>
    </row>
    <row r="1118" spans="1:27">
      <c r="A1118" t="s">
        <v>35</v>
      </c>
      <c r="B1118" t="s">
        <v>29</v>
      </c>
      <c r="C1118" t="s">
        <v>3904</v>
      </c>
      <c r="D1118" t="s">
        <v>3905</v>
      </c>
      <c r="E1118" t="s">
        <v>3906</v>
      </c>
      <c r="F1118" t="s">
        <v>41</v>
      </c>
      <c r="G1118">
        <v>0</v>
      </c>
      <c r="H1118">
        <f>((0/1000) * G1118)</f>
        <v>0</v>
      </c>
      <c r="I1118">
        <v>0</v>
      </c>
      <c r="J1118">
        <v>0</v>
      </c>
      <c r="K1118" s="4447">
        <v>397778.41</v>
      </c>
      <c r="L1118" s="4448">
        <f>(K1118 * G1118)</f>
        <v>0</v>
      </c>
      <c r="M1118" s="4449">
        <v>556889.78</v>
      </c>
      <c r="N1118" s="4450">
        <f>(G1118 * M1118)</f>
        <v>0</v>
      </c>
      <c r="O1118">
        <v>0</v>
      </c>
      <c r="P1118">
        <v>0</v>
      </c>
      <c r="Q1118">
        <f>IF(O1118&gt;G1118,(O1118-G1118),0)</f>
        <v>0</v>
      </c>
      <c r="R1118">
        <v>1</v>
      </c>
      <c r="S1118">
        <f>IF(Q1118&gt;0,Int(P1118/Q1118),0)</f>
        <v>0</v>
      </c>
      <c r="T1118">
        <f>354167.27</f>
        <v>354167.27</v>
      </c>
      <c r="U1118" t="s">
        <v>3907</v>
      </c>
      <c r="V1118">
        <v>397778.41</v>
      </c>
      <c r="W1118" t="s">
        <v>182</v>
      </c>
      <c r="X1118"/>
    </row>
    <row r="1119" spans="1:27">
      <c r="A1119" t="s">
        <v>35</v>
      </c>
      <c r="B1119" t="s">
        <v>29</v>
      </c>
      <c r="C1119" t="s">
        <v>3908</v>
      </c>
      <c r="D1119" t="s">
        <v>3909</v>
      </c>
      <c r="E1119" t="s">
        <v>3910</v>
      </c>
      <c r="F1119" t="s">
        <v>41</v>
      </c>
      <c r="G1119">
        <v>0</v>
      </c>
      <c r="H1119">
        <f>((0/1000) * G1119)</f>
        <v>0</v>
      </c>
      <c r="I1119">
        <v>0</v>
      </c>
      <c r="J1119">
        <v>0</v>
      </c>
      <c r="K1119" s="4451">
        <v>500730.36</v>
      </c>
      <c r="L1119" s="4452">
        <f>(K1119 * G1119)</f>
        <v>0</v>
      </c>
      <c r="M1119" s="4453">
        <v>701022.5</v>
      </c>
      <c r="N1119" s="4454">
        <f>(G1119 * M1119)</f>
        <v>0</v>
      </c>
      <c r="O1119">
        <v>0</v>
      </c>
      <c r="P1119">
        <v>0</v>
      </c>
      <c r="Q1119">
        <f>IF(O1119&gt;G1119,(O1119-G1119),0)</f>
        <v>0</v>
      </c>
      <c r="R1119">
        <v>1</v>
      </c>
      <c r="S1119">
        <f>IF(Q1119&gt;0,Int(P1119/Q1119),0)</f>
        <v>0</v>
      </c>
      <c r="T1119">
        <f>465876.78</f>
        <v>465876.78</v>
      </c>
      <c r="U1119" t="s">
        <v>3911</v>
      </c>
      <c r="V1119">
        <v>500730.36</v>
      </c>
      <c r="W1119" t="s">
        <v>75</v>
      </c>
      <c r="X1119"/>
    </row>
    <row r="1120" spans="1:27">
      <c r="A1120" t="s">
        <v>35</v>
      </c>
      <c r="B1120" t="s">
        <v>29</v>
      </c>
      <c r="C1120" t="s">
        <v>3912</v>
      </c>
      <c r="D1120" t="s">
        <v>3913</v>
      </c>
      <c r="E1120" t="s">
        <v>3914</v>
      </c>
      <c r="F1120" t="s">
        <v>41</v>
      </c>
      <c r="G1120">
        <v>0</v>
      </c>
      <c r="H1120">
        <f>((0/1000) * G1120)</f>
        <v>0</v>
      </c>
      <c r="I1120">
        <v>0</v>
      </c>
      <c r="J1120">
        <v>0</v>
      </c>
      <c r="K1120" s="4455">
        <v>522909.09</v>
      </c>
      <c r="L1120" s="4456">
        <f>(K1120 * G1120)</f>
        <v>0</v>
      </c>
      <c r="M1120" s="4457">
        <v>732072.73</v>
      </c>
      <c r="N1120" s="4458">
        <f>(G1120 * M1120)</f>
        <v>0</v>
      </c>
      <c r="O1120">
        <v>0</v>
      </c>
      <c r="P1120">
        <v>0</v>
      </c>
      <c r="Q1120">
        <f>IF(O1120&gt;G1120,(O1120-G1120),0)</f>
        <v>0</v>
      </c>
      <c r="R1120">
        <v>0</v>
      </c>
      <c r="S1120">
        <f>IF(Q1120&gt;0,Int(P1120/Q1120),0)</f>
        <v>0</v>
      </c>
      <c r="T1120">
        <f>0</f>
        <v>0</v>
      </c>
      <c r="U1120"/>
      <c r="V1120">
        <v>522909.09</v>
      </c>
      <c r="W1120" t="s">
        <v>75</v>
      </c>
      <c r="X1120"/>
    </row>
    <row r="1121" spans="1:27">
      <c r="A1121" t="s">
        <v>35</v>
      </c>
      <c r="B1121" t="s">
        <v>29</v>
      </c>
      <c r="C1121" t="s">
        <v>3915</v>
      </c>
      <c r="D1121" t="s">
        <v>3916</v>
      </c>
      <c r="E1121" t="s">
        <v>3917</v>
      </c>
      <c r="F1121" t="s">
        <v>41</v>
      </c>
      <c r="G1121">
        <v>0</v>
      </c>
      <c r="H1121">
        <f>((0/1000) * G1121)</f>
        <v>0</v>
      </c>
      <c r="I1121">
        <v>0</v>
      </c>
      <c r="J1121">
        <v>0</v>
      </c>
      <c r="K1121" s="4459">
        <v>386202.95</v>
      </c>
      <c r="L1121" s="4460">
        <f>(K1121 * G1121)</f>
        <v>0</v>
      </c>
      <c r="M1121" s="4461">
        <v>540684.13</v>
      </c>
      <c r="N1121" s="4462">
        <f>(G1121 * M1121)</f>
        <v>0</v>
      </c>
      <c r="O1121">
        <v>0</v>
      </c>
      <c r="P1121">
        <v>0</v>
      </c>
      <c r="Q1121">
        <f>IF(O1121&gt;G1121,(O1121-G1121),0)</f>
        <v>0</v>
      </c>
      <c r="R1121">
        <v>1</v>
      </c>
      <c r="S1121">
        <f>IF(Q1121&gt;0,Int(P1121/Q1121),0)</f>
        <v>0</v>
      </c>
      <c r="T1121">
        <f>0</f>
        <v>0</v>
      </c>
      <c r="U1121"/>
      <c r="V1121">
        <v>386202.95</v>
      </c>
      <c r="W1121" t="s">
        <v>182</v>
      </c>
      <c r="X1121"/>
    </row>
    <row r="1122" spans="1:27">
      <c r="A1122" t="s">
        <v>35</v>
      </c>
      <c r="B1122" t="s">
        <v>29</v>
      </c>
      <c r="C1122" t="s">
        <v>3918</v>
      </c>
      <c r="D1122" t="s">
        <v>3919</v>
      </c>
      <c r="E1122" t="s">
        <v>3920</v>
      </c>
      <c r="F1122" t="s">
        <v>33</v>
      </c>
      <c r="G1122">
        <v>0</v>
      </c>
      <c r="H1122">
        <f>((0/1000) * G1122)</f>
        <v>0</v>
      </c>
      <c r="I1122">
        <v>0</v>
      </c>
      <c r="J1122">
        <v>0</v>
      </c>
      <c r="K1122" s="4463">
        <v>843636.37</v>
      </c>
      <c r="L1122" s="4464">
        <f>(K1122 * G1122)</f>
        <v>0</v>
      </c>
      <c r="M1122" s="4465">
        <v>1181090.92</v>
      </c>
      <c r="N1122" s="4466">
        <f>(G1122 * M1122)</f>
        <v>0</v>
      </c>
      <c r="O1122">
        <v>0</v>
      </c>
      <c r="P1122">
        <v>0</v>
      </c>
      <c r="Q1122">
        <f>IF(O1122&gt;G1122,(O1122-G1122),0)</f>
        <v>0</v>
      </c>
      <c r="R1122">
        <v>1</v>
      </c>
      <c r="S1122">
        <f>IF(Q1122&gt;0,Int(P1122/Q1122),0)</f>
        <v>0</v>
      </c>
      <c r="T1122">
        <f>0</f>
        <v>0</v>
      </c>
      <c r="U1122"/>
      <c r="V1122">
        <v>843636.37</v>
      </c>
      <c r="W1122" t="s">
        <v>75</v>
      </c>
      <c r="X1122"/>
    </row>
    <row r="1123" spans="1:27">
      <c r="A1123" t="s">
        <v>28</v>
      </c>
      <c r="B1123" t="s">
        <v>29</v>
      </c>
      <c r="C1123" t="s">
        <v>3921</v>
      </c>
      <c r="D1123" t="s">
        <v>3922</v>
      </c>
      <c r="E1123" t="s">
        <v>3923</v>
      </c>
      <c r="F1123" t="s">
        <v>33</v>
      </c>
      <c r="G1123">
        <v>0</v>
      </c>
      <c r="H1123">
        <f>((0/1000) * G1123)</f>
        <v>0</v>
      </c>
      <c r="I1123">
        <v>0</v>
      </c>
      <c r="J1123">
        <v>0</v>
      </c>
      <c r="K1123" s="4467">
        <v>131834.4</v>
      </c>
      <c r="L1123" s="4468">
        <f>(K1123 * G1123)</f>
        <v>0</v>
      </c>
      <c r="M1123" s="4469">
        <v>184568.16</v>
      </c>
      <c r="N1123" s="4470">
        <f>(G1123 * M1123)</f>
        <v>0</v>
      </c>
      <c r="O1123">
        <v>0</v>
      </c>
      <c r="P1123">
        <v>0</v>
      </c>
      <c r="Q1123">
        <f>IF(O1123&gt;G1123,(O1123-G1123),0)</f>
        <v>0</v>
      </c>
      <c r="R1123">
        <v>1</v>
      </c>
      <c r="S1123">
        <f>IF(Q1123&gt;0,Int(P1123/Q1123),0)</f>
        <v>0</v>
      </c>
      <c r="T1123">
        <f>0</f>
        <v>0</v>
      </c>
      <c r="U1123"/>
      <c r="V1123">
        <v>131834.4</v>
      </c>
      <c r="W1123" t="s">
        <v>75</v>
      </c>
      <c r="X1123"/>
    </row>
    <row r="1124" spans="1:27">
      <c r="A1124" t="s">
        <v>35</v>
      </c>
      <c r="B1124" t="s">
        <v>29</v>
      </c>
      <c r="C1124" t="s">
        <v>3924</v>
      </c>
      <c r="D1124" t="s">
        <v>3924</v>
      </c>
      <c r="E1124" t="s">
        <v>3925</v>
      </c>
      <c r="F1124" t="s">
        <v>33</v>
      </c>
      <c r="G1124">
        <v>0</v>
      </c>
      <c r="H1124">
        <f>((1/1000) * G1124)</f>
        <v>0</v>
      </c>
      <c r="I1124">
        <v>0</v>
      </c>
      <c r="J1124">
        <v>0</v>
      </c>
      <c r="K1124" s="4471">
        <v>0</v>
      </c>
      <c r="L1124" s="4472">
        <f>(K1124 * G1124)</f>
        <v>0</v>
      </c>
      <c r="M1124" s="4473">
        <v>0</v>
      </c>
      <c r="N1124" s="4474">
        <f>(G1124 * M1124)</f>
        <v>0</v>
      </c>
      <c r="O1124">
        <v>0</v>
      </c>
      <c r="P1124">
        <v>0</v>
      </c>
      <c r="Q1124">
        <f>IF(O1124&gt;G1124,(O1124-G1124),0)</f>
        <v>0</v>
      </c>
      <c r="R1124">
        <v>0</v>
      </c>
      <c r="S1124">
        <f>IF(Q1124&gt;0,Int(P1124/Q1124),0)</f>
        <v>0</v>
      </c>
      <c r="T1124">
        <f>0</f>
        <v>0</v>
      </c>
      <c r="U1124"/>
      <c r="V1124">
        <v>0</v>
      </c>
      <c r="W1124">
        <v>0</v>
      </c>
      <c r="X1124"/>
    </row>
    <row r="1125" spans="1:27">
      <c r="A1125" t="s">
        <v>35</v>
      </c>
      <c r="B1125" t="s">
        <v>29</v>
      </c>
      <c r="C1125" t="s">
        <v>3926</v>
      </c>
      <c r="D1125" t="s">
        <v>3926</v>
      </c>
      <c r="E1125" t="s">
        <v>3927</v>
      </c>
      <c r="F1125" t="s">
        <v>33</v>
      </c>
      <c r="G1125">
        <v>0</v>
      </c>
      <c r="H1125">
        <f>((1/1000) * G1125)</f>
        <v>0</v>
      </c>
      <c r="I1125">
        <v>0</v>
      </c>
      <c r="J1125">
        <v>0</v>
      </c>
      <c r="K1125" s="4475">
        <v>0</v>
      </c>
      <c r="L1125" s="4476">
        <f>(K1125 * G1125)</f>
        <v>0</v>
      </c>
      <c r="M1125" s="4477">
        <v>0</v>
      </c>
      <c r="N1125" s="4478">
        <f>(G1125 * M1125)</f>
        <v>0</v>
      </c>
      <c r="O1125">
        <v>0</v>
      </c>
      <c r="P1125">
        <v>0</v>
      </c>
      <c r="Q1125">
        <f>IF(O1125&gt;G1125,(O1125-G1125),0)</f>
        <v>0</v>
      </c>
      <c r="R1125">
        <v>0</v>
      </c>
      <c r="S1125">
        <f>IF(Q1125&gt;0,Int(P1125/Q1125),0)</f>
        <v>0</v>
      </c>
      <c r="T1125">
        <f>0</f>
        <v>0</v>
      </c>
      <c r="U1125"/>
      <c r="V1125">
        <v>0</v>
      </c>
      <c r="W1125">
        <v>0</v>
      </c>
      <c r="X1125"/>
    </row>
    <row r="1126" spans="1:27">
      <c r="A1126" t="s">
        <v>35</v>
      </c>
      <c r="B1126" t="s">
        <v>29</v>
      </c>
      <c r="C1126" t="s">
        <v>3928</v>
      </c>
      <c r="D1126" t="s">
        <v>3928</v>
      </c>
      <c r="E1126" t="s">
        <v>3929</v>
      </c>
      <c r="F1126" t="s">
        <v>33</v>
      </c>
      <c r="G1126">
        <v>0</v>
      </c>
      <c r="H1126">
        <f>((1/1000) * G1126)</f>
        <v>0</v>
      </c>
      <c r="I1126">
        <v>0</v>
      </c>
      <c r="J1126">
        <v>0</v>
      </c>
      <c r="K1126" s="4479">
        <v>0</v>
      </c>
      <c r="L1126" s="4480">
        <f>(K1126 * G1126)</f>
        <v>0</v>
      </c>
      <c r="M1126" s="4481">
        <v>0</v>
      </c>
      <c r="N1126" s="4482">
        <f>(G1126 * M1126)</f>
        <v>0</v>
      </c>
      <c r="O1126">
        <v>0</v>
      </c>
      <c r="P1126">
        <v>0</v>
      </c>
      <c r="Q1126">
        <f>IF(O1126&gt;G1126,(O1126-G1126),0)</f>
        <v>0</v>
      </c>
      <c r="R1126">
        <v>0</v>
      </c>
      <c r="S1126">
        <f>IF(Q1126&gt;0,Int(P1126/Q1126),0)</f>
        <v>0</v>
      </c>
      <c r="T1126">
        <f>0</f>
        <v>0</v>
      </c>
      <c r="U1126"/>
      <c r="V1126">
        <v>0</v>
      </c>
      <c r="W1126">
        <v>0</v>
      </c>
      <c r="X1126"/>
    </row>
    <row r="1127" spans="1:27">
      <c r="A1127" t="s">
        <v>35</v>
      </c>
      <c r="B1127" t="s">
        <v>29</v>
      </c>
      <c r="C1127" t="s">
        <v>3930</v>
      </c>
      <c r="D1127" t="s">
        <v>3931</v>
      </c>
      <c r="E1127" t="s">
        <v>3932</v>
      </c>
      <c r="F1127" t="s">
        <v>41</v>
      </c>
      <c r="G1127">
        <v>0</v>
      </c>
      <c r="H1127">
        <f>((0/1000) * G1127)</f>
        <v>0</v>
      </c>
      <c r="I1127">
        <v>0</v>
      </c>
      <c r="J1127">
        <v>0</v>
      </c>
      <c r="K1127" s="4483">
        <v>283404.15</v>
      </c>
      <c r="L1127" s="4484">
        <f>(K1127 * G1127)</f>
        <v>0</v>
      </c>
      <c r="M1127" s="4485">
        <v>396765.8</v>
      </c>
      <c r="N1127" s="4486">
        <f>(G1127 * M1127)</f>
        <v>0</v>
      </c>
      <c r="O1127">
        <v>0</v>
      </c>
      <c r="P1127">
        <v>0</v>
      </c>
      <c r="Q1127">
        <f>IF(O1127&gt;G1127,(O1127-G1127),0)</f>
        <v>0</v>
      </c>
      <c r="R1127">
        <v>0</v>
      </c>
      <c r="S1127">
        <f>IF(Q1127&gt;0,Int(P1127/Q1127),0)</f>
        <v>0</v>
      </c>
      <c r="T1127">
        <f>284027.77</f>
        <v>284027.77</v>
      </c>
      <c r="U1127" t="s">
        <v>3933</v>
      </c>
      <c r="V1127">
        <v>283404.15</v>
      </c>
      <c r="W1127" t="s">
        <v>182</v>
      </c>
      <c r="X1127"/>
    </row>
    <row r="1128" spans="1:27">
      <c r="A1128" t="s">
        <v>35</v>
      </c>
      <c r="B1128" t="s">
        <v>29</v>
      </c>
      <c r="C1128" t="s">
        <v>3934</v>
      </c>
      <c r="D1128" t="s">
        <v>3935</v>
      </c>
      <c r="E1128" t="s">
        <v>3936</v>
      </c>
      <c r="F1128" t="s">
        <v>33</v>
      </c>
      <c r="G1128">
        <v>0</v>
      </c>
      <c r="H1128">
        <f>((0/1000) * G1128)</f>
        <v>0</v>
      </c>
      <c r="I1128">
        <v>0</v>
      </c>
      <c r="J1128">
        <v>0</v>
      </c>
      <c r="K1128" s="4487">
        <v>336790.37</v>
      </c>
      <c r="L1128" s="4488">
        <f>(K1128 * G1128)</f>
        <v>0</v>
      </c>
      <c r="M1128" s="4489">
        <v>471506.52</v>
      </c>
      <c r="N1128" s="4490">
        <f>(G1128 * M1128)</f>
        <v>0</v>
      </c>
      <c r="O1128">
        <v>0</v>
      </c>
      <c r="P1128">
        <v>0</v>
      </c>
      <c r="Q1128">
        <f>IF(O1128&gt;G1128,(O1128-G1128),0)</f>
        <v>0</v>
      </c>
      <c r="R1128">
        <v>1</v>
      </c>
      <c r="S1128">
        <f>IF(Q1128&gt;0,Int(P1128/Q1128),0)</f>
        <v>0</v>
      </c>
      <c r="T1128">
        <f>0</f>
        <v>0</v>
      </c>
      <c r="U1128"/>
      <c r="V1128">
        <v>336790.37</v>
      </c>
      <c r="W1128" t="s">
        <v>182</v>
      </c>
      <c r="X1128" t="s">
        <v>2540</v>
      </c>
    </row>
    <row r="1129" spans="1:27">
      <c r="A1129" t="s">
        <v>28</v>
      </c>
      <c r="B1129" t="s">
        <v>29</v>
      </c>
      <c r="C1129" t="s">
        <v>3937</v>
      </c>
      <c r="D1129" t="s">
        <v>3938</v>
      </c>
      <c r="E1129" t="s">
        <v>3939</v>
      </c>
      <c r="F1129" t="s">
        <v>33</v>
      </c>
      <c r="G1129">
        <v>0</v>
      </c>
      <c r="H1129">
        <f>((0/1000) * G1129)</f>
        <v>0</v>
      </c>
      <c r="I1129">
        <v>0</v>
      </c>
      <c r="J1129">
        <v>0</v>
      </c>
      <c r="K1129" s="4491">
        <v>0</v>
      </c>
      <c r="L1129" s="4492">
        <f>(K1129 * G1129)</f>
        <v>0</v>
      </c>
      <c r="M1129" s="4493">
        <v>0</v>
      </c>
      <c r="N1129" s="4494">
        <f>(G1129 * M1129)</f>
        <v>0</v>
      </c>
      <c r="O1129">
        <v>0</v>
      </c>
      <c r="P1129">
        <v>0</v>
      </c>
      <c r="Q1129">
        <f>IF(O1129&gt;G1129,(O1129-G1129),0)</f>
        <v>0</v>
      </c>
      <c r="R1129">
        <v>1</v>
      </c>
      <c r="S1129">
        <f>IF(Q1129&gt;0,Int(P1129/Q1129),0)</f>
        <v>0</v>
      </c>
      <c r="T1129">
        <f>0</f>
        <v>0</v>
      </c>
      <c r="U1129"/>
      <c r="V1129">
        <v>0</v>
      </c>
      <c r="W1129">
        <v>0</v>
      </c>
      <c r="X1129"/>
    </row>
    <row r="1130" spans="1:27">
      <c r="A1130" t="s">
        <v>35</v>
      </c>
      <c r="B1130" t="s">
        <v>29</v>
      </c>
      <c r="C1130" t="s">
        <v>3940</v>
      </c>
      <c r="D1130" t="s">
        <v>3941</v>
      </c>
      <c r="E1130" t="s">
        <v>3942</v>
      </c>
      <c r="F1130" t="s">
        <v>41</v>
      </c>
      <c r="G1130">
        <v>1</v>
      </c>
      <c r="H1130">
        <f>((0/1000) * G1130)</f>
        <v>0</v>
      </c>
      <c r="I1130">
        <v>0</v>
      </c>
      <c r="J1130">
        <v>1</v>
      </c>
      <c r="K1130" s="4495">
        <v>403197.48</v>
      </c>
      <c r="L1130" s="4496">
        <f>(K1130 * G1130)</f>
        <v>403197.48</v>
      </c>
      <c r="M1130" s="4497">
        <v>564476.48</v>
      </c>
      <c r="N1130" s="4498">
        <f>(G1130 * M1130)</f>
        <v>564476.48</v>
      </c>
      <c r="O1130">
        <v>0</v>
      </c>
      <c r="P1130">
        <v>0</v>
      </c>
      <c r="Q1130">
        <f>IF(O1130&gt;G1130,(O1130-G1130),0)</f>
        <v>0</v>
      </c>
      <c r="R1130">
        <v>1</v>
      </c>
      <c r="S1130">
        <f>IF(Q1130&gt;0,Int(P1130/Q1130),0)</f>
        <v>0</v>
      </c>
      <c r="T1130">
        <f>555617.27</f>
        <v>555617.27</v>
      </c>
      <c r="U1130" t="s">
        <v>3943</v>
      </c>
      <c r="V1130">
        <v>403197.48</v>
      </c>
      <c r="W1130" t="s">
        <v>182</v>
      </c>
      <c r="X1130"/>
    </row>
    <row r="1131" spans="1:27">
      <c r="A1131" t="s">
        <v>28</v>
      </c>
      <c r="B1131" t="s">
        <v>29</v>
      </c>
      <c r="C1131" t="s">
        <v>3944</v>
      </c>
      <c r="D1131" t="s">
        <v>3945</v>
      </c>
      <c r="E1131" t="s">
        <v>3946</v>
      </c>
      <c r="F1131" t="s">
        <v>33</v>
      </c>
      <c r="G1131">
        <v>1</v>
      </c>
      <c r="H1131">
        <f>((0/1000) * G1131)</f>
        <v>0</v>
      </c>
      <c r="I1131">
        <v>0</v>
      </c>
      <c r="J1131">
        <v>1</v>
      </c>
      <c r="K1131" s="4499">
        <v>321404.96</v>
      </c>
      <c r="L1131" s="4500">
        <f>(K1131 * G1131)</f>
        <v>321404.96</v>
      </c>
      <c r="M1131" s="4501">
        <v>353545.46</v>
      </c>
      <c r="N1131" s="4502">
        <f>(G1131 * M1131)</f>
        <v>353545.46</v>
      </c>
      <c r="O1131">
        <v>0</v>
      </c>
      <c r="P1131">
        <v>0</v>
      </c>
      <c r="Q1131">
        <f>IF(O1131&gt;G1131,(O1131-G1131),0)</f>
        <v>0</v>
      </c>
      <c r="R1131">
        <v>1</v>
      </c>
      <c r="S1131">
        <f>IF(Q1131&gt;0,Int(P1131/Q1131),0)</f>
        <v>0</v>
      </c>
      <c r="T1131">
        <f>435206.61</f>
        <v>435206.61</v>
      </c>
      <c r="U1131" t="s">
        <v>536</v>
      </c>
      <c r="V1131">
        <v>321404.96</v>
      </c>
      <c r="W1131" t="s">
        <v>43</v>
      </c>
      <c r="X1131" t="s">
        <v>209</v>
      </c>
    </row>
    <row r="1132" spans="1:27">
      <c r="A1132" t="s">
        <v>35</v>
      </c>
      <c r="B1132" t="s">
        <v>29</v>
      </c>
      <c r="C1132" t="s">
        <v>3947</v>
      </c>
      <c r="D1132" t="s">
        <v>3948</v>
      </c>
      <c r="E1132" t="s">
        <v>3949</v>
      </c>
      <c r="F1132" t="s">
        <v>41</v>
      </c>
      <c r="G1132">
        <v>0</v>
      </c>
      <c r="H1132">
        <f>((0/1000) * G1132)</f>
        <v>0</v>
      </c>
      <c r="I1132">
        <v>0</v>
      </c>
      <c r="J1132">
        <v>0</v>
      </c>
      <c r="K1132" s="4503">
        <v>519658</v>
      </c>
      <c r="L1132" s="4504">
        <f>(K1132 * G1132)</f>
        <v>0</v>
      </c>
      <c r="M1132" s="4505">
        <v>727521.2</v>
      </c>
      <c r="N1132" s="4506">
        <f>(G1132 * M1132)</f>
        <v>0</v>
      </c>
      <c r="O1132">
        <v>0</v>
      </c>
      <c r="P1132">
        <v>0</v>
      </c>
      <c r="Q1132">
        <f>IF(O1132&gt;G1132,(O1132-G1132),0)</f>
        <v>0</v>
      </c>
      <c r="R1132">
        <v>1</v>
      </c>
      <c r="S1132">
        <f>IF(Q1132&gt;0,Int(P1132/Q1132),0)</f>
        <v>0</v>
      </c>
      <c r="T1132">
        <f>559879.79</f>
        <v>559879.79</v>
      </c>
      <c r="U1132" t="s">
        <v>3950</v>
      </c>
      <c r="V1132">
        <v>519658</v>
      </c>
      <c r="W1132" t="s">
        <v>182</v>
      </c>
      <c r="X1132" t="s">
        <v>687</v>
      </c>
    </row>
    <row r="1133" spans="1:27">
      <c r="A1133" t="s">
        <v>35</v>
      </c>
      <c r="B1133" t="s">
        <v>29</v>
      </c>
      <c r="C1133" t="s">
        <v>3951</v>
      </c>
      <c r="D1133" t="s">
        <v>3952</v>
      </c>
      <c r="E1133" t="s">
        <v>3953</v>
      </c>
      <c r="F1133" t="s">
        <v>33</v>
      </c>
      <c r="G1133">
        <v>0</v>
      </c>
      <c r="H1133">
        <f>((0/1000) * G1133)</f>
        <v>0</v>
      </c>
      <c r="I1133">
        <v>0</v>
      </c>
      <c r="J1133">
        <v>0</v>
      </c>
      <c r="K1133" s="4507">
        <v>245041.32</v>
      </c>
      <c r="L1133" s="4508">
        <f>(K1133 * G1133)</f>
        <v>0</v>
      </c>
      <c r="M1133" s="4509">
        <v>269545.45</v>
      </c>
      <c r="N1133" s="4510">
        <f>(G1133 * M1133)</f>
        <v>0</v>
      </c>
      <c r="O1133">
        <v>0</v>
      </c>
      <c r="P1133">
        <v>0</v>
      </c>
      <c r="Q1133">
        <f>IF(O1133&gt;G1133,(O1133-G1133),0)</f>
        <v>0</v>
      </c>
      <c r="R1133">
        <v>1</v>
      </c>
      <c r="S1133">
        <f>IF(Q1133&gt;0,Int(P1133/Q1133),0)</f>
        <v>0</v>
      </c>
      <c r="T1133">
        <f>158687.56</f>
        <v>158687.56</v>
      </c>
      <c r="U1133" t="s">
        <v>3954</v>
      </c>
      <c r="V1133">
        <v>245041.32</v>
      </c>
      <c r="W1133" t="s">
        <v>43</v>
      </c>
      <c r="X1133"/>
    </row>
    <row r="1134" spans="1:27">
      <c r="A1134" t="s">
        <v>28</v>
      </c>
      <c r="B1134" t="s">
        <v>29</v>
      </c>
      <c r="C1134" t="s">
        <v>3955</v>
      </c>
      <c r="D1134" t="s">
        <v>3956</v>
      </c>
      <c r="E1134" t="s">
        <v>3957</v>
      </c>
      <c r="F1134" t="s">
        <v>41</v>
      </c>
      <c r="G1134">
        <v>0</v>
      </c>
      <c r="H1134">
        <f>((0/1000) * G1134)</f>
        <v>0</v>
      </c>
      <c r="I1134">
        <v>0</v>
      </c>
      <c r="J1134">
        <v>0</v>
      </c>
      <c r="K1134" s="4511">
        <v>582461.52</v>
      </c>
      <c r="L1134" s="4512">
        <f>(K1134 * G1134)</f>
        <v>0</v>
      </c>
      <c r="M1134" s="4513">
        <v>815446.13</v>
      </c>
      <c r="N1134" s="4514">
        <f>(G1134 * M1134)</f>
        <v>0</v>
      </c>
      <c r="O1134">
        <v>0</v>
      </c>
      <c r="P1134">
        <v>0</v>
      </c>
      <c r="Q1134">
        <f>IF(O1134&gt;G1134,(O1134-G1134),0)</f>
        <v>0</v>
      </c>
      <c r="R1134">
        <v>0</v>
      </c>
      <c r="S1134">
        <f>IF(Q1134&gt;0,Int(P1134/Q1134),0)</f>
        <v>0</v>
      </c>
      <c r="T1134">
        <f>0</f>
        <v>0</v>
      </c>
      <c r="U1134"/>
      <c r="V1134">
        <v>582461.52</v>
      </c>
      <c r="W1134" t="s">
        <v>182</v>
      </c>
      <c r="X1134"/>
    </row>
    <row r="1135" spans="1:27">
      <c r="A1135" t="s">
        <v>28</v>
      </c>
      <c r="B1135" t="s">
        <v>29</v>
      </c>
      <c r="C1135" t="s">
        <v>3958</v>
      </c>
      <c r="D1135" t="s">
        <v>3959</v>
      </c>
      <c r="E1135" t="s">
        <v>3960</v>
      </c>
      <c r="F1135" t="s">
        <v>41</v>
      </c>
      <c r="G1135">
        <v>0</v>
      </c>
      <c r="H1135">
        <f>((0/1000) * G1135)</f>
        <v>0</v>
      </c>
      <c r="I1135">
        <v>0</v>
      </c>
      <c r="J1135">
        <v>0</v>
      </c>
      <c r="K1135" s="4515">
        <v>594905.09</v>
      </c>
      <c r="L1135" s="4516">
        <f>(K1135 * G1135)</f>
        <v>0</v>
      </c>
      <c r="M1135" s="4517">
        <v>832867.13</v>
      </c>
      <c r="N1135" s="4518">
        <f>(G1135 * M1135)</f>
        <v>0</v>
      </c>
      <c r="O1135">
        <v>0</v>
      </c>
      <c r="P1135">
        <v>0</v>
      </c>
      <c r="Q1135">
        <f>IF(O1135&gt;G1135,(O1135-G1135),0)</f>
        <v>0</v>
      </c>
      <c r="R1135">
        <v>1</v>
      </c>
      <c r="S1135">
        <f>IF(Q1135&gt;0,Int(P1135/Q1135),0)</f>
        <v>0</v>
      </c>
      <c r="T1135">
        <f>648760.33</f>
        <v>648760.33</v>
      </c>
      <c r="U1135" t="s">
        <v>3961</v>
      </c>
      <c r="V1135">
        <v>594905.09</v>
      </c>
      <c r="W1135" t="s">
        <v>182</v>
      </c>
      <c r="X1135"/>
    </row>
    <row r="1136" spans="1:27">
      <c r="A1136" t="s">
        <v>35</v>
      </c>
      <c r="B1136" t="s">
        <v>29</v>
      </c>
      <c r="C1136" t="s">
        <v>3962</v>
      </c>
      <c r="D1136" t="s">
        <v>3962</v>
      </c>
      <c r="E1136" t="s">
        <v>3963</v>
      </c>
      <c r="F1136" t="s">
        <v>33</v>
      </c>
      <c r="G1136">
        <v>0</v>
      </c>
      <c r="H1136">
        <f>((1/1000) * G1136)</f>
        <v>0</v>
      </c>
      <c r="I1136">
        <v>0</v>
      </c>
      <c r="J1136">
        <v>0</v>
      </c>
      <c r="K1136" s="4519">
        <v>0</v>
      </c>
      <c r="L1136" s="4520">
        <f>(K1136 * G1136)</f>
        <v>0</v>
      </c>
      <c r="M1136" s="4521">
        <v>0</v>
      </c>
      <c r="N1136" s="4522">
        <f>(G1136 * M1136)</f>
        <v>0</v>
      </c>
      <c r="O1136">
        <v>0</v>
      </c>
      <c r="P1136">
        <v>0</v>
      </c>
      <c r="Q1136">
        <f>IF(O1136&gt;G1136,(O1136-G1136),0)</f>
        <v>0</v>
      </c>
      <c r="R1136">
        <v>0</v>
      </c>
      <c r="S1136">
        <f>IF(Q1136&gt;0,Int(P1136/Q1136),0)</f>
        <v>0</v>
      </c>
      <c r="T1136">
        <f>0</f>
        <v>0</v>
      </c>
      <c r="U1136"/>
      <c r="V1136">
        <v>0</v>
      </c>
      <c r="W1136">
        <v>0</v>
      </c>
      <c r="X1136"/>
    </row>
    <row r="1137" spans="1:27">
      <c r="A1137" t="s">
        <v>35</v>
      </c>
      <c r="B1137" t="s">
        <v>29</v>
      </c>
      <c r="C1137" t="s">
        <v>3964</v>
      </c>
      <c r="D1137" t="s">
        <v>3965</v>
      </c>
      <c r="E1137" t="s">
        <v>3966</v>
      </c>
      <c r="F1137" t="s">
        <v>41</v>
      </c>
      <c r="G1137">
        <v>0</v>
      </c>
      <c r="H1137">
        <f>((0/1000) * G1137)</f>
        <v>0</v>
      </c>
      <c r="I1137">
        <v>0</v>
      </c>
      <c r="J1137">
        <v>0</v>
      </c>
      <c r="K1137" s="4523">
        <v>504495.09</v>
      </c>
      <c r="L1137" s="4524">
        <f>(K1137 * G1137)</f>
        <v>0</v>
      </c>
      <c r="M1137" s="4525">
        <v>706293.13</v>
      </c>
      <c r="N1137" s="4526">
        <f>(G1137 * M1137)</f>
        <v>0</v>
      </c>
      <c r="O1137">
        <v>0</v>
      </c>
      <c r="P1137">
        <v>0</v>
      </c>
      <c r="Q1137">
        <f>IF(O1137&gt;G1137,(O1137-G1137),0)</f>
        <v>0</v>
      </c>
      <c r="R1137">
        <v>1</v>
      </c>
      <c r="S1137">
        <f>IF(Q1137&gt;0,Int(P1137/Q1137),0)</f>
        <v>0</v>
      </c>
      <c r="T1137">
        <f>194891.06</f>
        <v>194891.06</v>
      </c>
      <c r="U1137" t="s">
        <v>3967</v>
      </c>
      <c r="V1137">
        <v>504495.09</v>
      </c>
      <c r="W1137" t="s">
        <v>75</v>
      </c>
      <c r="X1137"/>
    </row>
    <row r="1138" spans="1:27">
      <c r="A1138" t="s">
        <v>35</v>
      </c>
      <c r="B1138" t="s">
        <v>29</v>
      </c>
      <c r="C1138" t="s">
        <v>3968</v>
      </c>
      <c r="D1138" t="s">
        <v>3969</v>
      </c>
      <c r="E1138" t="s">
        <v>3970</v>
      </c>
      <c r="F1138" t="s">
        <v>33</v>
      </c>
      <c r="G1138">
        <v>0</v>
      </c>
      <c r="H1138">
        <f>((0/1000) * G1138)</f>
        <v>0</v>
      </c>
      <c r="I1138">
        <v>0</v>
      </c>
      <c r="J1138">
        <v>0</v>
      </c>
      <c r="K1138" s="4527">
        <v>266824.1</v>
      </c>
      <c r="L1138" s="4528">
        <f>(K1138 * G1138)</f>
        <v>0</v>
      </c>
      <c r="M1138" s="4529">
        <v>293506.51</v>
      </c>
      <c r="N1138" s="4530">
        <f>(G1138 * M1138)</f>
        <v>0</v>
      </c>
      <c r="O1138">
        <v>0</v>
      </c>
      <c r="P1138">
        <v>0</v>
      </c>
      <c r="Q1138">
        <f>IF(O1138&gt;G1138,(O1138-G1138),0)</f>
        <v>0</v>
      </c>
      <c r="R1138">
        <v>1</v>
      </c>
      <c r="S1138">
        <f>IF(Q1138&gt;0,Int(P1138/Q1138),0)</f>
        <v>0</v>
      </c>
      <c r="T1138">
        <f>242567.36</f>
        <v>242567.36</v>
      </c>
      <c r="U1138" t="s">
        <v>3971</v>
      </c>
      <c r="V1138">
        <v>266824.1</v>
      </c>
      <c r="W1138" t="s">
        <v>43</v>
      </c>
      <c r="X1138"/>
    </row>
    <row r="1139" spans="1:27">
      <c r="A1139" t="s">
        <v>35</v>
      </c>
      <c r="B1139" t="s">
        <v>29</v>
      </c>
      <c r="C1139" t="s">
        <v>3972</v>
      </c>
      <c r="D1139" t="s">
        <v>3973</v>
      </c>
      <c r="E1139" t="s">
        <v>3974</v>
      </c>
      <c r="F1139" t="s">
        <v>41</v>
      </c>
      <c r="G1139">
        <v>0</v>
      </c>
      <c r="H1139">
        <f>((0/1000) * G1139)</f>
        <v>0</v>
      </c>
      <c r="I1139">
        <v>0</v>
      </c>
      <c r="J1139">
        <v>0</v>
      </c>
      <c r="K1139" s="4531">
        <v>382217.27</v>
      </c>
      <c r="L1139" s="4532">
        <f>(K1139 * G1139)</f>
        <v>0</v>
      </c>
      <c r="M1139" s="4533">
        <v>535104.18</v>
      </c>
      <c r="N1139" s="4534">
        <f>(G1139 * M1139)</f>
        <v>0</v>
      </c>
      <c r="O1139">
        <v>0</v>
      </c>
      <c r="P1139">
        <v>0</v>
      </c>
      <c r="Q1139">
        <f>IF(O1139&gt;G1139,(O1139-G1139),0)</f>
        <v>0</v>
      </c>
      <c r="R1139">
        <v>0</v>
      </c>
      <c r="S1139">
        <f>IF(Q1139&gt;0,Int(P1139/Q1139),0)</f>
        <v>0</v>
      </c>
      <c r="T1139">
        <f>0</f>
        <v>0</v>
      </c>
      <c r="U1139"/>
      <c r="V1139">
        <v>382217.27</v>
      </c>
      <c r="W1139" t="s">
        <v>182</v>
      </c>
      <c r="X1139"/>
    </row>
    <row r="1140" spans="1:27">
      <c r="A1140" t="s">
        <v>35</v>
      </c>
      <c r="B1140" t="s">
        <v>29</v>
      </c>
      <c r="C1140" t="s">
        <v>3975</v>
      </c>
      <c r="D1140" t="s">
        <v>3976</v>
      </c>
      <c r="E1140" t="s">
        <v>3977</v>
      </c>
      <c r="F1140" t="s">
        <v>41</v>
      </c>
      <c r="G1140">
        <v>0</v>
      </c>
      <c r="H1140">
        <f>((0/1000) * G1140)</f>
        <v>0</v>
      </c>
      <c r="I1140">
        <v>0</v>
      </c>
      <c r="J1140">
        <v>0</v>
      </c>
      <c r="K1140" s="4535">
        <v>529250.91</v>
      </c>
      <c r="L1140" s="4536">
        <f>(K1140 * G1140)</f>
        <v>0</v>
      </c>
      <c r="M1140" s="4537">
        <v>740951.27</v>
      </c>
      <c r="N1140" s="4538">
        <f>(G1140 * M1140)</f>
        <v>0</v>
      </c>
      <c r="O1140">
        <v>0</v>
      </c>
      <c r="P1140">
        <v>0</v>
      </c>
      <c r="Q1140">
        <f>IF(O1140&gt;G1140,(O1140-G1140),0)</f>
        <v>0</v>
      </c>
      <c r="R1140">
        <v>0</v>
      </c>
      <c r="S1140">
        <f>IF(Q1140&gt;0,Int(P1140/Q1140),0)</f>
        <v>0</v>
      </c>
      <c r="T1140">
        <f>0</f>
        <v>0</v>
      </c>
      <c r="U1140"/>
      <c r="V1140">
        <v>529250.91</v>
      </c>
      <c r="W1140" t="s">
        <v>75</v>
      </c>
      <c r="X1140"/>
    </row>
    <row r="1141" spans="1:27">
      <c r="A1141" t="s">
        <v>35</v>
      </c>
      <c r="B1141" t="s">
        <v>29</v>
      </c>
      <c r="C1141" t="s">
        <v>3978</v>
      </c>
      <c r="D1141" t="s">
        <v>3979</v>
      </c>
      <c r="E1141" t="s">
        <v>3980</v>
      </c>
      <c r="F1141" t="s">
        <v>41</v>
      </c>
      <c r="G1141">
        <v>2</v>
      </c>
      <c r="H1141">
        <f>((0/1000) * G1141)</f>
        <v>0</v>
      </c>
      <c r="I1141">
        <v>0</v>
      </c>
      <c r="J1141">
        <v>2</v>
      </c>
      <c r="K1141" s="4539">
        <v>359037.54</v>
      </c>
      <c r="L1141" s="4540">
        <f>(K1141 * G1141)</f>
        <v>718075.08</v>
      </c>
      <c r="M1141" s="4541">
        <v>502652.56</v>
      </c>
      <c r="N1141" s="4542">
        <f>(G1141 * M1141)</f>
        <v>1005305.12</v>
      </c>
      <c r="O1141">
        <v>0</v>
      </c>
      <c r="P1141">
        <v>0</v>
      </c>
      <c r="Q1141">
        <f>IF(O1141&gt;G1141,(O1141-G1141),0)</f>
        <v>0</v>
      </c>
      <c r="R1141">
        <v>1</v>
      </c>
      <c r="S1141">
        <f>IF(Q1141&gt;0,Int(P1141/Q1141),0)</f>
        <v>0</v>
      </c>
      <c r="T1141">
        <f>0</f>
        <v>0</v>
      </c>
      <c r="U1141"/>
      <c r="V1141">
        <v>359037.54</v>
      </c>
      <c r="W1141" t="s">
        <v>182</v>
      </c>
      <c r="X1141" t="s">
        <v>262</v>
      </c>
    </row>
    <row r="1142" spans="1:27">
      <c r="A1142" t="s">
        <v>35</v>
      </c>
      <c r="B1142" t="s">
        <v>29</v>
      </c>
      <c r="C1142" t="s">
        <v>1221</v>
      </c>
      <c r="D1142" t="s">
        <v>3981</v>
      </c>
      <c r="E1142" t="s">
        <v>3982</v>
      </c>
      <c r="F1142" t="s">
        <v>33</v>
      </c>
      <c r="G1142">
        <v>0</v>
      </c>
      <c r="H1142">
        <f>((0/1000) * G1142)</f>
        <v>0</v>
      </c>
      <c r="I1142">
        <v>0</v>
      </c>
      <c r="J1142">
        <v>0</v>
      </c>
      <c r="K1142" s="4543">
        <v>349091.5</v>
      </c>
      <c r="L1142" s="4544">
        <f>(K1142 * G1142)</f>
        <v>0</v>
      </c>
      <c r="M1142" s="4545">
        <v>488728.1</v>
      </c>
      <c r="N1142" s="4546">
        <f>(G1142 * M1142)</f>
        <v>0</v>
      </c>
      <c r="O1142">
        <v>0</v>
      </c>
      <c r="P1142">
        <v>0</v>
      </c>
      <c r="Q1142">
        <f>IF(O1142&gt;G1142,(O1142-G1142),0)</f>
        <v>0</v>
      </c>
      <c r="R1142">
        <v>0</v>
      </c>
      <c r="S1142">
        <f>IF(Q1142&gt;0,Int(P1142/Q1142),0)</f>
        <v>0</v>
      </c>
      <c r="T1142">
        <f>0</f>
        <v>0</v>
      </c>
      <c r="U1142"/>
      <c r="V1142">
        <v>349091.5</v>
      </c>
      <c r="W1142" t="s">
        <v>529</v>
      </c>
      <c r="X1142"/>
    </row>
    <row r="1143" spans="1:27">
      <c r="A1143" t="s">
        <v>35</v>
      </c>
      <c r="B1143" t="s">
        <v>29</v>
      </c>
      <c r="C1143" t="s">
        <v>3983</v>
      </c>
      <c r="D1143" t="s">
        <v>3983</v>
      </c>
      <c r="E1143" t="s">
        <v>3984</v>
      </c>
      <c r="F1143" t="s">
        <v>33</v>
      </c>
      <c r="G1143">
        <v>0</v>
      </c>
      <c r="H1143">
        <f>((1/1000) * G1143)</f>
        <v>0</v>
      </c>
      <c r="I1143">
        <v>0</v>
      </c>
      <c r="J1143">
        <v>0</v>
      </c>
      <c r="K1143" s="4547">
        <v>0</v>
      </c>
      <c r="L1143" s="4548">
        <f>(K1143 * G1143)</f>
        <v>0</v>
      </c>
      <c r="M1143" s="4549">
        <v>0</v>
      </c>
      <c r="N1143" s="4550">
        <f>(G1143 * M1143)</f>
        <v>0</v>
      </c>
      <c r="O1143">
        <v>0</v>
      </c>
      <c r="P1143">
        <v>0</v>
      </c>
      <c r="Q1143">
        <f>IF(O1143&gt;G1143,(O1143-G1143),0)</f>
        <v>0</v>
      </c>
      <c r="R1143">
        <v>0</v>
      </c>
      <c r="S1143">
        <f>IF(Q1143&gt;0,Int(P1143/Q1143),0)</f>
        <v>0</v>
      </c>
      <c r="T1143">
        <f>0</f>
        <v>0</v>
      </c>
      <c r="U1143"/>
      <c r="V1143">
        <v>0</v>
      </c>
      <c r="W1143">
        <v>0</v>
      </c>
      <c r="X1143"/>
    </row>
    <row r="1144" spans="1:27">
      <c r="A1144" t="s">
        <v>35</v>
      </c>
      <c r="B1144" t="s">
        <v>29</v>
      </c>
      <c r="C1144" t="s">
        <v>3985</v>
      </c>
      <c r="D1144" t="s">
        <v>3985</v>
      </c>
      <c r="E1144" t="s">
        <v>3986</v>
      </c>
      <c r="F1144" t="s">
        <v>33</v>
      </c>
      <c r="G1144">
        <v>0</v>
      </c>
      <c r="H1144">
        <f>((1/1000) * G1144)</f>
        <v>0</v>
      </c>
      <c r="I1144">
        <v>0</v>
      </c>
      <c r="J1144">
        <v>0</v>
      </c>
      <c r="K1144" s="4551">
        <v>0</v>
      </c>
      <c r="L1144" s="4552">
        <f>(K1144 * G1144)</f>
        <v>0</v>
      </c>
      <c r="M1144" s="4553">
        <v>0</v>
      </c>
      <c r="N1144" s="4554">
        <f>(G1144 * M1144)</f>
        <v>0</v>
      </c>
      <c r="O1144">
        <v>0</v>
      </c>
      <c r="P1144">
        <v>0</v>
      </c>
      <c r="Q1144">
        <f>IF(O1144&gt;G1144,(O1144-G1144),0)</f>
        <v>0</v>
      </c>
      <c r="R1144">
        <v>0</v>
      </c>
      <c r="S1144">
        <f>IF(Q1144&gt;0,Int(P1144/Q1144),0)</f>
        <v>0</v>
      </c>
      <c r="T1144">
        <f>0</f>
        <v>0</v>
      </c>
      <c r="U1144"/>
      <c r="V1144">
        <v>0</v>
      </c>
      <c r="W1144">
        <v>0</v>
      </c>
      <c r="X1144"/>
    </row>
    <row r="1145" spans="1:27">
      <c r="A1145" t="s">
        <v>35</v>
      </c>
      <c r="B1145" t="s">
        <v>29</v>
      </c>
      <c r="C1145" t="s">
        <v>3987</v>
      </c>
      <c r="D1145" t="s">
        <v>3987</v>
      </c>
      <c r="E1145" t="s">
        <v>3988</v>
      </c>
      <c r="F1145" t="s">
        <v>33</v>
      </c>
      <c r="G1145">
        <v>0</v>
      </c>
      <c r="H1145">
        <f>((1/1000) * G1145)</f>
        <v>0</v>
      </c>
      <c r="I1145">
        <v>0</v>
      </c>
      <c r="J1145">
        <v>0</v>
      </c>
      <c r="K1145" s="4555">
        <v>0</v>
      </c>
      <c r="L1145" s="4556">
        <f>(K1145 * G1145)</f>
        <v>0</v>
      </c>
      <c r="M1145" s="4557">
        <v>0</v>
      </c>
      <c r="N1145" s="4558">
        <f>(G1145 * M1145)</f>
        <v>0</v>
      </c>
      <c r="O1145">
        <v>0</v>
      </c>
      <c r="P1145">
        <v>0</v>
      </c>
      <c r="Q1145">
        <f>IF(O1145&gt;G1145,(O1145-G1145),0)</f>
        <v>0</v>
      </c>
      <c r="R1145">
        <v>0</v>
      </c>
      <c r="S1145">
        <f>IF(Q1145&gt;0,Int(P1145/Q1145),0)</f>
        <v>0</v>
      </c>
      <c r="T1145">
        <f>0</f>
        <v>0</v>
      </c>
      <c r="U1145"/>
      <c r="V1145">
        <v>0</v>
      </c>
      <c r="W1145">
        <v>0</v>
      </c>
      <c r="X1145"/>
    </row>
    <row r="1146" spans="1:27">
      <c r="A1146" t="s">
        <v>35</v>
      </c>
      <c r="B1146" t="s">
        <v>29</v>
      </c>
      <c r="C1146" t="s">
        <v>3989</v>
      </c>
      <c r="D1146" t="s">
        <v>3989</v>
      </c>
      <c r="E1146" t="s">
        <v>3990</v>
      </c>
      <c r="F1146" t="s">
        <v>33</v>
      </c>
      <c r="G1146">
        <v>0</v>
      </c>
      <c r="H1146">
        <f>((1/1000) * G1146)</f>
        <v>0</v>
      </c>
      <c r="I1146">
        <v>0</v>
      </c>
      <c r="J1146">
        <v>0</v>
      </c>
      <c r="K1146" s="4559">
        <v>0</v>
      </c>
      <c r="L1146" s="4560">
        <f>(K1146 * G1146)</f>
        <v>0</v>
      </c>
      <c r="M1146" s="4561">
        <v>0</v>
      </c>
      <c r="N1146" s="4562">
        <f>(G1146 * M1146)</f>
        <v>0</v>
      </c>
      <c r="O1146">
        <v>0</v>
      </c>
      <c r="P1146">
        <v>0</v>
      </c>
      <c r="Q1146">
        <f>IF(O1146&gt;G1146,(O1146-G1146),0)</f>
        <v>0</v>
      </c>
      <c r="R1146">
        <v>0</v>
      </c>
      <c r="S1146">
        <f>IF(Q1146&gt;0,Int(P1146/Q1146),0)</f>
        <v>0</v>
      </c>
      <c r="T1146">
        <f>0</f>
        <v>0</v>
      </c>
      <c r="U1146"/>
      <c r="V1146">
        <v>0</v>
      </c>
      <c r="W1146">
        <v>0</v>
      </c>
      <c r="X1146"/>
    </row>
    <row r="1147" spans="1:27">
      <c r="A1147" t="s">
        <v>28</v>
      </c>
      <c r="B1147" t="s">
        <v>29</v>
      </c>
      <c r="C1147" t="s">
        <v>3991</v>
      </c>
      <c r="D1147" t="s">
        <v>3992</v>
      </c>
      <c r="E1147" t="s">
        <v>3993</v>
      </c>
      <c r="F1147" t="s">
        <v>33</v>
      </c>
      <c r="G1147">
        <v>0</v>
      </c>
      <c r="H1147">
        <f>((0/1000) * G1147)</f>
        <v>0</v>
      </c>
      <c r="I1147">
        <v>0</v>
      </c>
      <c r="J1147">
        <v>0</v>
      </c>
      <c r="K1147" s="4563">
        <v>53895.23</v>
      </c>
      <c r="L1147" s="4564">
        <f>(K1147 * G1147)</f>
        <v>0</v>
      </c>
      <c r="M1147" s="4565">
        <v>75453.32</v>
      </c>
      <c r="N1147" s="4566">
        <f>(G1147 * M1147)</f>
        <v>0</v>
      </c>
      <c r="O1147">
        <v>0</v>
      </c>
      <c r="P1147">
        <v>0</v>
      </c>
      <c r="Q1147">
        <f>IF(O1147&gt;G1147,(O1147-G1147),0)</f>
        <v>0</v>
      </c>
      <c r="R1147">
        <v>1</v>
      </c>
      <c r="S1147">
        <f>IF(Q1147&gt;0,Int(P1147/Q1147),0)</f>
        <v>0</v>
      </c>
      <c r="T1147">
        <f>0</f>
        <v>0</v>
      </c>
      <c r="U1147"/>
      <c r="V1147">
        <v>53895.23</v>
      </c>
      <c r="W1147" t="s">
        <v>75</v>
      </c>
      <c r="X1147"/>
    </row>
    <row r="1148" spans="1:27">
      <c r="A1148" t="s">
        <v>28</v>
      </c>
      <c r="B1148" t="s">
        <v>29</v>
      </c>
      <c r="C1148" t="s">
        <v>3994</v>
      </c>
      <c r="D1148" t="s">
        <v>3995</v>
      </c>
      <c r="E1148" t="s">
        <v>3996</v>
      </c>
      <c r="F1148" t="s">
        <v>33</v>
      </c>
      <c r="G1148">
        <v>0</v>
      </c>
      <c r="H1148">
        <f>((0/1000) * G1148)</f>
        <v>0</v>
      </c>
      <c r="I1148">
        <v>0</v>
      </c>
      <c r="J1148">
        <v>0</v>
      </c>
      <c r="K1148" s="4567">
        <v>266115.7</v>
      </c>
      <c r="L1148" s="4568">
        <f>(K1148 * G1148)</f>
        <v>0</v>
      </c>
      <c r="M1148" s="4569">
        <v>292727.27</v>
      </c>
      <c r="N1148" s="4570">
        <f>(G1148 * M1148)</f>
        <v>0</v>
      </c>
      <c r="O1148">
        <v>0</v>
      </c>
      <c r="P1148">
        <v>0</v>
      </c>
      <c r="Q1148">
        <f>IF(O1148&gt;G1148,(O1148-G1148),0)</f>
        <v>0</v>
      </c>
      <c r="R1148">
        <v>1</v>
      </c>
      <c r="S1148">
        <f>IF(Q1148&gt;0,Int(P1148/Q1148),0)</f>
        <v>0</v>
      </c>
      <c r="T1148">
        <f>190157.78</f>
        <v>190157.78</v>
      </c>
      <c r="U1148" t="s">
        <v>3997</v>
      </c>
      <c r="V1148">
        <v>266115.7</v>
      </c>
      <c r="W1148" t="s">
        <v>43</v>
      </c>
      <c r="X1148"/>
    </row>
    <row r="1149" spans="1:27">
      <c r="A1149" t="s">
        <v>35</v>
      </c>
      <c r="B1149" t="s">
        <v>29</v>
      </c>
      <c r="C1149" t="s">
        <v>3998</v>
      </c>
      <c r="D1149" t="s">
        <v>3345</v>
      </c>
      <c r="E1149" t="s">
        <v>3999</v>
      </c>
      <c r="F1149" t="s">
        <v>33</v>
      </c>
      <c r="G1149">
        <v>0</v>
      </c>
      <c r="H1149">
        <f>((0/1000) * G1149)</f>
        <v>0</v>
      </c>
      <c r="I1149">
        <v>0</v>
      </c>
      <c r="J1149">
        <v>0</v>
      </c>
      <c r="K1149" s="4571">
        <v>119241.88</v>
      </c>
      <c r="L1149" s="4572">
        <f>(K1149 * G1149)</f>
        <v>0</v>
      </c>
      <c r="M1149" s="4573">
        <v>166938.64</v>
      </c>
      <c r="N1149" s="4574">
        <f>(G1149 * M1149)</f>
        <v>0</v>
      </c>
      <c r="O1149">
        <v>0</v>
      </c>
      <c r="P1149">
        <v>0</v>
      </c>
      <c r="Q1149">
        <f>IF(O1149&gt;G1149,(O1149-G1149),0)</f>
        <v>0</v>
      </c>
      <c r="R1149">
        <v>1</v>
      </c>
      <c r="S1149">
        <f>IF(Q1149&gt;0,Int(P1149/Q1149),0)</f>
        <v>0</v>
      </c>
      <c r="T1149">
        <f>0</f>
        <v>0</v>
      </c>
      <c r="U1149"/>
      <c r="V1149">
        <v>119241.88</v>
      </c>
      <c r="W1149" t="s">
        <v>75</v>
      </c>
      <c r="X1149"/>
    </row>
    <row r="1150" spans="1:27">
      <c r="A1150" t="s">
        <v>28</v>
      </c>
      <c r="B1150" t="s">
        <v>29</v>
      </c>
      <c r="C1150" t="s">
        <v>4000</v>
      </c>
      <c r="D1150" t="s">
        <v>4001</v>
      </c>
      <c r="E1150" t="s">
        <v>4002</v>
      </c>
      <c r="F1150" t="s">
        <v>33</v>
      </c>
      <c r="G1150">
        <v>0</v>
      </c>
      <c r="H1150">
        <f>((0/1000) * G1150)</f>
        <v>0</v>
      </c>
      <c r="I1150">
        <v>0</v>
      </c>
      <c r="J1150">
        <v>0</v>
      </c>
      <c r="K1150" s="4575">
        <v>119634.74</v>
      </c>
      <c r="L1150" s="4576">
        <f>(K1150 * G1150)</f>
        <v>0</v>
      </c>
      <c r="M1150" s="4577">
        <v>167488.64</v>
      </c>
      <c r="N1150" s="4578">
        <f>(G1150 * M1150)</f>
        <v>0</v>
      </c>
      <c r="O1150">
        <v>0</v>
      </c>
      <c r="P1150">
        <v>0</v>
      </c>
      <c r="Q1150">
        <f>IF(O1150&gt;G1150,(O1150-G1150),0)</f>
        <v>0</v>
      </c>
      <c r="R1150">
        <v>0</v>
      </c>
      <c r="S1150">
        <f>IF(Q1150&gt;0,Int(P1150/Q1150),0)</f>
        <v>0</v>
      </c>
      <c r="T1150">
        <f>0</f>
        <v>0</v>
      </c>
      <c r="U1150"/>
      <c r="V1150">
        <v>119634.74</v>
      </c>
      <c r="W1150" t="s">
        <v>75</v>
      </c>
      <c r="X1150"/>
    </row>
    <row r="1151" spans="1:27">
      <c r="A1151" t="s">
        <v>28</v>
      </c>
      <c r="B1151" t="s">
        <v>29</v>
      </c>
      <c r="C1151" t="s">
        <v>4003</v>
      </c>
      <c r="D1151" t="s">
        <v>244</v>
      </c>
      <c r="E1151" t="s">
        <v>4004</v>
      </c>
      <c r="F1151" t="s">
        <v>33</v>
      </c>
      <c r="G1151">
        <v>0</v>
      </c>
      <c r="H1151">
        <f>((0/1000) * G1151)</f>
        <v>0</v>
      </c>
      <c r="I1151">
        <v>0</v>
      </c>
      <c r="J1151">
        <v>0</v>
      </c>
      <c r="K1151" s="4579">
        <v>143000</v>
      </c>
      <c r="L1151" s="4580">
        <f>(K1151 * G1151)</f>
        <v>0</v>
      </c>
      <c r="M1151" s="4581">
        <v>200200</v>
      </c>
      <c r="N1151" s="4582">
        <f>(G1151 * M1151)</f>
        <v>0</v>
      </c>
      <c r="O1151">
        <v>0</v>
      </c>
      <c r="P1151">
        <v>0</v>
      </c>
      <c r="Q1151">
        <f>IF(O1151&gt;G1151,(O1151-G1151),0)</f>
        <v>0</v>
      </c>
      <c r="R1151">
        <v>1</v>
      </c>
      <c r="S1151">
        <f>IF(Q1151&gt;0,Int(P1151/Q1151),0)</f>
        <v>0</v>
      </c>
      <c r="T1151">
        <f>0</f>
        <v>0</v>
      </c>
      <c r="U1151" t="s">
        <v>4005</v>
      </c>
      <c r="V1151">
        <v>143000</v>
      </c>
      <c r="W1151" t="s">
        <v>75</v>
      </c>
      <c r="X1151"/>
    </row>
    <row r="1152" spans="1:27">
      <c r="A1152" t="s">
        <v>28</v>
      </c>
      <c r="B1152" t="s">
        <v>29</v>
      </c>
      <c r="C1152" t="s">
        <v>4006</v>
      </c>
      <c r="D1152" t="s">
        <v>1223</v>
      </c>
      <c r="E1152" t="s">
        <v>4007</v>
      </c>
      <c r="F1152" t="s">
        <v>33</v>
      </c>
      <c r="G1152">
        <v>0</v>
      </c>
      <c r="H1152">
        <f>((0/1000) * G1152)</f>
        <v>0</v>
      </c>
      <c r="I1152">
        <v>0</v>
      </c>
      <c r="J1152">
        <v>0</v>
      </c>
      <c r="K1152" s="4583">
        <v>130250.26</v>
      </c>
      <c r="L1152" s="4584">
        <f>(K1152 * G1152)</f>
        <v>0</v>
      </c>
      <c r="M1152" s="4585">
        <v>182350.36</v>
      </c>
      <c r="N1152" s="4586">
        <f>(G1152 * M1152)</f>
        <v>0</v>
      </c>
      <c r="O1152">
        <v>0</v>
      </c>
      <c r="P1152">
        <v>0</v>
      </c>
      <c r="Q1152">
        <f>IF(O1152&gt;G1152,(O1152-G1152),0)</f>
        <v>0</v>
      </c>
      <c r="R1152">
        <v>0</v>
      </c>
      <c r="S1152">
        <f>IF(Q1152&gt;0,Int(P1152/Q1152),0)</f>
        <v>0</v>
      </c>
      <c r="T1152">
        <f>0</f>
        <v>0</v>
      </c>
      <c r="U1152"/>
      <c r="V1152">
        <v>130250.26</v>
      </c>
      <c r="W1152" t="s">
        <v>75</v>
      </c>
      <c r="X1152"/>
    </row>
    <row r="1153" spans="1:27">
      <c r="A1153" t="s">
        <v>28</v>
      </c>
      <c r="B1153" t="s">
        <v>29</v>
      </c>
      <c r="C1153" t="s">
        <v>4008</v>
      </c>
      <c r="D1153" t="s">
        <v>4009</v>
      </c>
      <c r="E1153" t="s">
        <v>4010</v>
      </c>
      <c r="F1153" t="s">
        <v>41</v>
      </c>
      <c r="G1153">
        <v>0</v>
      </c>
      <c r="H1153">
        <f>((0/1000) * G1153)</f>
        <v>0</v>
      </c>
      <c r="I1153">
        <v>0</v>
      </c>
      <c r="J1153">
        <v>0</v>
      </c>
      <c r="K1153" s="4587">
        <v>305545.46</v>
      </c>
      <c r="L1153" s="4588">
        <f>(K1153 * G1153)</f>
        <v>0</v>
      </c>
      <c r="M1153" s="4589">
        <v>427763.64</v>
      </c>
      <c r="N1153" s="4590">
        <f>(G1153 * M1153)</f>
        <v>0</v>
      </c>
      <c r="O1153">
        <v>0</v>
      </c>
      <c r="P1153">
        <v>0</v>
      </c>
      <c r="Q1153">
        <f>IF(O1153&gt;G1153,(O1153-G1153),0)</f>
        <v>0</v>
      </c>
      <c r="R1153">
        <v>1</v>
      </c>
      <c r="S1153">
        <f>IF(Q1153&gt;0,Int(P1153/Q1153),0)</f>
        <v>0</v>
      </c>
      <c r="T1153">
        <f>305545.46</f>
        <v>305545.46</v>
      </c>
      <c r="U1153" t="s">
        <v>4011</v>
      </c>
      <c r="V1153">
        <v>305545.46</v>
      </c>
      <c r="W1153" t="s">
        <v>75</v>
      </c>
      <c r="X1153"/>
    </row>
    <row r="1154" spans="1:27">
      <c r="A1154" t="s">
        <v>28</v>
      </c>
      <c r="B1154" t="s">
        <v>29</v>
      </c>
      <c r="C1154" t="s">
        <v>4012</v>
      </c>
      <c r="D1154" t="s">
        <v>4013</v>
      </c>
      <c r="E1154" t="s">
        <v>4014</v>
      </c>
      <c r="F1154" t="s">
        <v>33</v>
      </c>
      <c r="G1154">
        <v>0</v>
      </c>
      <c r="H1154">
        <f>((0/1000) * G1154)</f>
        <v>0</v>
      </c>
      <c r="I1154">
        <v>0</v>
      </c>
      <c r="J1154">
        <v>0</v>
      </c>
      <c r="K1154" s="4591">
        <v>183383.12</v>
      </c>
      <c r="L1154" s="4592">
        <f>(K1154 * G1154)</f>
        <v>0</v>
      </c>
      <c r="M1154" s="4593">
        <v>256736.37</v>
      </c>
      <c r="N1154" s="4594">
        <f>(G1154 * M1154)</f>
        <v>0</v>
      </c>
      <c r="O1154">
        <v>0</v>
      </c>
      <c r="P1154">
        <v>0</v>
      </c>
      <c r="Q1154">
        <f>IF(O1154&gt;G1154,(O1154-G1154),0)</f>
        <v>0</v>
      </c>
      <c r="R1154">
        <v>1</v>
      </c>
      <c r="S1154">
        <f>IF(Q1154&gt;0,Int(P1154/Q1154),0)</f>
        <v>0</v>
      </c>
      <c r="T1154">
        <f>0</f>
        <v>0</v>
      </c>
      <c r="U1154"/>
      <c r="V1154">
        <v>183383.12</v>
      </c>
      <c r="W1154" t="s">
        <v>75</v>
      </c>
      <c r="X1154"/>
    </row>
    <row r="1155" spans="1:27">
      <c r="A1155" t="s">
        <v>28</v>
      </c>
      <c r="B1155" t="s">
        <v>29</v>
      </c>
      <c r="C1155" t="s">
        <v>4015</v>
      </c>
      <c r="D1155" t="s">
        <v>4016</v>
      </c>
      <c r="E1155" t="s">
        <v>4017</v>
      </c>
      <c r="F1155" t="s">
        <v>33</v>
      </c>
      <c r="G1155">
        <v>0</v>
      </c>
      <c r="H1155">
        <f>((0/1000) * G1155)</f>
        <v>0</v>
      </c>
      <c r="I1155">
        <v>0</v>
      </c>
      <c r="J1155">
        <v>0</v>
      </c>
      <c r="K1155" s="4595">
        <v>47754.97</v>
      </c>
      <c r="L1155" s="4596">
        <f>(K1155 * G1155)</f>
        <v>0</v>
      </c>
      <c r="M1155" s="4597">
        <v>66856.95</v>
      </c>
      <c r="N1155" s="4598">
        <f>(G1155 * M1155)</f>
        <v>0</v>
      </c>
      <c r="O1155">
        <v>0</v>
      </c>
      <c r="P1155">
        <v>0</v>
      </c>
      <c r="Q1155">
        <f>IF(O1155&gt;G1155,(O1155-G1155),0)</f>
        <v>0</v>
      </c>
      <c r="R1155">
        <v>1</v>
      </c>
      <c r="S1155">
        <f>IF(Q1155&gt;0,Int(P1155/Q1155),0)</f>
        <v>0</v>
      </c>
      <c r="T1155">
        <f>0</f>
        <v>0</v>
      </c>
      <c r="U1155"/>
      <c r="V1155">
        <v>47754.97</v>
      </c>
      <c r="W1155" t="s">
        <v>75</v>
      </c>
      <c r="X1155"/>
    </row>
    <row r="1156" spans="1:27">
      <c r="A1156" t="s">
        <v>28</v>
      </c>
      <c r="B1156" t="s">
        <v>29</v>
      </c>
      <c r="C1156" t="s">
        <v>4018</v>
      </c>
      <c r="D1156" t="s">
        <v>4019</v>
      </c>
      <c r="E1156" t="s">
        <v>4020</v>
      </c>
      <c r="F1156" t="s">
        <v>41</v>
      </c>
      <c r="G1156">
        <v>5</v>
      </c>
      <c r="H1156">
        <f>((0/1000) * G1156)</f>
        <v>0</v>
      </c>
      <c r="I1156">
        <v>4</v>
      </c>
      <c r="J1156">
        <v>1</v>
      </c>
      <c r="K1156" s="4599">
        <v>247685.91</v>
      </c>
      <c r="L1156" s="4600">
        <f>(K1156 * G1156)</f>
        <v>1238429.55</v>
      </c>
      <c r="M1156" s="4601">
        <v>346760.27</v>
      </c>
      <c r="N1156" s="4602">
        <f>(G1156 * M1156)</f>
        <v>1733801.35</v>
      </c>
      <c r="O1156">
        <v>0</v>
      </c>
      <c r="P1156">
        <v>0</v>
      </c>
      <c r="Q1156">
        <f>IF(O1156&gt;G1156,(O1156-G1156),0)</f>
        <v>0</v>
      </c>
      <c r="R1156">
        <v>1</v>
      </c>
      <c r="S1156">
        <f>IF(Q1156&gt;0,Int(P1156/Q1156),0)</f>
        <v>0</v>
      </c>
      <c r="T1156">
        <f>238335.09</f>
        <v>238335.09</v>
      </c>
      <c r="U1156" t="s">
        <v>4021</v>
      </c>
      <c r="V1156">
        <v>247685.91</v>
      </c>
      <c r="W1156" t="s">
        <v>182</v>
      </c>
      <c r="X1156" t="s">
        <v>81</v>
      </c>
    </row>
    <row r="1157" spans="1:27">
      <c r="A1157" t="s">
        <v>28</v>
      </c>
      <c r="B1157" t="s">
        <v>29</v>
      </c>
      <c r="C1157" t="s">
        <v>4022</v>
      </c>
      <c r="D1157" t="s">
        <v>4023</v>
      </c>
      <c r="E1157" t="s">
        <v>4024</v>
      </c>
      <c r="F1157" t="s">
        <v>41</v>
      </c>
      <c r="G1157">
        <v>0</v>
      </c>
      <c r="H1157">
        <f>((0/1000) * G1157)</f>
        <v>0</v>
      </c>
      <c r="I1157">
        <v>0</v>
      </c>
      <c r="J1157">
        <v>0</v>
      </c>
      <c r="K1157" s="4603">
        <v>247685.91</v>
      </c>
      <c r="L1157" s="4604">
        <f>(K1157 * G1157)</f>
        <v>0</v>
      </c>
      <c r="M1157" s="4605">
        <v>346760.27</v>
      </c>
      <c r="N1157" s="4606">
        <f>(G1157 * M1157)</f>
        <v>0</v>
      </c>
      <c r="O1157">
        <v>0</v>
      </c>
      <c r="P1157">
        <v>0</v>
      </c>
      <c r="Q1157">
        <f>IF(O1157&gt;G1157,(O1157-G1157),0)</f>
        <v>0</v>
      </c>
      <c r="R1157">
        <v>1</v>
      </c>
      <c r="S1157">
        <f>IF(Q1157&gt;0,Int(P1157/Q1157),0)</f>
        <v>0</v>
      </c>
      <c r="T1157">
        <f>180958.86</f>
        <v>180958.86</v>
      </c>
      <c r="U1157" t="s">
        <v>3133</v>
      </c>
      <c r="V1157">
        <v>247685.91</v>
      </c>
      <c r="W1157" t="s">
        <v>182</v>
      </c>
      <c r="X1157" t="s">
        <v>81</v>
      </c>
    </row>
    <row r="1158" spans="1:27">
      <c r="A1158" t="s">
        <v>28</v>
      </c>
      <c r="B1158" t="s">
        <v>29</v>
      </c>
      <c r="C1158" t="s">
        <v>4025</v>
      </c>
      <c r="D1158" t="s">
        <v>4026</v>
      </c>
      <c r="E1158" t="s">
        <v>4027</v>
      </c>
      <c r="F1158" t="s">
        <v>41</v>
      </c>
      <c r="G1158">
        <v>4</v>
      </c>
      <c r="H1158">
        <f>((0/1000) * G1158)</f>
        <v>0</v>
      </c>
      <c r="I1158">
        <v>4</v>
      </c>
      <c r="J1158">
        <v>0</v>
      </c>
      <c r="K1158" s="4607">
        <v>219421.56</v>
      </c>
      <c r="L1158" s="4608">
        <f>(K1158 * G1158)</f>
        <v>877686.24</v>
      </c>
      <c r="M1158" s="4609">
        <v>307190.18</v>
      </c>
      <c r="N1158" s="4610">
        <f>(G1158 * M1158)</f>
        <v>1228760.72</v>
      </c>
      <c r="O1158">
        <v>0</v>
      </c>
      <c r="P1158">
        <v>0</v>
      </c>
      <c r="Q1158">
        <f>IF(O1158&gt;G1158,(O1158-G1158),0)</f>
        <v>0</v>
      </c>
      <c r="R1158">
        <v>1</v>
      </c>
      <c r="S1158">
        <f>IF(Q1158&gt;0,Int(P1158/Q1158),0)</f>
        <v>0</v>
      </c>
      <c r="T1158">
        <f>227721.26</f>
        <v>227721.26</v>
      </c>
      <c r="U1158" t="s">
        <v>4028</v>
      </c>
      <c r="V1158">
        <v>219421.56</v>
      </c>
      <c r="W1158" t="s">
        <v>301</v>
      </c>
      <c r="X1158"/>
    </row>
    <row r="1159" spans="1:27">
      <c r="A1159" t="s">
        <v>35</v>
      </c>
      <c r="B1159" t="s">
        <v>29</v>
      </c>
      <c r="C1159" t="s">
        <v>4029</v>
      </c>
      <c r="D1159" t="s">
        <v>4030</v>
      </c>
      <c r="E1159" t="s">
        <v>4031</v>
      </c>
      <c r="F1159" t="s">
        <v>33</v>
      </c>
      <c r="G1159">
        <v>0</v>
      </c>
      <c r="H1159">
        <f>((0/1000) * G1159)</f>
        <v>0</v>
      </c>
      <c r="I1159">
        <v>0</v>
      </c>
      <c r="J1159">
        <v>0</v>
      </c>
      <c r="K1159" s="4611">
        <v>203636.36</v>
      </c>
      <c r="L1159" s="4612">
        <f>(K1159 * G1159)</f>
        <v>0</v>
      </c>
      <c r="M1159" s="4613">
        <v>224000</v>
      </c>
      <c r="N1159" s="4614">
        <f>(G1159 * M1159)</f>
        <v>0</v>
      </c>
      <c r="O1159">
        <v>0</v>
      </c>
      <c r="P1159">
        <v>0</v>
      </c>
      <c r="Q1159">
        <f>IF(O1159&gt;G1159,(O1159-G1159),0)</f>
        <v>0</v>
      </c>
      <c r="R1159">
        <v>1</v>
      </c>
      <c r="S1159">
        <f>IF(Q1159&gt;0,Int(P1159/Q1159),0)</f>
        <v>0</v>
      </c>
      <c r="T1159">
        <f>146694.21</f>
        <v>146694.21</v>
      </c>
      <c r="U1159" t="s">
        <v>413</v>
      </c>
      <c r="V1159">
        <v>203636.36</v>
      </c>
      <c r="W1159" t="s">
        <v>43</v>
      </c>
      <c r="X1159"/>
    </row>
    <row r="1160" spans="1:27">
      <c r="A1160" t="s">
        <v>28</v>
      </c>
      <c r="B1160" t="s">
        <v>29</v>
      </c>
      <c r="C1160" t="s">
        <v>4032</v>
      </c>
      <c r="D1160" t="s">
        <v>4033</v>
      </c>
      <c r="E1160" t="s">
        <v>4034</v>
      </c>
      <c r="F1160" t="s">
        <v>33</v>
      </c>
      <c r="G1160">
        <v>2</v>
      </c>
      <c r="H1160">
        <f>((0/1000) * G1160)</f>
        <v>0</v>
      </c>
      <c r="I1160">
        <v>0</v>
      </c>
      <c r="J1160">
        <v>2</v>
      </c>
      <c r="K1160" s="4615">
        <v>212071.41</v>
      </c>
      <c r="L1160" s="4616">
        <f>(K1160 * G1160)</f>
        <v>424142.82</v>
      </c>
      <c r="M1160" s="4617">
        <v>233278.55</v>
      </c>
      <c r="N1160" s="4618">
        <f>(G1160 * M1160)</f>
        <v>466557.1</v>
      </c>
      <c r="O1160">
        <v>0</v>
      </c>
      <c r="P1160">
        <v>0</v>
      </c>
      <c r="Q1160">
        <f>IF(O1160&gt;G1160,(O1160-G1160),0)</f>
        <v>0</v>
      </c>
      <c r="R1160">
        <v>1</v>
      </c>
      <c r="S1160">
        <f>IF(Q1160&gt;0,Int(P1160/Q1160),0)</f>
        <v>0</v>
      </c>
      <c r="T1160">
        <f>212071.41</f>
        <v>212071.41</v>
      </c>
      <c r="U1160" t="s">
        <v>4035</v>
      </c>
      <c r="V1160">
        <v>212071.41</v>
      </c>
      <c r="W1160" t="s">
        <v>43</v>
      </c>
      <c r="X1160" t="s">
        <v>4036</v>
      </c>
    </row>
    <row r="1161" spans="1:27">
      <c r="A1161" t="s">
        <v>28</v>
      </c>
      <c r="B1161" t="s">
        <v>29</v>
      </c>
      <c r="C1161" t="s">
        <v>4037</v>
      </c>
      <c r="D1161" t="s">
        <v>4038</v>
      </c>
      <c r="E1161" t="s">
        <v>4039</v>
      </c>
      <c r="F1161" t="s">
        <v>33</v>
      </c>
      <c r="G1161">
        <v>0</v>
      </c>
      <c r="H1161">
        <f>((0/1000) * G1161)</f>
        <v>0</v>
      </c>
      <c r="I1161">
        <v>0</v>
      </c>
      <c r="J1161">
        <v>0</v>
      </c>
      <c r="K1161" s="4619">
        <v>228090.75</v>
      </c>
      <c r="L1161" s="4620">
        <f>(K1161 * G1161)</f>
        <v>0</v>
      </c>
      <c r="M1161" s="4621">
        <v>319327.05</v>
      </c>
      <c r="N1161" s="4622">
        <f>(G1161 * M1161)</f>
        <v>0</v>
      </c>
      <c r="O1161">
        <v>0</v>
      </c>
      <c r="P1161">
        <v>0</v>
      </c>
      <c r="Q1161">
        <f>IF(O1161&gt;G1161,(O1161-G1161),0)</f>
        <v>0</v>
      </c>
      <c r="R1161">
        <v>1</v>
      </c>
      <c r="S1161">
        <f>IF(Q1161&gt;0,Int(P1161/Q1161),0)</f>
        <v>0</v>
      </c>
      <c r="T1161">
        <f>213057.92</f>
        <v>213057.92</v>
      </c>
      <c r="U1161" t="s">
        <v>4040</v>
      </c>
      <c r="V1161">
        <v>228090.75</v>
      </c>
      <c r="W1161" t="s">
        <v>182</v>
      </c>
      <c r="X1161"/>
    </row>
    <row r="1162" spans="1:27">
      <c r="A1162" t="s">
        <v>28</v>
      </c>
      <c r="B1162" t="s">
        <v>29</v>
      </c>
      <c r="C1162" t="s">
        <v>4041</v>
      </c>
      <c r="D1162" t="s">
        <v>4042</v>
      </c>
      <c r="E1162" t="s">
        <v>4039</v>
      </c>
      <c r="F1162" t="s">
        <v>33</v>
      </c>
      <c r="G1162">
        <v>0</v>
      </c>
      <c r="H1162">
        <f>((0/1000) * G1162)</f>
        <v>0</v>
      </c>
      <c r="I1162">
        <v>0</v>
      </c>
      <c r="J1162">
        <v>0</v>
      </c>
      <c r="K1162" s="4623">
        <v>208474.03</v>
      </c>
      <c r="L1162" s="4624">
        <f>(K1162 * G1162)</f>
        <v>0</v>
      </c>
      <c r="M1162" s="4625">
        <v>291863.64</v>
      </c>
      <c r="N1162" s="4626">
        <f>(G1162 * M1162)</f>
        <v>0</v>
      </c>
      <c r="O1162">
        <v>0</v>
      </c>
      <c r="P1162">
        <v>0</v>
      </c>
      <c r="Q1162">
        <f>IF(O1162&gt;G1162,(O1162-G1162),0)</f>
        <v>0</v>
      </c>
      <c r="R1162">
        <v>0</v>
      </c>
      <c r="S1162">
        <f>IF(Q1162&gt;0,Int(P1162/Q1162),0)</f>
        <v>0</v>
      </c>
      <c r="T1162">
        <f>0</f>
        <v>0</v>
      </c>
      <c r="U1162"/>
      <c r="V1162">
        <v>208474.03</v>
      </c>
      <c r="W1162" t="s">
        <v>148</v>
      </c>
      <c r="X1162"/>
    </row>
    <row r="1163" spans="1:27">
      <c r="A1163" t="s">
        <v>28</v>
      </c>
      <c r="B1163" t="s">
        <v>29</v>
      </c>
      <c r="C1163" t="s">
        <v>4043</v>
      </c>
      <c r="D1163" t="s">
        <v>4044</v>
      </c>
      <c r="E1163" t="s">
        <v>4045</v>
      </c>
      <c r="F1163" t="s">
        <v>41</v>
      </c>
      <c r="G1163">
        <v>0</v>
      </c>
      <c r="H1163">
        <f>((0/1000) * G1163)</f>
        <v>0</v>
      </c>
      <c r="I1163">
        <v>0</v>
      </c>
      <c r="J1163">
        <v>0</v>
      </c>
      <c r="K1163" s="4627">
        <v>264297.52</v>
      </c>
      <c r="L1163" s="4628">
        <f>(K1163 * G1163)</f>
        <v>0</v>
      </c>
      <c r="M1163" s="4629">
        <v>290727.27</v>
      </c>
      <c r="N1163" s="4630">
        <f>(G1163 * M1163)</f>
        <v>0</v>
      </c>
      <c r="O1163">
        <v>0</v>
      </c>
      <c r="P1163">
        <v>0</v>
      </c>
      <c r="Q1163">
        <f>IF(O1163&gt;G1163,(O1163-G1163),0)</f>
        <v>0</v>
      </c>
      <c r="R1163">
        <v>1</v>
      </c>
      <c r="S1163">
        <f>IF(Q1163&gt;0,Int(P1163/Q1163),0)</f>
        <v>0</v>
      </c>
      <c r="T1163">
        <f>264297.52</f>
        <v>264297.52</v>
      </c>
      <c r="U1163" t="s">
        <v>1828</v>
      </c>
      <c r="V1163">
        <v>264297.52</v>
      </c>
      <c r="W1163" t="s">
        <v>43</v>
      </c>
      <c r="X1163"/>
    </row>
    <row r="1164" spans="1:27">
      <c r="A1164" t="s">
        <v>28</v>
      </c>
      <c r="B1164" t="s">
        <v>29</v>
      </c>
      <c r="C1164" t="s">
        <v>4046</v>
      </c>
      <c r="D1164" t="s">
        <v>4047</v>
      </c>
      <c r="E1164" t="s">
        <v>4048</v>
      </c>
      <c r="F1164" t="s">
        <v>33</v>
      </c>
      <c r="G1164">
        <v>0</v>
      </c>
      <c r="H1164">
        <f>((0/1000) * G1164)</f>
        <v>0</v>
      </c>
      <c r="I1164">
        <v>0</v>
      </c>
      <c r="J1164">
        <v>0</v>
      </c>
      <c r="K1164" s="4631">
        <v>220958.68</v>
      </c>
      <c r="L1164" s="4632">
        <f>(K1164 * G1164)</f>
        <v>0</v>
      </c>
      <c r="M1164" s="4633">
        <v>309342.15</v>
      </c>
      <c r="N1164" s="4634">
        <f>(G1164 * M1164)</f>
        <v>0</v>
      </c>
      <c r="O1164">
        <v>0</v>
      </c>
      <c r="P1164">
        <v>0</v>
      </c>
      <c r="Q1164">
        <f>IF(O1164&gt;G1164,(O1164-G1164),0)</f>
        <v>0</v>
      </c>
      <c r="R1164">
        <v>0</v>
      </c>
      <c r="S1164">
        <f>IF(Q1164&gt;0,Int(P1164/Q1164),0)</f>
        <v>0</v>
      </c>
      <c r="T1164">
        <f>220958.68</f>
        <v>220958.68</v>
      </c>
      <c r="U1164" t="s">
        <v>4049</v>
      </c>
      <c r="V1164">
        <v>220958.68</v>
      </c>
      <c r="W1164" t="s">
        <v>529</v>
      </c>
      <c r="X1164"/>
    </row>
    <row r="1165" spans="1:27">
      <c r="A1165" t="s">
        <v>28</v>
      </c>
      <c r="B1165" t="s">
        <v>29</v>
      </c>
      <c r="C1165" t="s">
        <v>4050</v>
      </c>
      <c r="D1165" t="s">
        <v>4051</v>
      </c>
      <c r="E1165" t="s">
        <v>4052</v>
      </c>
      <c r="F1165" t="s">
        <v>33</v>
      </c>
      <c r="G1165">
        <v>0</v>
      </c>
      <c r="H1165">
        <f>((0/1000) * G1165)</f>
        <v>0</v>
      </c>
      <c r="I1165">
        <v>0</v>
      </c>
      <c r="J1165">
        <v>0</v>
      </c>
      <c r="K1165" s="4635">
        <v>134109.1</v>
      </c>
      <c r="L1165" s="4636">
        <f>(K1165 * G1165)</f>
        <v>0</v>
      </c>
      <c r="M1165" s="4637">
        <v>187752.73</v>
      </c>
      <c r="N1165" s="4638">
        <f>(G1165 * M1165)</f>
        <v>0</v>
      </c>
      <c r="O1165">
        <v>0</v>
      </c>
      <c r="P1165">
        <v>0</v>
      </c>
      <c r="Q1165">
        <f>IF(O1165&gt;G1165,(O1165-G1165),0)</f>
        <v>0</v>
      </c>
      <c r="R1165">
        <v>1</v>
      </c>
      <c r="S1165">
        <f>IF(Q1165&gt;0,Int(P1165/Q1165),0)</f>
        <v>0</v>
      </c>
      <c r="T1165">
        <f>134109.1</f>
        <v>134109.1</v>
      </c>
      <c r="U1165" t="s">
        <v>1375</v>
      </c>
      <c r="V1165">
        <v>134109.1</v>
      </c>
      <c r="W1165" t="s">
        <v>292</v>
      </c>
      <c r="X1165" t="s">
        <v>166</v>
      </c>
    </row>
    <row r="1166" spans="1:27">
      <c r="A1166" t="s">
        <v>28</v>
      </c>
      <c r="B1166" t="s">
        <v>29</v>
      </c>
      <c r="C1166" t="s">
        <v>4053</v>
      </c>
      <c r="D1166" t="s">
        <v>4054</v>
      </c>
      <c r="E1166" t="s">
        <v>4055</v>
      </c>
      <c r="F1166" t="s">
        <v>33</v>
      </c>
      <c r="G1166">
        <v>1</v>
      </c>
      <c r="H1166">
        <f>((0/1000) * G1166)</f>
        <v>0</v>
      </c>
      <c r="I1166">
        <v>0</v>
      </c>
      <c r="J1166">
        <v>1</v>
      </c>
      <c r="K1166" s="4639">
        <v>141000</v>
      </c>
      <c r="L1166" s="4640">
        <f>(K1166 * G1166)</f>
        <v>141000</v>
      </c>
      <c r="M1166" s="4641">
        <v>211500</v>
      </c>
      <c r="N1166" s="4642">
        <f>(G1166 * M1166)</f>
        <v>211500</v>
      </c>
      <c r="O1166">
        <v>0</v>
      </c>
      <c r="P1166">
        <v>0</v>
      </c>
      <c r="Q1166">
        <f>IF(O1166&gt;G1166,(O1166-G1166),0)</f>
        <v>0</v>
      </c>
      <c r="R1166">
        <v>0</v>
      </c>
      <c r="S1166">
        <f>IF(Q1166&gt;0,Int(P1166/Q1166),0)</f>
        <v>0</v>
      </c>
      <c r="T1166">
        <f>141000</f>
        <v>141000</v>
      </c>
      <c r="U1166" t="s">
        <v>993</v>
      </c>
      <c r="V1166">
        <v>141000</v>
      </c>
      <c r="W1166" t="s">
        <v>123</v>
      </c>
      <c r="X1166"/>
    </row>
    <row r="1167" spans="1:27">
      <c r="A1167" t="s">
        <v>28</v>
      </c>
      <c r="B1167" t="s">
        <v>29</v>
      </c>
      <c r="C1167" t="s">
        <v>4056</v>
      </c>
      <c r="D1167" t="s">
        <v>3167</v>
      </c>
      <c r="E1167" t="s">
        <v>4057</v>
      </c>
      <c r="F1167" t="s">
        <v>41</v>
      </c>
      <c r="G1167">
        <v>0</v>
      </c>
      <c r="H1167">
        <f>((0/1000) * G1167)</f>
        <v>0</v>
      </c>
      <c r="I1167">
        <v>0</v>
      </c>
      <c r="J1167">
        <v>0</v>
      </c>
      <c r="K1167" s="4643">
        <v>163610.62</v>
      </c>
      <c r="L1167" s="4644">
        <f>(K1167 * G1167)</f>
        <v>0</v>
      </c>
      <c r="M1167" s="4645">
        <v>229054.87</v>
      </c>
      <c r="N1167" s="4646">
        <f>(G1167 * M1167)</f>
        <v>0</v>
      </c>
      <c r="O1167">
        <v>0</v>
      </c>
      <c r="P1167">
        <v>0</v>
      </c>
      <c r="Q1167">
        <f>IF(O1167&gt;G1167,(O1167-G1167),0)</f>
        <v>0</v>
      </c>
      <c r="R1167">
        <v>1</v>
      </c>
      <c r="S1167">
        <f>IF(Q1167&gt;0,Int(P1167/Q1167),0)</f>
        <v>0</v>
      </c>
      <c r="T1167">
        <f>195160.91</f>
        <v>195160.91</v>
      </c>
      <c r="U1167" t="s">
        <v>4058</v>
      </c>
      <c r="V1167">
        <v>163610.62</v>
      </c>
      <c r="W1167" t="s">
        <v>75</v>
      </c>
      <c r="X1167"/>
    </row>
    <row r="1168" spans="1:27">
      <c r="A1168" t="s">
        <v>28</v>
      </c>
      <c r="B1168" t="s">
        <v>29</v>
      </c>
      <c r="C1168" t="s">
        <v>4059</v>
      </c>
      <c r="D1168" t="s">
        <v>4060</v>
      </c>
      <c r="E1168" t="s">
        <v>4061</v>
      </c>
      <c r="F1168" t="s">
        <v>41</v>
      </c>
      <c r="G1168">
        <v>0</v>
      </c>
      <c r="H1168">
        <f>((0/1000) * G1168)</f>
        <v>0</v>
      </c>
      <c r="I1168">
        <v>0</v>
      </c>
      <c r="J1168">
        <v>0</v>
      </c>
      <c r="K1168" s="4647">
        <v>220661.16</v>
      </c>
      <c r="L1168" s="4648">
        <f>(K1168 * G1168)</f>
        <v>0</v>
      </c>
      <c r="M1168" s="4649">
        <v>242727.28</v>
      </c>
      <c r="N1168" s="4650">
        <f>(G1168 * M1168)</f>
        <v>0</v>
      </c>
      <c r="O1168">
        <v>0</v>
      </c>
      <c r="P1168">
        <v>0</v>
      </c>
      <c r="Q1168">
        <f>IF(O1168&gt;G1168,(O1168-G1168),0)</f>
        <v>0</v>
      </c>
      <c r="R1168">
        <v>1</v>
      </c>
      <c r="S1168">
        <f>IF(Q1168&gt;0,Int(P1168/Q1168),0)</f>
        <v>0</v>
      </c>
      <c r="T1168">
        <f>0</f>
        <v>0</v>
      </c>
      <c r="U1168"/>
      <c r="V1168">
        <v>220661.16</v>
      </c>
      <c r="W1168" t="s">
        <v>43</v>
      </c>
      <c r="X1168"/>
    </row>
    <row r="1169" spans="1:27">
      <c r="A1169" t="s">
        <v>35</v>
      </c>
      <c r="B1169" t="s">
        <v>29</v>
      </c>
      <c r="C1169" t="s">
        <v>4062</v>
      </c>
      <c r="D1169" t="s">
        <v>4062</v>
      </c>
      <c r="E1169" t="s">
        <v>4063</v>
      </c>
      <c r="F1169" t="s">
        <v>33</v>
      </c>
      <c r="G1169">
        <v>0</v>
      </c>
      <c r="H1169">
        <f>((1/1000) * G1169)</f>
        <v>0</v>
      </c>
      <c r="I1169">
        <v>0</v>
      </c>
      <c r="J1169">
        <v>0</v>
      </c>
      <c r="K1169" s="4651">
        <v>0</v>
      </c>
      <c r="L1169" s="4652">
        <f>(K1169 * G1169)</f>
        <v>0</v>
      </c>
      <c r="M1169" s="4653">
        <v>0</v>
      </c>
      <c r="N1169" s="4654">
        <f>(G1169 * M1169)</f>
        <v>0</v>
      </c>
      <c r="O1169">
        <v>0</v>
      </c>
      <c r="P1169">
        <v>0</v>
      </c>
      <c r="Q1169">
        <f>IF(O1169&gt;G1169,(O1169-G1169),0)</f>
        <v>0</v>
      </c>
      <c r="R1169">
        <v>0</v>
      </c>
      <c r="S1169">
        <f>IF(Q1169&gt;0,Int(P1169/Q1169),0)</f>
        <v>0</v>
      </c>
      <c r="T1169">
        <f>0</f>
        <v>0</v>
      </c>
      <c r="U1169"/>
      <c r="V1169">
        <v>0</v>
      </c>
      <c r="W1169">
        <v>0</v>
      </c>
      <c r="X1169"/>
    </row>
    <row r="1170" spans="1:27">
      <c r="A1170" t="s">
        <v>35</v>
      </c>
      <c r="B1170" t="s">
        <v>29</v>
      </c>
      <c r="C1170" t="s">
        <v>4064</v>
      </c>
      <c r="D1170" t="s">
        <v>4064</v>
      </c>
      <c r="E1170" t="s">
        <v>4065</v>
      </c>
      <c r="F1170" t="s">
        <v>33</v>
      </c>
      <c r="G1170">
        <v>0</v>
      </c>
      <c r="H1170">
        <f>((1/1000) * G1170)</f>
        <v>0</v>
      </c>
      <c r="I1170">
        <v>0</v>
      </c>
      <c r="J1170">
        <v>0</v>
      </c>
      <c r="K1170" s="4655">
        <v>0</v>
      </c>
      <c r="L1170" s="4656">
        <f>(K1170 * G1170)</f>
        <v>0</v>
      </c>
      <c r="M1170" s="4657">
        <v>0</v>
      </c>
      <c r="N1170" s="4658">
        <f>(G1170 * M1170)</f>
        <v>0</v>
      </c>
      <c r="O1170">
        <v>0</v>
      </c>
      <c r="P1170">
        <v>0</v>
      </c>
      <c r="Q1170">
        <f>IF(O1170&gt;G1170,(O1170-G1170),0)</f>
        <v>0</v>
      </c>
      <c r="R1170">
        <v>0</v>
      </c>
      <c r="S1170">
        <f>IF(Q1170&gt;0,Int(P1170/Q1170),0)</f>
        <v>0</v>
      </c>
      <c r="T1170">
        <f>0</f>
        <v>0</v>
      </c>
      <c r="U1170"/>
      <c r="V1170">
        <v>0</v>
      </c>
      <c r="W1170">
        <v>0</v>
      </c>
      <c r="X1170"/>
    </row>
    <row r="1171" spans="1:27">
      <c r="A1171" t="s">
        <v>35</v>
      </c>
      <c r="B1171" t="s">
        <v>29</v>
      </c>
      <c r="C1171" t="s">
        <v>4066</v>
      </c>
      <c r="D1171" t="s">
        <v>4066</v>
      </c>
      <c r="E1171" t="s">
        <v>4067</v>
      </c>
      <c r="F1171" t="s">
        <v>33</v>
      </c>
      <c r="G1171">
        <v>0</v>
      </c>
      <c r="H1171">
        <f>((1/1000) * G1171)</f>
        <v>0</v>
      </c>
      <c r="I1171">
        <v>0</v>
      </c>
      <c r="J1171">
        <v>0</v>
      </c>
      <c r="K1171" s="4659">
        <v>0</v>
      </c>
      <c r="L1171" s="4660">
        <f>(K1171 * G1171)</f>
        <v>0</v>
      </c>
      <c r="M1171" s="4661">
        <v>0</v>
      </c>
      <c r="N1171" s="4662">
        <f>(G1171 * M1171)</f>
        <v>0</v>
      </c>
      <c r="O1171">
        <v>0</v>
      </c>
      <c r="P1171">
        <v>0</v>
      </c>
      <c r="Q1171">
        <f>IF(O1171&gt;G1171,(O1171-G1171),0)</f>
        <v>0</v>
      </c>
      <c r="R1171">
        <v>0</v>
      </c>
      <c r="S1171">
        <f>IF(Q1171&gt;0,Int(P1171/Q1171),0)</f>
        <v>0</v>
      </c>
      <c r="T1171">
        <f>0</f>
        <v>0</v>
      </c>
      <c r="U1171"/>
      <c r="V1171">
        <v>0</v>
      </c>
      <c r="W1171">
        <v>0</v>
      </c>
      <c r="X1171"/>
    </row>
    <row r="1172" spans="1:27">
      <c r="A1172" t="s">
        <v>28</v>
      </c>
      <c r="B1172" t="s">
        <v>29</v>
      </c>
      <c r="C1172" t="s">
        <v>4068</v>
      </c>
      <c r="D1172" t="s">
        <v>4069</v>
      </c>
      <c r="E1172" t="s">
        <v>4070</v>
      </c>
      <c r="F1172" t="s">
        <v>41</v>
      </c>
      <c r="G1172">
        <v>0</v>
      </c>
      <c r="H1172">
        <f>((0/1000) * G1172)</f>
        <v>0</v>
      </c>
      <c r="I1172">
        <v>0</v>
      </c>
      <c r="J1172">
        <v>0</v>
      </c>
      <c r="K1172" s="4663">
        <v>172768.64</v>
      </c>
      <c r="L1172" s="4664">
        <f>(K1172 * G1172)</f>
        <v>0</v>
      </c>
      <c r="M1172" s="4665">
        <v>250676.1</v>
      </c>
      <c r="N1172" s="4666">
        <f>(G1172 * M1172)</f>
        <v>0</v>
      </c>
      <c r="O1172">
        <v>0</v>
      </c>
      <c r="P1172">
        <v>0</v>
      </c>
      <c r="Q1172">
        <f>IF(O1172&gt;G1172,(O1172-G1172),0)</f>
        <v>0</v>
      </c>
      <c r="R1172">
        <v>1</v>
      </c>
      <c r="S1172">
        <f>IF(Q1172&gt;0,Int(P1172/Q1172),0)</f>
        <v>0</v>
      </c>
      <c r="T1172">
        <f>0</f>
        <v>0</v>
      </c>
      <c r="U1172"/>
      <c r="V1172">
        <v>172768.64</v>
      </c>
      <c r="W1172" t="s">
        <v>43</v>
      </c>
      <c r="X1172"/>
    </row>
    <row r="1173" spans="1:27">
      <c r="A1173" t="s">
        <v>28</v>
      </c>
      <c r="B1173" t="s">
        <v>29</v>
      </c>
      <c r="C1173" t="s">
        <v>4071</v>
      </c>
      <c r="D1173" t="s">
        <v>4072</v>
      </c>
      <c r="E1173" t="s">
        <v>4073</v>
      </c>
      <c r="F1173" t="s">
        <v>41</v>
      </c>
      <c r="G1173">
        <v>0</v>
      </c>
      <c r="H1173">
        <f>((0/1000) * G1173)</f>
        <v>0</v>
      </c>
      <c r="I1173">
        <v>0</v>
      </c>
      <c r="J1173">
        <v>0</v>
      </c>
      <c r="K1173" s="4667">
        <v>231487.61</v>
      </c>
      <c r="L1173" s="4668">
        <f>(K1173 * G1173)</f>
        <v>0</v>
      </c>
      <c r="M1173" s="4669">
        <v>254636.36</v>
      </c>
      <c r="N1173" s="4670">
        <f>(G1173 * M1173)</f>
        <v>0</v>
      </c>
      <c r="O1173">
        <v>0</v>
      </c>
      <c r="P1173">
        <v>0</v>
      </c>
      <c r="Q1173">
        <f>IF(O1173&gt;G1173,(O1173-G1173),0)</f>
        <v>0</v>
      </c>
      <c r="R1173">
        <v>1</v>
      </c>
      <c r="S1173">
        <f>IF(Q1173&gt;0,Int(P1173/Q1173),0)</f>
        <v>0</v>
      </c>
      <c r="T1173">
        <f>0</f>
        <v>0</v>
      </c>
      <c r="U1173" t="s">
        <v>4074</v>
      </c>
      <c r="V1173">
        <v>231487.61</v>
      </c>
      <c r="W1173" t="s">
        <v>43</v>
      </c>
      <c r="X1173" t="s">
        <v>374</v>
      </c>
    </row>
    <row r="1174" spans="1:27">
      <c r="A1174" t="s">
        <v>28</v>
      </c>
      <c r="B1174" t="s">
        <v>29</v>
      </c>
      <c r="C1174" t="s">
        <v>4075</v>
      </c>
      <c r="D1174" t="s">
        <v>4076</v>
      </c>
      <c r="E1174" t="s">
        <v>4077</v>
      </c>
      <c r="F1174" t="s">
        <v>33</v>
      </c>
      <c r="G1174">
        <v>1</v>
      </c>
      <c r="H1174">
        <f>((0/1000) * G1174)</f>
        <v>0</v>
      </c>
      <c r="I1174">
        <v>0</v>
      </c>
      <c r="J1174">
        <v>1</v>
      </c>
      <c r="K1174" s="4671">
        <v>107520</v>
      </c>
      <c r="L1174" s="4672">
        <f>(K1174 * G1174)</f>
        <v>107520</v>
      </c>
      <c r="M1174" s="4673">
        <v>182784</v>
      </c>
      <c r="N1174" s="4674">
        <f>(G1174 * M1174)</f>
        <v>182784</v>
      </c>
      <c r="O1174">
        <v>0</v>
      </c>
      <c r="P1174">
        <v>0</v>
      </c>
      <c r="Q1174">
        <f>IF(O1174&gt;G1174,(O1174-G1174),0)</f>
        <v>0</v>
      </c>
      <c r="R1174">
        <v>1</v>
      </c>
      <c r="S1174">
        <f>IF(Q1174&gt;0,Int(P1174/Q1174),0)</f>
        <v>0</v>
      </c>
      <c r="T1174">
        <f>10752</f>
        <v>10752</v>
      </c>
      <c r="U1174" t="s">
        <v>4078</v>
      </c>
      <c r="V1174">
        <v>107520</v>
      </c>
      <c r="W1174" t="s">
        <v>4079</v>
      </c>
      <c r="X1174" t="s">
        <v>280</v>
      </c>
    </row>
    <row r="1175" spans="1:27">
      <c r="A1175" t="s">
        <v>28</v>
      </c>
      <c r="B1175" t="s">
        <v>29</v>
      </c>
      <c r="C1175" t="s">
        <v>3861</v>
      </c>
      <c r="D1175" t="s">
        <v>4080</v>
      </c>
      <c r="E1175" t="s">
        <v>4081</v>
      </c>
      <c r="F1175" t="s">
        <v>33</v>
      </c>
      <c r="G1175">
        <v>0</v>
      </c>
      <c r="H1175">
        <f>((0/1000) * G1175)</f>
        <v>0</v>
      </c>
      <c r="I1175">
        <v>0</v>
      </c>
      <c r="J1175">
        <v>0</v>
      </c>
      <c r="K1175" s="4675">
        <v>115139.05</v>
      </c>
      <c r="L1175" s="4676">
        <f>(K1175 * G1175)</f>
        <v>0</v>
      </c>
      <c r="M1175" s="4677">
        <v>161194.67</v>
      </c>
      <c r="N1175" s="4678">
        <f>(G1175 * M1175)</f>
        <v>0</v>
      </c>
      <c r="O1175">
        <v>0</v>
      </c>
      <c r="P1175">
        <v>0</v>
      </c>
      <c r="Q1175">
        <f>IF(O1175&gt;G1175,(O1175-G1175),0)</f>
        <v>0</v>
      </c>
      <c r="R1175">
        <v>0</v>
      </c>
      <c r="S1175">
        <f>IF(Q1175&gt;0,Int(P1175/Q1175),0)</f>
        <v>0</v>
      </c>
      <c r="T1175">
        <f>0</f>
        <v>0</v>
      </c>
      <c r="U1175"/>
      <c r="V1175">
        <v>115139.05</v>
      </c>
      <c r="W1175" t="s">
        <v>75</v>
      </c>
      <c r="X1175"/>
    </row>
    <row r="1176" spans="1:27">
      <c r="A1176" t="s">
        <v>28</v>
      </c>
      <c r="B1176" t="s">
        <v>29</v>
      </c>
      <c r="C1176" t="s">
        <v>4082</v>
      </c>
      <c r="D1176" t="s">
        <v>1464</v>
      </c>
      <c r="E1176" t="s">
        <v>4083</v>
      </c>
      <c r="F1176" t="s">
        <v>33</v>
      </c>
      <c r="G1176">
        <v>0</v>
      </c>
      <c r="H1176">
        <f>((0/1000) * G1176)</f>
        <v>0</v>
      </c>
      <c r="I1176">
        <v>0</v>
      </c>
      <c r="J1176">
        <v>0</v>
      </c>
      <c r="K1176" s="4679">
        <v>161558.57</v>
      </c>
      <c r="L1176" s="4680">
        <f>(K1176 * G1176)</f>
        <v>0</v>
      </c>
      <c r="M1176" s="4681">
        <v>226182</v>
      </c>
      <c r="N1176" s="4682">
        <f>(G1176 * M1176)</f>
        <v>0</v>
      </c>
      <c r="O1176">
        <v>0</v>
      </c>
      <c r="P1176">
        <v>0</v>
      </c>
      <c r="Q1176">
        <f>IF(O1176&gt;G1176,(O1176-G1176),0)</f>
        <v>0</v>
      </c>
      <c r="R1176">
        <v>0</v>
      </c>
      <c r="S1176">
        <f>IF(Q1176&gt;0,Int(P1176/Q1176),0)</f>
        <v>0</v>
      </c>
      <c r="T1176">
        <f>0</f>
        <v>0</v>
      </c>
      <c r="U1176"/>
      <c r="V1176">
        <v>161558.57</v>
      </c>
      <c r="W1176" t="s">
        <v>148</v>
      </c>
      <c r="X1176"/>
    </row>
    <row r="1177" spans="1:27">
      <c r="A1177" t="s">
        <v>35</v>
      </c>
      <c r="B1177" t="s">
        <v>29</v>
      </c>
      <c r="C1177" t="s">
        <v>4084</v>
      </c>
      <c r="D1177" t="s">
        <v>4085</v>
      </c>
      <c r="E1177" t="s">
        <v>4086</v>
      </c>
      <c r="F1177" t="s">
        <v>33</v>
      </c>
      <c r="G1177">
        <v>6</v>
      </c>
      <c r="H1177">
        <f>((0/1000) * G1177)</f>
        <v>0</v>
      </c>
      <c r="I1177">
        <v>0</v>
      </c>
      <c r="J1177">
        <v>6</v>
      </c>
      <c r="K1177" s="4683">
        <v>194565.99</v>
      </c>
      <c r="L1177" s="4684">
        <f>(K1177 * G1177)</f>
        <v>1167395.94</v>
      </c>
      <c r="M1177" s="4685">
        <v>311305.58</v>
      </c>
      <c r="N1177" s="4686">
        <f>(G1177 * M1177)</f>
        <v>1867833.48</v>
      </c>
      <c r="O1177">
        <v>0</v>
      </c>
      <c r="P1177">
        <v>0</v>
      </c>
      <c r="Q1177">
        <f>IF(O1177&gt;G1177,(O1177-G1177),0)</f>
        <v>0</v>
      </c>
      <c r="R1177">
        <v>0</v>
      </c>
      <c r="S1177">
        <f>IF(Q1177&gt;0,Int(P1177/Q1177),0)</f>
        <v>0</v>
      </c>
      <c r="T1177">
        <f>194565.99</f>
        <v>194565.99</v>
      </c>
      <c r="U1177" t="s">
        <v>897</v>
      </c>
      <c r="V1177">
        <v>194565.99</v>
      </c>
      <c r="W1177" t="s">
        <v>898</v>
      </c>
      <c r="X1177"/>
    </row>
    <row r="1178" spans="1:27">
      <c r="A1178" t="s">
        <v>35</v>
      </c>
      <c r="B1178" t="s">
        <v>29</v>
      </c>
      <c r="C1178" t="s">
        <v>4087</v>
      </c>
      <c r="D1178" t="s">
        <v>4088</v>
      </c>
      <c r="E1178" t="s">
        <v>4089</v>
      </c>
      <c r="F1178" t="s">
        <v>33</v>
      </c>
      <c r="G1178">
        <v>0</v>
      </c>
      <c r="H1178">
        <f>((0/1000) * G1178)</f>
        <v>0</v>
      </c>
      <c r="I1178">
        <v>0</v>
      </c>
      <c r="J1178">
        <v>0</v>
      </c>
      <c r="K1178" s="4687">
        <v>125600</v>
      </c>
      <c r="L1178" s="4688">
        <f>(K1178 * G1178)</f>
        <v>0</v>
      </c>
      <c r="M1178" s="4689">
        <v>188400</v>
      </c>
      <c r="N1178" s="4690">
        <f>(G1178 * M1178)</f>
        <v>0</v>
      </c>
      <c r="O1178">
        <v>0</v>
      </c>
      <c r="P1178">
        <v>0</v>
      </c>
      <c r="Q1178">
        <f>IF(O1178&gt;G1178,(O1178-G1178),0)</f>
        <v>0</v>
      </c>
      <c r="R1178">
        <v>1</v>
      </c>
      <c r="S1178">
        <f>IF(Q1178&gt;0,Int(P1178/Q1178),0)</f>
        <v>0</v>
      </c>
      <c r="T1178">
        <f>188760.33</f>
        <v>188760.33</v>
      </c>
      <c r="U1178" t="s">
        <v>1879</v>
      </c>
      <c r="V1178">
        <v>125600</v>
      </c>
      <c r="W1178" t="s">
        <v>606</v>
      </c>
      <c r="X1178"/>
    </row>
    <row r="1179" spans="1:27">
      <c r="A1179" t="s">
        <v>28</v>
      </c>
      <c r="B1179" t="s">
        <v>29</v>
      </c>
      <c r="C1179" t="s">
        <v>4090</v>
      </c>
      <c r="D1179" t="s">
        <v>4091</v>
      </c>
      <c r="E1179" t="s">
        <v>4092</v>
      </c>
      <c r="F1179" t="s">
        <v>33</v>
      </c>
      <c r="G1179">
        <v>3</v>
      </c>
      <c r="H1179">
        <f>((0/1000) * G1179)</f>
        <v>0</v>
      </c>
      <c r="I1179">
        <v>0</v>
      </c>
      <c r="J1179">
        <v>3</v>
      </c>
      <c r="K1179" s="4691">
        <v>147762</v>
      </c>
      <c r="L1179" s="4692">
        <f>(K1179 * G1179)</f>
        <v>443286</v>
      </c>
      <c r="M1179" s="4693">
        <v>265971.6</v>
      </c>
      <c r="N1179" s="4694">
        <f>(G1179 * M1179)</f>
        <v>797914.8</v>
      </c>
      <c r="O1179">
        <v>0</v>
      </c>
      <c r="P1179">
        <v>0</v>
      </c>
      <c r="Q1179">
        <f>IF(O1179&gt;G1179,(O1179-G1179),0)</f>
        <v>0</v>
      </c>
      <c r="R1179">
        <v>1</v>
      </c>
      <c r="S1179">
        <f>IF(Q1179&gt;0,Int(P1179/Q1179),0)</f>
        <v>0</v>
      </c>
      <c r="T1179">
        <f>147762</f>
        <v>147762</v>
      </c>
      <c r="U1179" t="s">
        <v>135</v>
      </c>
      <c r="V1179">
        <v>147762</v>
      </c>
      <c r="W1179" t="s">
        <v>651</v>
      </c>
      <c r="X1179"/>
    </row>
    <row r="1180" spans="1:27">
      <c r="A1180" t="s">
        <v>28</v>
      </c>
      <c r="B1180" t="s">
        <v>29</v>
      </c>
      <c r="C1180" t="s">
        <v>4093</v>
      </c>
      <c r="D1180" t="s">
        <v>4094</v>
      </c>
      <c r="E1180" t="s">
        <v>4095</v>
      </c>
      <c r="F1180" t="s">
        <v>33</v>
      </c>
      <c r="G1180">
        <v>0</v>
      </c>
      <c r="H1180">
        <f>((0/1000) * G1180)</f>
        <v>0</v>
      </c>
      <c r="I1180">
        <v>0</v>
      </c>
      <c r="J1180">
        <v>0</v>
      </c>
      <c r="K1180" s="4695">
        <v>93533</v>
      </c>
      <c r="L1180" s="4696">
        <f>(K1180 * G1180)</f>
        <v>0</v>
      </c>
      <c r="M1180" s="4697">
        <v>130946.2</v>
      </c>
      <c r="N1180" s="4698">
        <f>(G1180 * M1180)</f>
        <v>0</v>
      </c>
      <c r="O1180">
        <v>0</v>
      </c>
      <c r="P1180">
        <v>0</v>
      </c>
      <c r="Q1180">
        <f>IF(O1180&gt;G1180,(O1180-G1180),0)</f>
        <v>0</v>
      </c>
      <c r="R1180">
        <v>1</v>
      </c>
      <c r="S1180">
        <f>IF(Q1180&gt;0,Int(P1180/Q1180),0)</f>
        <v>0</v>
      </c>
      <c r="T1180">
        <f>85030</f>
        <v>85030</v>
      </c>
      <c r="U1180" t="s">
        <v>4096</v>
      </c>
      <c r="V1180">
        <v>93533</v>
      </c>
      <c r="W1180" t="s">
        <v>75</v>
      </c>
      <c r="X1180"/>
    </row>
    <row r="1181" spans="1:27">
      <c r="A1181" t="s">
        <v>28</v>
      </c>
      <c r="B1181" t="s">
        <v>29</v>
      </c>
      <c r="C1181" t="s">
        <v>4097</v>
      </c>
      <c r="D1181" t="s">
        <v>4098</v>
      </c>
      <c r="E1181" t="s">
        <v>4099</v>
      </c>
      <c r="F1181" t="s">
        <v>33</v>
      </c>
      <c r="G1181">
        <v>0</v>
      </c>
      <c r="H1181">
        <f>((0/1000) * G1181)</f>
        <v>0</v>
      </c>
      <c r="I1181">
        <v>0</v>
      </c>
      <c r="J1181">
        <v>0</v>
      </c>
      <c r="K1181" s="4699">
        <v>191707.77</v>
      </c>
      <c r="L1181" s="4700">
        <f>(K1181 * G1181)</f>
        <v>0</v>
      </c>
      <c r="M1181" s="4701">
        <v>268390.88</v>
      </c>
      <c r="N1181" s="4702">
        <f>(G1181 * M1181)</f>
        <v>0</v>
      </c>
      <c r="O1181">
        <v>0</v>
      </c>
      <c r="P1181">
        <v>0</v>
      </c>
      <c r="Q1181">
        <f>IF(O1181&gt;G1181,(O1181-G1181),0)</f>
        <v>0</v>
      </c>
      <c r="R1181">
        <v>1</v>
      </c>
      <c r="S1181">
        <f>IF(Q1181&gt;0,Int(P1181/Q1181),0)</f>
        <v>0</v>
      </c>
      <c r="T1181">
        <f>0</f>
        <v>0</v>
      </c>
      <c r="U1181"/>
      <c r="V1181">
        <v>191707.77</v>
      </c>
      <c r="W1181" t="s">
        <v>75</v>
      </c>
      <c r="X1181"/>
    </row>
    <row r="1182" spans="1:27">
      <c r="A1182" t="s">
        <v>28</v>
      </c>
      <c r="B1182" t="s">
        <v>29</v>
      </c>
      <c r="C1182" t="s">
        <v>4100</v>
      </c>
      <c r="D1182" t="s">
        <v>4101</v>
      </c>
      <c r="E1182" t="s">
        <v>4102</v>
      </c>
      <c r="F1182" t="s">
        <v>33</v>
      </c>
      <c r="G1182">
        <v>0</v>
      </c>
      <c r="H1182">
        <f>((0/1000) * G1182)</f>
        <v>0</v>
      </c>
      <c r="I1182">
        <v>0</v>
      </c>
      <c r="J1182">
        <v>0</v>
      </c>
      <c r="K1182" s="4703">
        <v>229752.07</v>
      </c>
      <c r="L1182" s="4704">
        <f>(K1182 * G1182)</f>
        <v>0</v>
      </c>
      <c r="M1182" s="4705">
        <v>252727.27</v>
      </c>
      <c r="N1182" s="4706">
        <f>(G1182 * M1182)</f>
        <v>0</v>
      </c>
      <c r="O1182">
        <v>0</v>
      </c>
      <c r="P1182">
        <v>0</v>
      </c>
      <c r="Q1182">
        <f>IF(O1182&gt;G1182,(O1182-G1182),0)</f>
        <v>0</v>
      </c>
      <c r="R1182">
        <v>1</v>
      </c>
      <c r="S1182">
        <f>IF(Q1182&gt;0,Int(P1182/Q1182),0)</f>
        <v>0</v>
      </c>
      <c r="T1182">
        <f>250413.22</f>
        <v>250413.22</v>
      </c>
      <c r="U1182" t="s">
        <v>4103</v>
      </c>
      <c r="V1182">
        <v>229752.07</v>
      </c>
      <c r="W1182" t="s">
        <v>43</v>
      </c>
      <c r="X1182"/>
    </row>
    <row r="1183" spans="1:27">
      <c r="A1183" t="s">
        <v>28</v>
      </c>
      <c r="B1183" t="s">
        <v>29</v>
      </c>
      <c r="C1183" t="s">
        <v>4104</v>
      </c>
      <c r="D1183" t="s">
        <v>4105</v>
      </c>
      <c r="E1183" t="s">
        <v>4106</v>
      </c>
      <c r="F1183" t="s">
        <v>41</v>
      </c>
      <c r="G1183">
        <v>0</v>
      </c>
      <c r="H1183">
        <f>((0/1000) * G1183)</f>
        <v>0</v>
      </c>
      <c r="I1183">
        <v>0</v>
      </c>
      <c r="J1183">
        <v>0</v>
      </c>
      <c r="K1183" s="4707">
        <v>256860.49</v>
      </c>
      <c r="L1183" s="4708">
        <f>(K1183 * G1183)</f>
        <v>0</v>
      </c>
      <c r="M1183" s="4709">
        <v>359604.69</v>
      </c>
      <c r="N1183" s="4710">
        <f>(G1183 * M1183)</f>
        <v>0</v>
      </c>
      <c r="O1183">
        <v>0</v>
      </c>
      <c r="P1183">
        <v>0</v>
      </c>
      <c r="Q1183">
        <f>IF(O1183&gt;G1183,(O1183-G1183),0)</f>
        <v>0</v>
      </c>
      <c r="R1183">
        <v>1</v>
      </c>
      <c r="S1183">
        <f>IF(Q1183&gt;0,Int(P1183/Q1183),0)</f>
        <v>0</v>
      </c>
      <c r="T1183">
        <f>215988.31</f>
        <v>215988.31</v>
      </c>
      <c r="U1183" t="s">
        <v>4107</v>
      </c>
      <c r="V1183">
        <v>256860.49</v>
      </c>
      <c r="W1183" t="s">
        <v>182</v>
      </c>
      <c r="X1183"/>
    </row>
    <row r="1184" spans="1:27">
      <c r="A1184" t="s">
        <v>28</v>
      </c>
      <c r="B1184" t="s">
        <v>29</v>
      </c>
      <c r="C1184" t="s">
        <v>4108</v>
      </c>
      <c r="D1184" t="s">
        <v>4109</v>
      </c>
      <c r="E1184" t="s">
        <v>4110</v>
      </c>
      <c r="F1184" t="s">
        <v>33</v>
      </c>
      <c r="G1184">
        <v>0</v>
      </c>
      <c r="H1184">
        <f>((0/1000) * G1184)</f>
        <v>0</v>
      </c>
      <c r="I1184">
        <v>0</v>
      </c>
      <c r="J1184">
        <v>0</v>
      </c>
      <c r="K1184" s="4711">
        <v>0</v>
      </c>
      <c r="L1184" s="4712">
        <f>(K1184 * G1184)</f>
        <v>0</v>
      </c>
      <c r="M1184" s="4713">
        <v>0</v>
      </c>
      <c r="N1184" s="4714">
        <f>(G1184 * M1184)</f>
        <v>0</v>
      </c>
      <c r="O1184">
        <v>0</v>
      </c>
      <c r="P1184">
        <v>0</v>
      </c>
      <c r="Q1184">
        <f>IF(O1184&gt;G1184,(O1184-G1184),0)</f>
        <v>0</v>
      </c>
      <c r="R1184">
        <v>1</v>
      </c>
      <c r="S1184">
        <f>IF(Q1184&gt;0,Int(P1184/Q1184),0)</f>
        <v>0</v>
      </c>
      <c r="T1184">
        <f>185537.98</f>
        <v>185537.98</v>
      </c>
      <c r="U1184" t="s">
        <v>4111</v>
      </c>
      <c r="V1184">
        <v>0</v>
      </c>
      <c r="W1184">
        <v>0</v>
      </c>
      <c r="X1184"/>
    </row>
    <row r="1185" spans="1:27">
      <c r="A1185" t="s">
        <v>35</v>
      </c>
      <c r="B1185" t="s">
        <v>29</v>
      </c>
      <c r="C1185" t="s">
        <v>4112</v>
      </c>
      <c r="D1185" t="s">
        <v>4113</v>
      </c>
      <c r="E1185" t="s">
        <v>4114</v>
      </c>
      <c r="F1185" t="s">
        <v>33</v>
      </c>
      <c r="G1185">
        <v>0</v>
      </c>
      <c r="H1185">
        <f>((0/1000) * G1185)</f>
        <v>0</v>
      </c>
      <c r="I1185">
        <v>0</v>
      </c>
      <c r="J1185">
        <v>0</v>
      </c>
      <c r="K1185" s="4715">
        <v>87860.05</v>
      </c>
      <c r="L1185" s="4716">
        <f>(K1185 * G1185)</f>
        <v>0</v>
      </c>
      <c r="M1185" s="4717">
        <v>123004.07</v>
      </c>
      <c r="N1185" s="4718">
        <f>(G1185 * M1185)</f>
        <v>0</v>
      </c>
      <c r="O1185">
        <v>0</v>
      </c>
      <c r="P1185">
        <v>0</v>
      </c>
      <c r="Q1185">
        <f>IF(O1185&gt;G1185,(O1185-G1185),0)</f>
        <v>0</v>
      </c>
      <c r="R1185">
        <v>1</v>
      </c>
      <c r="S1185">
        <f>IF(Q1185&gt;0,Int(P1185/Q1185),0)</f>
        <v>0</v>
      </c>
      <c r="T1185">
        <f>0</f>
        <v>0</v>
      </c>
      <c r="U1185"/>
      <c r="V1185">
        <v>87860.05</v>
      </c>
      <c r="W1185" t="s">
        <v>75</v>
      </c>
      <c r="X1185"/>
    </row>
    <row r="1186" spans="1:27">
      <c r="A1186" t="s">
        <v>28</v>
      </c>
      <c r="B1186" t="s">
        <v>29</v>
      </c>
      <c r="C1186" t="s">
        <v>4115</v>
      </c>
      <c r="D1186" t="s">
        <v>4116</v>
      </c>
      <c r="E1186" t="s">
        <v>4117</v>
      </c>
      <c r="F1186" t="s">
        <v>41</v>
      </c>
      <c r="G1186">
        <v>1</v>
      </c>
      <c r="H1186">
        <f>((0/1000) * G1186)</f>
        <v>0</v>
      </c>
      <c r="I1186">
        <v>0</v>
      </c>
      <c r="J1186">
        <v>1</v>
      </c>
      <c r="K1186" s="4719">
        <v>148828</v>
      </c>
      <c r="L1186" s="4720">
        <f>(K1186 * G1186)</f>
        <v>148828</v>
      </c>
      <c r="M1186" s="4721">
        <v>264462.81</v>
      </c>
      <c r="N1186" s="4722">
        <f>(G1186 * M1186)</f>
        <v>264462.81</v>
      </c>
      <c r="O1186">
        <v>0</v>
      </c>
      <c r="P1186">
        <v>0</v>
      </c>
      <c r="Q1186">
        <f>IF(O1186&gt;G1186,(O1186-G1186),0)</f>
        <v>0</v>
      </c>
      <c r="R1186">
        <v>1</v>
      </c>
      <c r="S1186">
        <f>IF(Q1186&gt;0,Int(P1186/Q1186),0)</f>
        <v>0</v>
      </c>
      <c r="T1186">
        <f>148413.1</f>
        <v>148413.1</v>
      </c>
      <c r="U1186" t="s">
        <v>1866</v>
      </c>
      <c r="V1186">
        <v>148828</v>
      </c>
      <c r="W1186" t="s">
        <v>3640</v>
      </c>
      <c r="X1186" t="s">
        <v>2396</v>
      </c>
    </row>
    <row r="1187" spans="1:27">
      <c r="A1187" t="s">
        <v>28</v>
      </c>
      <c r="B1187" t="s">
        <v>29</v>
      </c>
      <c r="C1187" t="s">
        <v>4118</v>
      </c>
      <c r="D1187" t="s">
        <v>4119</v>
      </c>
      <c r="E1187" t="s">
        <v>4120</v>
      </c>
      <c r="F1187" t="s">
        <v>33</v>
      </c>
      <c r="G1187">
        <v>0</v>
      </c>
      <c r="H1187">
        <f>((0/1000) * G1187)</f>
        <v>0</v>
      </c>
      <c r="I1187">
        <v>0</v>
      </c>
      <c r="J1187">
        <v>0</v>
      </c>
      <c r="K1187" s="4723">
        <v>215255.73</v>
      </c>
      <c r="L1187" s="4724">
        <f>(K1187 * G1187)</f>
        <v>0</v>
      </c>
      <c r="M1187" s="4725">
        <v>301358.02</v>
      </c>
      <c r="N1187" s="4726">
        <f>(G1187 * M1187)</f>
        <v>0</v>
      </c>
      <c r="O1187">
        <v>0</v>
      </c>
      <c r="P1187">
        <v>0</v>
      </c>
      <c r="Q1187">
        <f>IF(O1187&gt;G1187,(O1187-G1187),0)</f>
        <v>0</v>
      </c>
      <c r="R1187">
        <v>1</v>
      </c>
      <c r="S1187">
        <f>IF(Q1187&gt;0,Int(P1187/Q1187),0)</f>
        <v>0</v>
      </c>
      <c r="T1187">
        <f>146321.32</f>
        <v>146321.32</v>
      </c>
      <c r="U1187" t="s">
        <v>4121</v>
      </c>
      <c r="V1187">
        <v>215255.73</v>
      </c>
      <c r="W1187" t="s">
        <v>75</v>
      </c>
      <c r="X1187"/>
    </row>
    <row r="1188" spans="1:27">
      <c r="A1188" t="s">
        <v>28</v>
      </c>
      <c r="B1188" t="s">
        <v>29</v>
      </c>
      <c r="C1188" t="s">
        <v>4122</v>
      </c>
      <c r="D1188" t="s">
        <v>4123</v>
      </c>
      <c r="E1188" t="s">
        <v>4124</v>
      </c>
      <c r="F1188" t="s">
        <v>33</v>
      </c>
      <c r="G1188">
        <v>0</v>
      </c>
      <c r="H1188">
        <f>((0/1000) * G1188)</f>
        <v>0</v>
      </c>
      <c r="I1188">
        <v>0</v>
      </c>
      <c r="J1188">
        <v>0</v>
      </c>
      <c r="K1188" s="4727">
        <v>283089.35</v>
      </c>
      <c r="L1188" s="4728">
        <f>(K1188 * G1188)</f>
        <v>0</v>
      </c>
      <c r="M1188" s="4729">
        <v>396325.09</v>
      </c>
      <c r="N1188" s="4730">
        <f>(G1188 * M1188)</f>
        <v>0</v>
      </c>
      <c r="O1188">
        <v>0</v>
      </c>
      <c r="P1188">
        <v>0</v>
      </c>
      <c r="Q1188">
        <f>IF(O1188&gt;G1188,(O1188-G1188),0)</f>
        <v>0</v>
      </c>
      <c r="R1188">
        <v>1</v>
      </c>
      <c r="S1188">
        <f>IF(Q1188&gt;0,Int(P1188/Q1188),0)</f>
        <v>0</v>
      </c>
      <c r="T1188">
        <f>168294.52</f>
        <v>168294.52</v>
      </c>
      <c r="U1188" t="s">
        <v>4125</v>
      </c>
      <c r="V1188">
        <v>283089.35</v>
      </c>
      <c r="W1188" t="s">
        <v>182</v>
      </c>
      <c r="X1188"/>
    </row>
    <row r="1189" spans="1:27">
      <c r="A1189" t="s">
        <v>28</v>
      </c>
      <c r="B1189" t="s">
        <v>29</v>
      </c>
      <c r="C1189" t="s">
        <v>4126</v>
      </c>
      <c r="D1189" t="s">
        <v>4127</v>
      </c>
      <c r="E1189" t="s">
        <v>4128</v>
      </c>
      <c r="F1189" t="s">
        <v>33</v>
      </c>
      <c r="G1189">
        <v>0</v>
      </c>
      <c r="H1189">
        <f>((0/1000) * G1189)</f>
        <v>0</v>
      </c>
      <c r="I1189">
        <v>0</v>
      </c>
      <c r="J1189">
        <v>0</v>
      </c>
      <c r="K1189" s="4731">
        <v>283089.35</v>
      </c>
      <c r="L1189" s="4732">
        <f>(K1189 * G1189)</f>
        <v>0</v>
      </c>
      <c r="M1189" s="4733">
        <v>396325.09</v>
      </c>
      <c r="N1189" s="4734">
        <f>(G1189 * M1189)</f>
        <v>0</v>
      </c>
      <c r="O1189">
        <v>0</v>
      </c>
      <c r="P1189">
        <v>0</v>
      </c>
      <c r="Q1189">
        <f>IF(O1189&gt;G1189,(O1189-G1189),0)</f>
        <v>0</v>
      </c>
      <c r="R1189">
        <v>1</v>
      </c>
      <c r="S1189">
        <f>IF(Q1189&gt;0,Int(P1189/Q1189),0)</f>
        <v>0</v>
      </c>
      <c r="T1189">
        <f>238043.51</f>
        <v>238043.51</v>
      </c>
      <c r="U1189" t="s">
        <v>4129</v>
      </c>
      <c r="V1189">
        <v>283089.35</v>
      </c>
      <c r="W1189" t="s">
        <v>182</v>
      </c>
      <c r="X1189"/>
    </row>
    <row r="1190" spans="1:27">
      <c r="A1190" t="s">
        <v>28</v>
      </c>
      <c r="B1190" t="s">
        <v>29</v>
      </c>
      <c r="C1190" t="s">
        <v>4130</v>
      </c>
      <c r="D1190" t="s">
        <v>4131</v>
      </c>
      <c r="E1190" t="s">
        <v>4132</v>
      </c>
      <c r="F1190" t="s">
        <v>33</v>
      </c>
      <c r="G1190">
        <v>0</v>
      </c>
      <c r="H1190">
        <f>((0/1000) * G1190)</f>
        <v>0</v>
      </c>
      <c r="I1190">
        <v>0</v>
      </c>
      <c r="J1190">
        <v>0</v>
      </c>
      <c r="K1190" s="4735">
        <v>244629.02</v>
      </c>
      <c r="L1190" s="4736">
        <f>(K1190 * G1190)</f>
        <v>0</v>
      </c>
      <c r="M1190" s="4737">
        <v>342480.62</v>
      </c>
      <c r="N1190" s="4738">
        <f>(G1190 * M1190)</f>
        <v>0</v>
      </c>
      <c r="O1190">
        <v>0</v>
      </c>
      <c r="P1190">
        <v>0</v>
      </c>
      <c r="Q1190">
        <f>IF(O1190&gt;G1190,(O1190-G1190),0)</f>
        <v>0</v>
      </c>
      <c r="R1190">
        <v>1</v>
      </c>
      <c r="S1190">
        <f>IF(Q1190&gt;0,Int(P1190/Q1190),0)</f>
        <v>0</v>
      </c>
      <c r="T1190">
        <f>208557.23</f>
        <v>208557.23</v>
      </c>
      <c r="U1190" t="s">
        <v>4133</v>
      </c>
      <c r="V1190">
        <v>244629.02</v>
      </c>
      <c r="W1190" t="s">
        <v>182</v>
      </c>
      <c r="X1190"/>
    </row>
    <row r="1191" spans="1:27">
      <c r="A1191" t="s">
        <v>28</v>
      </c>
      <c r="B1191" t="s">
        <v>29</v>
      </c>
      <c r="C1191" t="s">
        <v>4134</v>
      </c>
      <c r="D1191" t="s">
        <v>4135</v>
      </c>
      <c r="E1191" t="s">
        <v>4136</v>
      </c>
      <c r="F1191" t="s">
        <v>41</v>
      </c>
      <c r="G1191">
        <v>0</v>
      </c>
      <c r="H1191">
        <f>((0/1000) * G1191)</f>
        <v>0</v>
      </c>
      <c r="I1191">
        <v>0</v>
      </c>
      <c r="J1191">
        <v>0</v>
      </c>
      <c r="K1191" s="4739">
        <v>386636.36</v>
      </c>
      <c r="L1191" s="4740">
        <f>(K1191 * G1191)</f>
        <v>0</v>
      </c>
      <c r="M1191" s="4741">
        <v>425300</v>
      </c>
      <c r="N1191" s="4742">
        <f>(G1191 * M1191)</f>
        <v>0</v>
      </c>
      <c r="O1191">
        <v>0</v>
      </c>
      <c r="P1191">
        <v>0</v>
      </c>
      <c r="Q1191">
        <f>IF(O1191&gt;G1191,(O1191-G1191),0)</f>
        <v>0</v>
      </c>
      <c r="R1191">
        <v>1</v>
      </c>
      <c r="S1191">
        <f>IF(Q1191&gt;0,Int(P1191/Q1191),0)</f>
        <v>0</v>
      </c>
      <c r="T1191">
        <f>0</f>
        <v>0</v>
      </c>
      <c r="U1191"/>
      <c r="V1191">
        <v>386636.36</v>
      </c>
      <c r="W1191" t="s">
        <v>43</v>
      </c>
      <c r="X1191"/>
    </row>
    <row r="1192" spans="1:27">
      <c r="A1192" t="s">
        <v>28</v>
      </c>
      <c r="B1192" t="s">
        <v>29</v>
      </c>
      <c r="C1192" t="s">
        <v>4137</v>
      </c>
      <c r="D1192" t="s">
        <v>4138</v>
      </c>
      <c r="E1192" t="s">
        <v>4139</v>
      </c>
      <c r="F1192" t="s">
        <v>33</v>
      </c>
      <c r="G1192">
        <v>0</v>
      </c>
      <c r="H1192">
        <f>((0/1000) * G1192)</f>
        <v>0</v>
      </c>
      <c r="I1192">
        <v>0</v>
      </c>
      <c r="J1192">
        <v>0</v>
      </c>
      <c r="K1192" s="4743">
        <v>187785.71</v>
      </c>
      <c r="L1192" s="4744">
        <f>(K1192 * G1192)</f>
        <v>0</v>
      </c>
      <c r="M1192" s="4745">
        <v>262900</v>
      </c>
      <c r="N1192" s="4746">
        <f>(G1192 * M1192)</f>
        <v>0</v>
      </c>
      <c r="O1192">
        <v>0</v>
      </c>
      <c r="P1192">
        <v>0</v>
      </c>
      <c r="Q1192">
        <f>IF(O1192&gt;G1192,(O1192-G1192),0)</f>
        <v>0</v>
      </c>
      <c r="R1192">
        <v>1</v>
      </c>
      <c r="S1192">
        <f>IF(Q1192&gt;0,Int(P1192/Q1192),0)</f>
        <v>0</v>
      </c>
      <c r="T1192">
        <f>0</f>
        <v>0</v>
      </c>
      <c r="U1192"/>
      <c r="V1192">
        <v>187785.71</v>
      </c>
      <c r="W1192" t="s">
        <v>75</v>
      </c>
      <c r="X1192"/>
    </row>
    <row r="1193" spans="1:27">
      <c r="A1193" t="s">
        <v>28</v>
      </c>
      <c r="B1193" t="s">
        <v>29</v>
      </c>
      <c r="C1193" t="s">
        <v>4140</v>
      </c>
      <c r="D1193" t="s">
        <v>4141</v>
      </c>
      <c r="E1193" t="s">
        <v>4142</v>
      </c>
      <c r="F1193" t="s">
        <v>41</v>
      </c>
      <c r="G1193">
        <v>0</v>
      </c>
      <c r="H1193">
        <f>((0/1000) * G1193)</f>
        <v>0</v>
      </c>
      <c r="I1193">
        <v>0</v>
      </c>
      <c r="J1193">
        <v>0</v>
      </c>
      <c r="K1193" s="4747">
        <v>161983.47</v>
      </c>
      <c r="L1193" s="4748">
        <f>(K1193 * G1193)</f>
        <v>0</v>
      </c>
      <c r="M1193" s="4749">
        <v>226776.86</v>
      </c>
      <c r="N1193" s="4750">
        <f>(G1193 * M1193)</f>
        <v>0</v>
      </c>
      <c r="O1193">
        <v>0</v>
      </c>
      <c r="P1193">
        <v>0</v>
      </c>
      <c r="Q1193">
        <f>IF(O1193&gt;G1193,(O1193-G1193),0)</f>
        <v>0</v>
      </c>
      <c r="R1193">
        <v>1</v>
      </c>
      <c r="S1193">
        <f>IF(Q1193&gt;0,Int(P1193/Q1193),0)</f>
        <v>0</v>
      </c>
      <c r="T1193">
        <f>0</f>
        <v>0</v>
      </c>
      <c r="U1193"/>
      <c r="V1193">
        <v>161983.47</v>
      </c>
      <c r="W1193" t="s">
        <v>75</v>
      </c>
      <c r="X1193"/>
    </row>
    <row r="1194" spans="1:27">
      <c r="A1194" t="s">
        <v>28</v>
      </c>
      <c r="B1194" t="s">
        <v>29</v>
      </c>
      <c r="C1194" t="s">
        <v>4143</v>
      </c>
      <c r="D1194" t="s">
        <v>4144</v>
      </c>
      <c r="E1194" t="s">
        <v>4145</v>
      </c>
      <c r="F1194" t="s">
        <v>41</v>
      </c>
      <c r="G1194">
        <v>7</v>
      </c>
      <c r="H1194">
        <f>((0/1000) * G1194)</f>
        <v>0</v>
      </c>
      <c r="I1194">
        <v>0</v>
      </c>
      <c r="J1194">
        <v>7</v>
      </c>
      <c r="K1194" s="4751">
        <v>212422</v>
      </c>
      <c r="L1194" s="4752">
        <f>(K1194 * G1194)</f>
        <v>1486954</v>
      </c>
      <c r="M1194" s="4753">
        <v>318633</v>
      </c>
      <c r="N1194" s="4754">
        <f>(G1194 * M1194)</f>
        <v>2230431</v>
      </c>
      <c r="O1194">
        <v>0</v>
      </c>
      <c r="P1194">
        <v>0</v>
      </c>
      <c r="Q1194">
        <f>IF(O1194&gt;G1194,(O1194-G1194),0)</f>
        <v>0</v>
      </c>
      <c r="R1194">
        <v>0</v>
      </c>
      <c r="S1194">
        <f>IF(Q1194&gt;0,Int(P1194/Q1194),0)</f>
        <v>0</v>
      </c>
      <c r="T1194">
        <f>212422</f>
        <v>212422</v>
      </c>
      <c r="U1194" t="s">
        <v>135</v>
      </c>
      <c r="V1194">
        <v>212422</v>
      </c>
      <c r="W1194" t="s">
        <v>3311</v>
      </c>
      <c r="X1194"/>
    </row>
    <row r="1195" spans="1:27">
      <c r="A1195" t="s">
        <v>35</v>
      </c>
      <c r="B1195" t="s">
        <v>29</v>
      </c>
      <c r="C1195" t="s">
        <v>4146</v>
      </c>
      <c r="D1195" t="s">
        <v>4147</v>
      </c>
      <c r="E1195" t="s">
        <v>4148</v>
      </c>
      <c r="F1195" t="s">
        <v>41</v>
      </c>
      <c r="G1195">
        <v>0</v>
      </c>
      <c r="H1195">
        <f>((1/1000) * G1195)</f>
        <v>0</v>
      </c>
      <c r="I1195">
        <v>0</v>
      </c>
      <c r="J1195">
        <v>0</v>
      </c>
      <c r="K1195" s="4755">
        <v>252206.36</v>
      </c>
      <c r="L1195" s="4756">
        <f>(K1195 * G1195)</f>
        <v>0</v>
      </c>
      <c r="M1195" s="4757">
        <v>252206.36</v>
      </c>
      <c r="N1195" s="4758">
        <f>(G1195 * M1195)</f>
        <v>0</v>
      </c>
      <c r="O1195">
        <v>0</v>
      </c>
      <c r="P1195">
        <v>0</v>
      </c>
      <c r="Q1195">
        <f>IF(O1195&gt;G1195,(O1195-G1195),0)</f>
        <v>0</v>
      </c>
      <c r="R1195">
        <v>1</v>
      </c>
      <c r="S1195">
        <f>IF(Q1195&gt;0,Int(P1195/Q1195),0)</f>
        <v>0</v>
      </c>
      <c r="T1195">
        <f>197799.29</f>
        <v>197799.29</v>
      </c>
      <c r="U1195" t="s">
        <v>4149</v>
      </c>
      <c r="V1195">
        <v>252206.36</v>
      </c>
      <c r="W1195" t="s">
        <v>43</v>
      </c>
      <c r="X1195"/>
    </row>
    <row r="1196" spans="1:27">
      <c r="A1196" t="s">
        <v>28</v>
      </c>
      <c r="B1196" t="s">
        <v>29</v>
      </c>
      <c r="C1196" t="s">
        <v>4150</v>
      </c>
      <c r="D1196" t="s">
        <v>4151</v>
      </c>
      <c r="E1196" t="s">
        <v>4152</v>
      </c>
      <c r="F1196" t="s">
        <v>33</v>
      </c>
      <c r="G1196">
        <v>0</v>
      </c>
      <c r="H1196">
        <f>((0/1000) * G1196)</f>
        <v>0</v>
      </c>
      <c r="I1196">
        <v>0</v>
      </c>
      <c r="J1196">
        <v>0</v>
      </c>
      <c r="K1196" s="4759">
        <v>196802.57</v>
      </c>
      <c r="L1196" s="4760">
        <f>(K1196 * G1196)</f>
        <v>0</v>
      </c>
      <c r="M1196" s="4761">
        <v>275523.6</v>
      </c>
      <c r="N1196" s="4762">
        <f>(G1196 * M1196)</f>
        <v>0</v>
      </c>
      <c r="O1196">
        <v>0</v>
      </c>
      <c r="P1196">
        <v>0</v>
      </c>
      <c r="Q1196">
        <f>IF(O1196&gt;G1196,(O1196-G1196),0)</f>
        <v>0</v>
      </c>
      <c r="R1196">
        <v>1</v>
      </c>
      <c r="S1196">
        <f>IF(Q1196&gt;0,Int(P1196/Q1196),0)</f>
        <v>0</v>
      </c>
      <c r="T1196">
        <f>0</f>
        <v>0</v>
      </c>
      <c r="U1196"/>
      <c r="V1196">
        <v>196802.57</v>
      </c>
      <c r="W1196" t="s">
        <v>75</v>
      </c>
      <c r="X1196"/>
    </row>
    <row r="1197" spans="1:27">
      <c r="A1197" t="s">
        <v>28</v>
      </c>
      <c r="B1197" t="s">
        <v>29</v>
      </c>
      <c r="C1197" t="s">
        <v>4153</v>
      </c>
      <c r="D1197" t="s">
        <v>4154</v>
      </c>
      <c r="E1197" t="s">
        <v>4155</v>
      </c>
      <c r="F1197" t="s">
        <v>33</v>
      </c>
      <c r="G1197">
        <v>1</v>
      </c>
      <c r="H1197">
        <f>((0/1000) * G1197)</f>
        <v>0</v>
      </c>
      <c r="I1197">
        <v>0</v>
      </c>
      <c r="J1197">
        <v>1</v>
      </c>
      <c r="K1197" s="4763">
        <v>130000</v>
      </c>
      <c r="L1197" s="4764">
        <f>(K1197 * G1197)</f>
        <v>130000</v>
      </c>
      <c r="M1197" s="4765">
        <v>182000</v>
      </c>
      <c r="N1197" s="4766">
        <f>(G1197 * M1197)</f>
        <v>182000</v>
      </c>
      <c r="O1197">
        <v>0</v>
      </c>
      <c r="P1197">
        <v>0</v>
      </c>
      <c r="Q1197">
        <f>IF(O1197&gt;G1197,(O1197-G1197),0)</f>
        <v>0</v>
      </c>
      <c r="R1197">
        <v>1</v>
      </c>
      <c r="S1197">
        <f>IF(Q1197&gt;0,Int(P1197/Q1197),0)</f>
        <v>0</v>
      </c>
      <c r="T1197">
        <f>130000</f>
        <v>130000</v>
      </c>
      <c r="U1197" t="s">
        <v>135</v>
      </c>
      <c r="V1197">
        <v>130000</v>
      </c>
      <c r="W1197" t="s">
        <v>1498</v>
      </c>
      <c r="X1197" t="s">
        <v>409</v>
      </c>
    </row>
    <row r="1198" spans="1:27">
      <c r="A1198" t="s">
        <v>28</v>
      </c>
      <c r="B1198" t="s">
        <v>29</v>
      </c>
      <c r="C1198" t="s">
        <v>4156</v>
      </c>
      <c r="D1198" t="s">
        <v>4156</v>
      </c>
      <c r="E1198" t="s">
        <v>4157</v>
      </c>
      <c r="F1198" t="s">
        <v>41</v>
      </c>
      <c r="G1198">
        <v>0</v>
      </c>
      <c r="H1198">
        <f>((0/1000) * G1198)</f>
        <v>0</v>
      </c>
      <c r="I1198">
        <v>0</v>
      </c>
      <c r="J1198">
        <v>0</v>
      </c>
      <c r="K1198" s="4767">
        <v>0</v>
      </c>
      <c r="L1198" s="4768">
        <f>(K1198 * G1198)</f>
        <v>0</v>
      </c>
      <c r="M1198" s="4769">
        <v>0</v>
      </c>
      <c r="N1198" s="4770">
        <f>(G1198 * M1198)</f>
        <v>0</v>
      </c>
      <c r="O1198">
        <v>0</v>
      </c>
      <c r="P1198">
        <v>0</v>
      </c>
      <c r="Q1198">
        <f>IF(O1198&gt;G1198,(O1198-G1198),0)</f>
        <v>0</v>
      </c>
      <c r="R1198">
        <v>1</v>
      </c>
      <c r="S1198">
        <f>IF(Q1198&gt;0,Int(P1198/Q1198),0)</f>
        <v>0</v>
      </c>
      <c r="T1198">
        <f>101427.49</f>
        <v>101427.49</v>
      </c>
      <c r="U1198" t="s">
        <v>4158</v>
      </c>
      <c r="V1198">
        <v>0</v>
      </c>
      <c r="W1198">
        <v>0</v>
      </c>
      <c r="X1198"/>
    </row>
    <row r="1199" spans="1:27">
      <c r="A1199" t="s">
        <v>35</v>
      </c>
      <c r="B1199" t="s">
        <v>29</v>
      </c>
      <c r="C1199" t="s">
        <v>4159</v>
      </c>
      <c r="D1199" t="s">
        <v>4160</v>
      </c>
      <c r="E1199" t="s">
        <v>4161</v>
      </c>
      <c r="F1199" t="s">
        <v>33</v>
      </c>
      <c r="G1199">
        <v>0</v>
      </c>
      <c r="H1199">
        <f>((0/1000) * G1199)</f>
        <v>0</v>
      </c>
      <c r="I1199">
        <v>0</v>
      </c>
      <c r="J1199">
        <v>0</v>
      </c>
      <c r="K1199" s="4771">
        <v>163900</v>
      </c>
      <c r="L1199" s="4772">
        <f>(K1199 * G1199)</f>
        <v>0</v>
      </c>
      <c r="M1199" s="4773">
        <v>180290</v>
      </c>
      <c r="N1199" s="4774">
        <f>(G1199 * M1199)</f>
        <v>0</v>
      </c>
      <c r="O1199">
        <v>0</v>
      </c>
      <c r="P1199">
        <v>0</v>
      </c>
      <c r="Q1199">
        <f>IF(O1199&gt;G1199,(O1199-G1199),0)</f>
        <v>0</v>
      </c>
      <c r="R1199">
        <v>1</v>
      </c>
      <c r="S1199">
        <f>IF(Q1199&gt;0,Int(P1199/Q1199),0)</f>
        <v>0</v>
      </c>
      <c r="T1199">
        <f>0</f>
        <v>0</v>
      </c>
      <c r="U1199"/>
      <c r="V1199">
        <v>163900</v>
      </c>
      <c r="W1199" t="s">
        <v>43</v>
      </c>
      <c r="X1199"/>
    </row>
    <row r="1200" spans="1:27">
      <c r="A1200" t="s">
        <v>28</v>
      </c>
      <c r="B1200" t="s">
        <v>29</v>
      </c>
      <c r="C1200" t="s">
        <v>4162</v>
      </c>
      <c r="D1200" t="s">
        <v>4163</v>
      </c>
      <c r="E1200" t="s">
        <v>4164</v>
      </c>
      <c r="F1200" t="s">
        <v>33</v>
      </c>
      <c r="G1200">
        <v>0</v>
      </c>
      <c r="H1200">
        <f>((0/1000) * G1200)</f>
        <v>0</v>
      </c>
      <c r="I1200">
        <v>0</v>
      </c>
      <c r="J1200">
        <v>0</v>
      </c>
      <c r="K1200" s="4775">
        <v>311491.53</v>
      </c>
      <c r="L1200" s="4776">
        <f>(K1200 * G1200)</f>
        <v>0</v>
      </c>
      <c r="M1200" s="4777">
        <v>436088.15</v>
      </c>
      <c r="N1200" s="4778">
        <f>(G1200 * M1200)</f>
        <v>0</v>
      </c>
      <c r="O1200">
        <v>0</v>
      </c>
      <c r="P1200">
        <v>0</v>
      </c>
      <c r="Q1200">
        <f>IF(O1200&gt;G1200,(O1200-G1200),0)</f>
        <v>0</v>
      </c>
      <c r="R1200">
        <v>1</v>
      </c>
      <c r="S1200">
        <f>IF(Q1200&gt;0,Int(P1200/Q1200),0)</f>
        <v>0</v>
      </c>
      <c r="T1200">
        <f>222013.52</f>
        <v>222013.52</v>
      </c>
      <c r="U1200" t="s">
        <v>4165</v>
      </c>
      <c r="V1200">
        <v>311491.53</v>
      </c>
      <c r="W1200" t="s">
        <v>182</v>
      </c>
      <c r="X1200"/>
    </row>
    <row r="1201" spans="1:27">
      <c r="A1201" t="s">
        <v>28</v>
      </c>
      <c r="B1201" t="s">
        <v>29</v>
      </c>
      <c r="C1201" t="s">
        <v>4166</v>
      </c>
      <c r="D1201" t="s">
        <v>4167</v>
      </c>
      <c r="E1201" t="s">
        <v>4168</v>
      </c>
      <c r="F1201" t="s">
        <v>41</v>
      </c>
      <c r="G1201">
        <v>2</v>
      </c>
      <c r="H1201">
        <f>((0/1000) * G1201)</f>
        <v>0</v>
      </c>
      <c r="I1201">
        <v>0</v>
      </c>
      <c r="J1201">
        <v>2</v>
      </c>
      <c r="K1201" s="4779">
        <v>263162.72</v>
      </c>
      <c r="L1201" s="4780">
        <f>(K1201 * G1201)</f>
        <v>526325.44</v>
      </c>
      <c r="M1201" s="4781">
        <v>289479</v>
      </c>
      <c r="N1201" s="4782">
        <f>(G1201 * M1201)</f>
        <v>578958</v>
      </c>
      <c r="O1201">
        <v>0</v>
      </c>
      <c r="P1201">
        <v>0</v>
      </c>
      <c r="Q1201">
        <f>IF(O1201&gt;G1201,(O1201-G1201),0)</f>
        <v>0</v>
      </c>
      <c r="R1201">
        <v>1</v>
      </c>
      <c r="S1201">
        <f>IF(Q1201&gt;0,Int(P1201/Q1201),0)</f>
        <v>0</v>
      </c>
      <c r="T1201">
        <f>239238.84</f>
        <v>239238.84</v>
      </c>
      <c r="U1201" t="s">
        <v>4169</v>
      </c>
      <c r="V1201">
        <v>263162.72</v>
      </c>
      <c r="W1201" t="s">
        <v>292</v>
      </c>
      <c r="X1201" t="s">
        <v>166</v>
      </c>
    </row>
    <row r="1202" spans="1:27">
      <c r="A1202" t="s">
        <v>28</v>
      </c>
      <c r="B1202" t="s">
        <v>29</v>
      </c>
      <c r="C1202" t="s">
        <v>4170</v>
      </c>
      <c r="D1202" t="s">
        <v>4171</v>
      </c>
      <c r="E1202" t="s">
        <v>4172</v>
      </c>
      <c r="F1202" t="s">
        <v>41</v>
      </c>
      <c r="G1202">
        <v>0</v>
      </c>
      <c r="H1202">
        <f>((0/1000) * G1202)</f>
        <v>0</v>
      </c>
      <c r="I1202">
        <v>0</v>
      </c>
      <c r="J1202">
        <v>0</v>
      </c>
      <c r="K1202" s="4783">
        <v>327066.05</v>
      </c>
      <c r="L1202" s="4784">
        <f>(K1202 * G1202)</f>
        <v>0</v>
      </c>
      <c r="M1202" s="4785">
        <v>457892.47</v>
      </c>
      <c r="N1202" s="4786">
        <f>(G1202 * M1202)</f>
        <v>0</v>
      </c>
      <c r="O1202">
        <v>0</v>
      </c>
      <c r="P1202">
        <v>0</v>
      </c>
      <c r="Q1202">
        <f>IF(O1202&gt;G1202,(O1202-G1202),0)</f>
        <v>0</v>
      </c>
      <c r="R1202">
        <v>1</v>
      </c>
      <c r="S1202">
        <f>IF(Q1202&gt;0,Int(P1202/Q1202),0)</f>
        <v>0</v>
      </c>
      <c r="T1202">
        <f>0</f>
        <v>0</v>
      </c>
      <c r="U1202"/>
      <c r="V1202">
        <v>327066.05</v>
      </c>
      <c r="W1202" t="s">
        <v>182</v>
      </c>
      <c r="X1202"/>
    </row>
    <row r="1203" spans="1:27">
      <c r="A1203" t="s">
        <v>28</v>
      </c>
      <c r="B1203" t="s">
        <v>29</v>
      </c>
      <c r="C1203" t="s">
        <v>1947</v>
      </c>
      <c r="D1203" t="s">
        <v>4173</v>
      </c>
      <c r="E1203" t="s">
        <v>4174</v>
      </c>
      <c r="F1203" t="s">
        <v>41</v>
      </c>
      <c r="G1203">
        <v>3</v>
      </c>
      <c r="H1203">
        <f>((0/1000) * G1203)</f>
        <v>0</v>
      </c>
      <c r="I1203">
        <v>0</v>
      </c>
      <c r="J1203">
        <v>3</v>
      </c>
      <c r="K1203" s="4787">
        <v>221963</v>
      </c>
      <c r="L1203" s="4788">
        <f>(K1203 * G1203)</f>
        <v>665889</v>
      </c>
      <c r="M1203" s="4789">
        <v>367768.6</v>
      </c>
      <c r="N1203" s="4790">
        <f>(G1203 * M1203)</f>
        <v>1103305.8</v>
      </c>
      <c r="O1203">
        <v>0</v>
      </c>
      <c r="P1203">
        <v>0</v>
      </c>
      <c r="Q1203">
        <f>IF(O1203&gt;G1203,(O1203-G1203),0)</f>
        <v>0</v>
      </c>
      <c r="R1203">
        <v>0</v>
      </c>
      <c r="S1203">
        <f>IF(Q1203&gt;0,Int(P1203/Q1203),0)</f>
        <v>0</v>
      </c>
      <c r="T1203">
        <f>197691</f>
        <v>197691</v>
      </c>
      <c r="U1203" t="s">
        <v>993</v>
      </c>
      <c r="V1203">
        <v>221963</v>
      </c>
      <c r="W1203" t="s">
        <v>97</v>
      </c>
      <c r="X1203"/>
    </row>
    <row r="1204" spans="1:27">
      <c r="A1204" t="s">
        <v>35</v>
      </c>
      <c r="B1204" t="s">
        <v>29</v>
      </c>
      <c r="C1204" t="s">
        <v>4175</v>
      </c>
      <c r="D1204" t="s">
        <v>4175</v>
      </c>
      <c r="E1204" t="s">
        <v>4176</v>
      </c>
      <c r="F1204" t="s">
        <v>33</v>
      </c>
      <c r="G1204">
        <v>0</v>
      </c>
      <c r="H1204">
        <f>((1/1000) * G1204)</f>
        <v>0</v>
      </c>
      <c r="I1204">
        <v>0</v>
      </c>
      <c r="J1204">
        <v>0</v>
      </c>
      <c r="K1204" s="4791">
        <v>0</v>
      </c>
      <c r="L1204" s="4792">
        <f>(K1204 * G1204)</f>
        <v>0</v>
      </c>
      <c r="M1204" s="4793">
        <v>0</v>
      </c>
      <c r="N1204" s="4794">
        <f>(G1204 * M1204)</f>
        <v>0</v>
      </c>
      <c r="O1204">
        <v>0</v>
      </c>
      <c r="P1204">
        <v>0</v>
      </c>
      <c r="Q1204">
        <f>IF(O1204&gt;G1204,(O1204-G1204),0)</f>
        <v>0</v>
      </c>
      <c r="R1204">
        <v>0</v>
      </c>
      <c r="S1204">
        <f>IF(Q1204&gt;0,Int(P1204/Q1204),0)</f>
        <v>0</v>
      </c>
      <c r="T1204">
        <f>0</f>
        <v>0</v>
      </c>
      <c r="U1204"/>
      <c r="V1204">
        <v>0</v>
      </c>
      <c r="W1204">
        <v>0</v>
      </c>
      <c r="X1204"/>
    </row>
    <row r="1205" spans="1:27">
      <c r="A1205" t="s">
        <v>35</v>
      </c>
      <c r="B1205" t="s">
        <v>29</v>
      </c>
      <c r="C1205" t="s">
        <v>4177</v>
      </c>
      <c r="D1205" t="s">
        <v>4178</v>
      </c>
      <c r="E1205" t="s">
        <v>4179</v>
      </c>
      <c r="F1205" t="s">
        <v>33</v>
      </c>
      <c r="G1205">
        <v>0</v>
      </c>
      <c r="H1205">
        <f>((0/1000) * G1205)</f>
        <v>0</v>
      </c>
      <c r="I1205">
        <v>0</v>
      </c>
      <c r="J1205">
        <v>0</v>
      </c>
      <c r="K1205" s="4795">
        <v>310165.29</v>
      </c>
      <c r="L1205" s="4796">
        <f>(K1205 * G1205)</f>
        <v>0</v>
      </c>
      <c r="M1205" s="4797">
        <v>341181.82</v>
      </c>
      <c r="N1205" s="4798">
        <f>(G1205 * M1205)</f>
        <v>0</v>
      </c>
      <c r="O1205">
        <v>0</v>
      </c>
      <c r="P1205">
        <v>0</v>
      </c>
      <c r="Q1205">
        <f>IF(O1205&gt;G1205,(O1205-G1205),0)</f>
        <v>0</v>
      </c>
      <c r="R1205">
        <v>1</v>
      </c>
      <c r="S1205">
        <f>IF(Q1205&gt;0,Int(P1205/Q1205),0)</f>
        <v>0</v>
      </c>
      <c r="T1205">
        <f>167024.79</f>
        <v>167024.79</v>
      </c>
      <c r="U1205" t="s">
        <v>4180</v>
      </c>
      <c r="V1205">
        <v>310165.29</v>
      </c>
      <c r="W1205" t="s">
        <v>43</v>
      </c>
      <c r="X1205"/>
    </row>
    <row r="1206" spans="1:27">
      <c r="A1206" t="s">
        <v>35</v>
      </c>
      <c r="B1206" t="s">
        <v>29</v>
      </c>
      <c r="C1206" t="s">
        <v>4181</v>
      </c>
      <c r="D1206" t="s">
        <v>4182</v>
      </c>
      <c r="E1206" t="s">
        <v>4183</v>
      </c>
      <c r="F1206" t="s">
        <v>33</v>
      </c>
      <c r="G1206">
        <v>0</v>
      </c>
      <c r="H1206">
        <f>((0/1000) * G1206)</f>
        <v>0</v>
      </c>
      <c r="I1206">
        <v>0</v>
      </c>
      <c r="J1206">
        <v>0</v>
      </c>
      <c r="K1206" s="4799">
        <v>49509.73</v>
      </c>
      <c r="L1206" s="4800">
        <f>(K1206 * G1206)</f>
        <v>0</v>
      </c>
      <c r="M1206" s="4801">
        <v>69313.63</v>
      </c>
      <c r="N1206" s="4802">
        <f>(G1206 * M1206)</f>
        <v>0</v>
      </c>
      <c r="O1206">
        <v>0</v>
      </c>
      <c r="P1206">
        <v>0</v>
      </c>
      <c r="Q1206">
        <f>IF(O1206&gt;G1206,(O1206-G1206),0)</f>
        <v>0</v>
      </c>
      <c r="R1206">
        <v>1</v>
      </c>
      <c r="S1206">
        <f>IF(Q1206&gt;0,Int(P1206/Q1206),0)</f>
        <v>0</v>
      </c>
      <c r="T1206">
        <f>0</f>
        <v>0</v>
      </c>
      <c r="U1206"/>
      <c r="V1206">
        <v>49509.73</v>
      </c>
      <c r="W1206" t="s">
        <v>75</v>
      </c>
      <c r="X1206"/>
    </row>
    <row r="1207" spans="1:27">
      <c r="A1207" t="s">
        <v>28</v>
      </c>
      <c r="B1207" t="s">
        <v>29</v>
      </c>
      <c r="C1207" t="s">
        <v>4184</v>
      </c>
      <c r="D1207" t="s">
        <v>4185</v>
      </c>
      <c r="E1207" t="s">
        <v>4186</v>
      </c>
      <c r="F1207" t="s">
        <v>33</v>
      </c>
      <c r="G1207">
        <v>7</v>
      </c>
      <c r="H1207">
        <f>((0/1000) * G1207)</f>
        <v>0</v>
      </c>
      <c r="I1207">
        <v>0</v>
      </c>
      <c r="J1207">
        <v>7</v>
      </c>
      <c r="K1207" s="4803">
        <v>156500</v>
      </c>
      <c r="L1207" s="4804">
        <f>(K1207 * G1207)</f>
        <v>1095500</v>
      </c>
      <c r="M1207" s="4805">
        <v>280991.74</v>
      </c>
      <c r="N1207" s="4806">
        <f>(G1207 * M1207)</f>
        <v>1966942.18</v>
      </c>
      <c r="O1207">
        <v>0</v>
      </c>
      <c r="P1207">
        <v>0</v>
      </c>
      <c r="Q1207">
        <f>IF(O1207&gt;G1207,(O1207-G1207),0)</f>
        <v>0</v>
      </c>
      <c r="R1207">
        <v>1</v>
      </c>
      <c r="S1207">
        <f>IF(Q1207&gt;0,Int(P1207/Q1207),0)</f>
        <v>0</v>
      </c>
      <c r="T1207">
        <f>156500</f>
        <v>156500</v>
      </c>
      <c r="U1207" t="s">
        <v>993</v>
      </c>
      <c r="V1207">
        <v>156500</v>
      </c>
      <c r="W1207" t="s">
        <v>3640</v>
      </c>
      <c r="X1207" t="s">
        <v>166</v>
      </c>
    </row>
    <row r="1208" spans="1:27">
      <c r="A1208" t="s">
        <v>28</v>
      </c>
      <c r="B1208" t="s">
        <v>29</v>
      </c>
      <c r="C1208" t="s">
        <v>4187</v>
      </c>
      <c r="D1208" t="s">
        <v>4188</v>
      </c>
      <c r="E1208" t="s">
        <v>4189</v>
      </c>
      <c r="F1208" t="s">
        <v>41</v>
      </c>
      <c r="G1208">
        <v>0</v>
      </c>
      <c r="H1208">
        <f>((0/1000) * G1208)</f>
        <v>0</v>
      </c>
      <c r="I1208">
        <v>0</v>
      </c>
      <c r="J1208">
        <v>0</v>
      </c>
      <c r="K1208" s="4807">
        <v>297405.72</v>
      </c>
      <c r="L1208" s="4808">
        <f>(K1208 * G1208)</f>
        <v>0</v>
      </c>
      <c r="M1208" s="4809">
        <v>416368.01</v>
      </c>
      <c r="N1208" s="4810">
        <f>(G1208 * M1208)</f>
        <v>0</v>
      </c>
      <c r="O1208">
        <v>0</v>
      </c>
      <c r="P1208">
        <v>0</v>
      </c>
      <c r="Q1208">
        <f>IF(O1208&gt;G1208,(O1208-G1208),0)</f>
        <v>0</v>
      </c>
      <c r="R1208">
        <v>0</v>
      </c>
      <c r="S1208">
        <f>IF(Q1208&gt;0,Int(P1208/Q1208),0)</f>
        <v>0</v>
      </c>
      <c r="T1208">
        <f>0</f>
        <v>0</v>
      </c>
      <c r="U1208"/>
      <c r="V1208">
        <v>297405.72</v>
      </c>
      <c r="W1208" t="s">
        <v>182</v>
      </c>
      <c r="X1208"/>
    </row>
    <row r="1209" spans="1:27">
      <c r="A1209" t="s">
        <v>35</v>
      </c>
      <c r="B1209" t="s">
        <v>29</v>
      </c>
      <c r="C1209" t="s">
        <v>4190</v>
      </c>
      <c r="D1209" t="s">
        <v>4191</v>
      </c>
      <c r="E1209" t="s">
        <v>4192</v>
      </c>
      <c r="F1209" t="s">
        <v>33</v>
      </c>
      <c r="G1209">
        <v>0</v>
      </c>
      <c r="H1209">
        <f>((0/1000) * G1209)</f>
        <v>0</v>
      </c>
      <c r="I1209">
        <v>0</v>
      </c>
      <c r="J1209">
        <v>0</v>
      </c>
      <c r="K1209" s="4811">
        <v>148766.23</v>
      </c>
      <c r="L1209" s="4812">
        <f>(K1209 * G1209)</f>
        <v>0</v>
      </c>
      <c r="M1209" s="4813">
        <v>208272.73</v>
      </c>
      <c r="N1209" s="4814">
        <f>(G1209 * M1209)</f>
        <v>0</v>
      </c>
      <c r="O1209">
        <v>0</v>
      </c>
      <c r="P1209">
        <v>0</v>
      </c>
      <c r="Q1209">
        <f>IF(O1209&gt;G1209,(O1209-G1209),0)</f>
        <v>0</v>
      </c>
      <c r="R1209">
        <v>1</v>
      </c>
      <c r="S1209">
        <f>IF(Q1209&gt;0,Int(P1209/Q1209),0)</f>
        <v>0</v>
      </c>
      <c r="T1209">
        <f>0</f>
        <v>0</v>
      </c>
      <c r="U1209"/>
      <c r="V1209">
        <v>148766.23</v>
      </c>
      <c r="W1209" t="s">
        <v>75</v>
      </c>
      <c r="X1209"/>
    </row>
    <row r="1210" spans="1:27">
      <c r="A1210" t="s">
        <v>35</v>
      </c>
      <c r="B1210" t="s">
        <v>29</v>
      </c>
      <c r="C1210" t="s">
        <v>4193</v>
      </c>
      <c r="D1210" t="s">
        <v>4194</v>
      </c>
      <c r="E1210" t="s">
        <v>4195</v>
      </c>
      <c r="F1210" t="s">
        <v>41</v>
      </c>
      <c r="G1210">
        <v>0</v>
      </c>
      <c r="H1210">
        <f>((0/1000) * G1210)</f>
        <v>0</v>
      </c>
      <c r="I1210">
        <v>0</v>
      </c>
      <c r="J1210">
        <v>0</v>
      </c>
      <c r="K1210" s="4815">
        <v>599999.36</v>
      </c>
      <c r="L1210" s="4816">
        <f>(K1210 * G1210)</f>
        <v>0</v>
      </c>
      <c r="M1210" s="4817">
        <v>839999.1</v>
      </c>
      <c r="N1210" s="4818">
        <f>(G1210 * M1210)</f>
        <v>0</v>
      </c>
      <c r="O1210">
        <v>0</v>
      </c>
      <c r="P1210">
        <v>0</v>
      </c>
      <c r="Q1210">
        <f>IF(O1210&gt;G1210,(O1210-G1210),0)</f>
        <v>0</v>
      </c>
      <c r="R1210">
        <v>0</v>
      </c>
      <c r="S1210">
        <f>IF(Q1210&gt;0,Int(P1210/Q1210),0)</f>
        <v>0</v>
      </c>
      <c r="T1210">
        <f>0</f>
        <v>0</v>
      </c>
      <c r="U1210"/>
      <c r="V1210">
        <v>599999.36</v>
      </c>
      <c r="W1210" t="s">
        <v>182</v>
      </c>
      <c r="X1210"/>
    </row>
    <row r="1211" spans="1:27">
      <c r="A1211" t="s">
        <v>35</v>
      </c>
      <c r="B1211" t="s">
        <v>29</v>
      </c>
      <c r="C1211" t="s">
        <v>4196</v>
      </c>
      <c r="D1211" t="s">
        <v>4197</v>
      </c>
      <c r="E1211" t="s">
        <v>4198</v>
      </c>
      <c r="F1211" t="s">
        <v>33</v>
      </c>
      <c r="G1211">
        <v>0</v>
      </c>
      <c r="H1211">
        <f>((0/1000) * G1211)</f>
        <v>0</v>
      </c>
      <c r="I1211">
        <v>0</v>
      </c>
      <c r="J1211">
        <v>0</v>
      </c>
      <c r="K1211" s="4819">
        <v>89532.31</v>
      </c>
      <c r="L1211" s="4820">
        <f>(K1211 * G1211)</f>
        <v>0</v>
      </c>
      <c r="M1211" s="4821">
        <v>125345.23</v>
      </c>
      <c r="N1211" s="4822">
        <f>(G1211 * M1211)</f>
        <v>0</v>
      </c>
      <c r="O1211">
        <v>0</v>
      </c>
      <c r="P1211">
        <v>0</v>
      </c>
      <c r="Q1211">
        <f>IF(O1211&gt;G1211,(O1211-G1211),0)</f>
        <v>0</v>
      </c>
      <c r="R1211">
        <v>1</v>
      </c>
      <c r="S1211">
        <f>IF(Q1211&gt;0,Int(P1211/Q1211),0)</f>
        <v>0</v>
      </c>
      <c r="T1211">
        <f>0</f>
        <v>0</v>
      </c>
      <c r="U1211"/>
      <c r="V1211">
        <v>89532.31</v>
      </c>
      <c r="W1211" t="s">
        <v>75</v>
      </c>
      <c r="X1211"/>
    </row>
    <row r="1212" spans="1:27">
      <c r="A1212" t="s">
        <v>35</v>
      </c>
      <c r="B1212" t="s">
        <v>29</v>
      </c>
      <c r="C1212" t="s">
        <v>4199</v>
      </c>
      <c r="D1212" t="s">
        <v>4200</v>
      </c>
      <c r="E1212" t="s">
        <v>4201</v>
      </c>
      <c r="F1212" t="s">
        <v>33</v>
      </c>
      <c r="G1212">
        <v>0</v>
      </c>
      <c r="H1212">
        <f>((0/1000) * G1212)</f>
        <v>0</v>
      </c>
      <c r="I1212">
        <v>0</v>
      </c>
      <c r="J1212">
        <v>0</v>
      </c>
      <c r="K1212" s="4823">
        <v>208701.3</v>
      </c>
      <c r="L1212" s="4824">
        <f>(K1212 * G1212)</f>
        <v>0</v>
      </c>
      <c r="M1212" s="4825">
        <v>292181.82</v>
      </c>
      <c r="N1212" s="4826">
        <f>(G1212 * M1212)</f>
        <v>0</v>
      </c>
      <c r="O1212">
        <v>0</v>
      </c>
      <c r="P1212">
        <v>0</v>
      </c>
      <c r="Q1212">
        <f>IF(O1212&gt;G1212,(O1212-G1212),0)</f>
        <v>0</v>
      </c>
      <c r="R1212">
        <v>1</v>
      </c>
      <c r="S1212">
        <f>IF(Q1212&gt;0,Int(P1212/Q1212),0)</f>
        <v>0</v>
      </c>
      <c r="T1212">
        <f>0</f>
        <v>0</v>
      </c>
      <c r="U1212"/>
      <c r="V1212">
        <v>208701.3</v>
      </c>
      <c r="W1212" t="s">
        <v>75</v>
      </c>
      <c r="X1212"/>
    </row>
    <row r="1213" spans="1:27">
      <c r="A1213" t="s">
        <v>28</v>
      </c>
      <c r="B1213" t="s">
        <v>29</v>
      </c>
      <c r="C1213" t="s">
        <v>4202</v>
      </c>
      <c r="D1213" t="s">
        <v>4203</v>
      </c>
      <c r="E1213" t="s">
        <v>4204</v>
      </c>
      <c r="F1213" t="s">
        <v>33</v>
      </c>
      <c r="G1213">
        <v>0</v>
      </c>
      <c r="H1213">
        <f>((0/1000) * G1213)</f>
        <v>0</v>
      </c>
      <c r="I1213">
        <v>0</v>
      </c>
      <c r="J1213">
        <v>0</v>
      </c>
      <c r="K1213" s="4827">
        <v>208701.3</v>
      </c>
      <c r="L1213" s="4828">
        <f>(K1213 * G1213)</f>
        <v>0</v>
      </c>
      <c r="M1213" s="4829">
        <v>292181.82</v>
      </c>
      <c r="N1213" s="4830">
        <f>(G1213 * M1213)</f>
        <v>0</v>
      </c>
      <c r="O1213">
        <v>0</v>
      </c>
      <c r="P1213">
        <v>0</v>
      </c>
      <c r="Q1213">
        <f>IF(O1213&gt;G1213,(O1213-G1213),0)</f>
        <v>0</v>
      </c>
      <c r="R1213">
        <v>1</v>
      </c>
      <c r="S1213">
        <f>IF(Q1213&gt;0,Int(P1213/Q1213),0)</f>
        <v>0</v>
      </c>
      <c r="T1213">
        <f>0</f>
        <v>0</v>
      </c>
      <c r="U1213"/>
      <c r="V1213">
        <v>208701.3</v>
      </c>
      <c r="W1213" t="s">
        <v>75</v>
      </c>
      <c r="X1213"/>
    </row>
    <row r="1214" spans="1:27">
      <c r="A1214" t="s">
        <v>35</v>
      </c>
      <c r="B1214" t="s">
        <v>29</v>
      </c>
      <c r="C1214" t="s">
        <v>4205</v>
      </c>
      <c r="D1214" t="s">
        <v>4205</v>
      </c>
      <c r="E1214" t="s">
        <v>4206</v>
      </c>
      <c r="F1214" t="s">
        <v>33</v>
      </c>
      <c r="G1214">
        <v>0</v>
      </c>
      <c r="H1214">
        <f>((1/1000) * G1214)</f>
        <v>0</v>
      </c>
      <c r="I1214">
        <v>0</v>
      </c>
      <c r="J1214">
        <v>0</v>
      </c>
      <c r="K1214" s="4831">
        <v>0</v>
      </c>
      <c r="L1214" s="4832">
        <f>(K1214 * G1214)</f>
        <v>0</v>
      </c>
      <c r="M1214" s="4833">
        <v>0</v>
      </c>
      <c r="N1214" s="4834">
        <f>(G1214 * M1214)</f>
        <v>0</v>
      </c>
      <c r="O1214">
        <v>0</v>
      </c>
      <c r="P1214">
        <v>0</v>
      </c>
      <c r="Q1214">
        <f>IF(O1214&gt;G1214,(O1214-G1214),0)</f>
        <v>0</v>
      </c>
      <c r="R1214">
        <v>0</v>
      </c>
      <c r="S1214">
        <f>IF(Q1214&gt;0,Int(P1214/Q1214),0)</f>
        <v>0</v>
      </c>
      <c r="T1214">
        <f>0</f>
        <v>0</v>
      </c>
      <c r="U1214"/>
      <c r="V1214">
        <v>0</v>
      </c>
      <c r="W1214">
        <v>0</v>
      </c>
      <c r="X1214"/>
    </row>
    <row r="1215" spans="1:27">
      <c r="A1215" t="s">
        <v>35</v>
      </c>
      <c r="B1215" t="s">
        <v>29</v>
      </c>
      <c r="C1215" t="s">
        <v>4207</v>
      </c>
      <c r="D1215" t="s">
        <v>4207</v>
      </c>
      <c r="E1215" t="s">
        <v>4208</v>
      </c>
      <c r="F1215" t="s">
        <v>33</v>
      </c>
      <c r="G1215">
        <v>0</v>
      </c>
      <c r="H1215">
        <f>((1/1000) * G1215)</f>
        <v>0</v>
      </c>
      <c r="I1215">
        <v>0</v>
      </c>
      <c r="J1215">
        <v>0</v>
      </c>
      <c r="K1215" s="4835">
        <v>0</v>
      </c>
      <c r="L1215" s="4836">
        <f>(K1215 * G1215)</f>
        <v>0</v>
      </c>
      <c r="M1215" s="4837">
        <v>0</v>
      </c>
      <c r="N1215" s="4838">
        <f>(G1215 * M1215)</f>
        <v>0</v>
      </c>
      <c r="O1215">
        <v>0</v>
      </c>
      <c r="P1215">
        <v>0</v>
      </c>
      <c r="Q1215">
        <f>IF(O1215&gt;G1215,(O1215-G1215),0)</f>
        <v>0</v>
      </c>
      <c r="R1215">
        <v>0</v>
      </c>
      <c r="S1215">
        <f>IF(Q1215&gt;0,Int(P1215/Q1215),0)</f>
        <v>0</v>
      </c>
      <c r="T1215">
        <f>0</f>
        <v>0</v>
      </c>
      <c r="U1215"/>
      <c r="V1215">
        <v>0</v>
      </c>
      <c r="W1215">
        <v>0</v>
      </c>
      <c r="X1215"/>
    </row>
    <row r="1216" spans="1:27">
      <c r="A1216" t="s">
        <v>35</v>
      </c>
      <c r="B1216" t="s">
        <v>29</v>
      </c>
      <c r="C1216" t="s">
        <v>4209</v>
      </c>
      <c r="D1216" t="s">
        <v>4210</v>
      </c>
      <c r="E1216" t="s">
        <v>4211</v>
      </c>
      <c r="F1216" t="s">
        <v>33</v>
      </c>
      <c r="G1216">
        <v>0</v>
      </c>
      <c r="H1216">
        <f>((0/1000) * G1216)</f>
        <v>0</v>
      </c>
      <c r="I1216">
        <v>0</v>
      </c>
      <c r="J1216">
        <v>0</v>
      </c>
      <c r="K1216" s="4839">
        <v>0</v>
      </c>
      <c r="L1216" s="4840">
        <f>(K1216 * G1216)</f>
        <v>0</v>
      </c>
      <c r="M1216" s="4841">
        <v>0</v>
      </c>
      <c r="N1216" s="4842">
        <f>(G1216 * M1216)</f>
        <v>0</v>
      </c>
      <c r="O1216">
        <v>0</v>
      </c>
      <c r="P1216">
        <v>0</v>
      </c>
      <c r="Q1216">
        <f>IF(O1216&gt;G1216,(O1216-G1216),0)</f>
        <v>0</v>
      </c>
      <c r="R1216">
        <v>1</v>
      </c>
      <c r="S1216">
        <f>IF(Q1216&gt;0,Int(P1216/Q1216),0)</f>
        <v>0</v>
      </c>
      <c r="T1216">
        <f>0</f>
        <v>0</v>
      </c>
      <c r="U1216"/>
      <c r="V1216">
        <v>0</v>
      </c>
      <c r="W1216">
        <v>0</v>
      </c>
      <c r="X1216"/>
    </row>
    <row r="1217" spans="1:27">
      <c r="A1217" t="s">
        <v>35</v>
      </c>
      <c r="B1217" t="s">
        <v>29</v>
      </c>
      <c r="C1217" t="s">
        <v>4212</v>
      </c>
      <c r="D1217" t="s">
        <v>4213</v>
      </c>
      <c r="E1217" t="s">
        <v>4214</v>
      </c>
      <c r="F1217" t="s">
        <v>41</v>
      </c>
      <c r="G1217">
        <v>0</v>
      </c>
      <c r="H1217">
        <f>((0/1000) * G1217)</f>
        <v>0</v>
      </c>
      <c r="I1217">
        <v>0</v>
      </c>
      <c r="J1217">
        <v>0</v>
      </c>
      <c r="K1217" s="4843">
        <v>529272.72</v>
      </c>
      <c r="L1217" s="4844">
        <f>(K1217 * G1217)</f>
        <v>0</v>
      </c>
      <c r="M1217" s="4845">
        <v>740981.81</v>
      </c>
      <c r="N1217" s="4846">
        <f>(G1217 * M1217)</f>
        <v>0</v>
      </c>
      <c r="O1217">
        <v>0</v>
      </c>
      <c r="P1217">
        <v>0</v>
      </c>
      <c r="Q1217">
        <f>IF(O1217&gt;G1217,(O1217-G1217),0)</f>
        <v>0</v>
      </c>
      <c r="R1217">
        <v>1</v>
      </c>
      <c r="S1217">
        <f>IF(Q1217&gt;0,Int(P1217/Q1217),0)</f>
        <v>0</v>
      </c>
      <c r="T1217">
        <f>133508.64</f>
        <v>133508.64</v>
      </c>
      <c r="U1217" t="s">
        <v>4215</v>
      </c>
      <c r="V1217">
        <v>529272.72</v>
      </c>
      <c r="W1217" t="s">
        <v>75</v>
      </c>
      <c r="X1217"/>
    </row>
    <row r="1218" spans="1:27">
      <c r="A1218" t="s">
        <v>35</v>
      </c>
      <c r="B1218" t="s">
        <v>29</v>
      </c>
      <c r="C1218" t="s">
        <v>4216</v>
      </c>
      <c r="D1218" t="s">
        <v>4217</v>
      </c>
      <c r="E1218" t="s">
        <v>4218</v>
      </c>
      <c r="F1218" t="s">
        <v>41</v>
      </c>
      <c r="G1218">
        <v>0</v>
      </c>
      <c r="H1218">
        <f>((0/1000) * G1218)</f>
        <v>0</v>
      </c>
      <c r="I1218">
        <v>0</v>
      </c>
      <c r="J1218">
        <v>0</v>
      </c>
      <c r="K1218" s="4847">
        <v>611363.63</v>
      </c>
      <c r="L1218" s="4848">
        <f>(K1218 * G1218)</f>
        <v>0</v>
      </c>
      <c r="M1218" s="4849">
        <v>855909.08</v>
      </c>
      <c r="N1218" s="4850">
        <f>(G1218 * M1218)</f>
        <v>0</v>
      </c>
      <c r="O1218">
        <v>0</v>
      </c>
      <c r="P1218">
        <v>0</v>
      </c>
      <c r="Q1218">
        <f>IF(O1218&gt;G1218,(O1218-G1218),0)</f>
        <v>0</v>
      </c>
      <c r="R1218">
        <v>1</v>
      </c>
      <c r="S1218">
        <f>IF(Q1218&gt;0,Int(P1218/Q1218),0)</f>
        <v>0</v>
      </c>
      <c r="T1218">
        <f>132231.41</f>
        <v>132231.41</v>
      </c>
      <c r="U1218" t="s">
        <v>4219</v>
      </c>
      <c r="V1218">
        <v>611363.63</v>
      </c>
      <c r="W1218" t="s">
        <v>75</v>
      </c>
      <c r="X1218"/>
    </row>
    <row r="1219" spans="1:27">
      <c r="A1219" t="s">
        <v>35</v>
      </c>
      <c r="B1219" t="s">
        <v>29</v>
      </c>
      <c r="C1219" t="s">
        <v>4220</v>
      </c>
      <c r="D1219" t="s">
        <v>4221</v>
      </c>
      <c r="E1219" t="s">
        <v>4222</v>
      </c>
      <c r="F1219" t="s">
        <v>33</v>
      </c>
      <c r="G1219">
        <v>0</v>
      </c>
      <c r="H1219">
        <f>((0/1000) * G1219)</f>
        <v>0</v>
      </c>
      <c r="I1219">
        <v>0</v>
      </c>
      <c r="J1219">
        <v>0</v>
      </c>
      <c r="K1219" s="4851">
        <v>94612.88</v>
      </c>
      <c r="L1219" s="4852">
        <f>(K1219 * G1219)</f>
        <v>0</v>
      </c>
      <c r="M1219" s="4853">
        <v>132458.04</v>
      </c>
      <c r="N1219" s="4854">
        <f>(G1219 * M1219)</f>
        <v>0</v>
      </c>
      <c r="O1219">
        <v>0</v>
      </c>
      <c r="P1219">
        <v>0</v>
      </c>
      <c r="Q1219">
        <f>IF(O1219&gt;G1219,(O1219-G1219),0)</f>
        <v>0</v>
      </c>
      <c r="R1219">
        <v>1</v>
      </c>
      <c r="S1219">
        <f>IF(Q1219&gt;0,Int(P1219/Q1219),0)</f>
        <v>0</v>
      </c>
      <c r="T1219">
        <f>0</f>
        <v>0</v>
      </c>
      <c r="U1219"/>
      <c r="V1219">
        <v>94612.88</v>
      </c>
      <c r="W1219" t="s">
        <v>75</v>
      </c>
      <c r="X1219"/>
    </row>
    <row r="1220" spans="1:27">
      <c r="A1220" t="s">
        <v>35</v>
      </c>
      <c r="B1220" t="s">
        <v>29</v>
      </c>
      <c r="C1220" t="s">
        <v>4223</v>
      </c>
      <c r="D1220" t="s">
        <v>4224</v>
      </c>
      <c r="E1220" t="s">
        <v>4225</v>
      </c>
      <c r="F1220" t="s">
        <v>41</v>
      </c>
      <c r="G1220">
        <v>0</v>
      </c>
      <c r="H1220">
        <f>((0/1000) * G1220)</f>
        <v>0</v>
      </c>
      <c r="I1220">
        <v>0</v>
      </c>
      <c r="J1220">
        <v>0</v>
      </c>
      <c r="K1220" s="4855">
        <v>529272.72</v>
      </c>
      <c r="L1220" s="4856">
        <f>(K1220 * G1220)</f>
        <v>0</v>
      </c>
      <c r="M1220" s="4857">
        <v>740981.81</v>
      </c>
      <c r="N1220" s="4858">
        <f>(G1220 * M1220)</f>
        <v>0</v>
      </c>
      <c r="O1220">
        <v>0</v>
      </c>
      <c r="P1220">
        <v>0</v>
      </c>
      <c r="Q1220">
        <f>IF(O1220&gt;G1220,(O1220-G1220),0)</f>
        <v>0</v>
      </c>
      <c r="R1220">
        <v>1</v>
      </c>
      <c r="S1220">
        <f>IF(Q1220&gt;0,Int(P1220/Q1220),0)</f>
        <v>0</v>
      </c>
      <c r="T1220">
        <f>188655.15</f>
        <v>188655.15</v>
      </c>
      <c r="U1220" t="s">
        <v>4226</v>
      </c>
      <c r="V1220">
        <v>529272.72</v>
      </c>
      <c r="W1220" t="s">
        <v>75</v>
      </c>
      <c r="X1220"/>
    </row>
    <row r="1221" spans="1:27">
      <c r="A1221" t="s">
        <v>28</v>
      </c>
      <c r="B1221" t="s">
        <v>29</v>
      </c>
      <c r="C1221" t="s">
        <v>4227</v>
      </c>
      <c r="D1221" t="s">
        <v>4228</v>
      </c>
      <c r="E1221" t="s">
        <v>4229</v>
      </c>
      <c r="F1221" t="s">
        <v>33</v>
      </c>
      <c r="G1221">
        <v>0</v>
      </c>
      <c r="H1221">
        <f>((0/1000) * G1221)</f>
        <v>0</v>
      </c>
      <c r="I1221">
        <v>0</v>
      </c>
      <c r="J1221">
        <v>0</v>
      </c>
      <c r="K1221" s="4859">
        <v>315785.12</v>
      </c>
      <c r="L1221" s="4860">
        <f>(K1221 * G1221)</f>
        <v>0</v>
      </c>
      <c r="M1221" s="4861">
        <v>347363.64</v>
      </c>
      <c r="N1221" s="4862">
        <f>(G1221 * M1221)</f>
        <v>0</v>
      </c>
      <c r="O1221">
        <v>0</v>
      </c>
      <c r="P1221">
        <v>0</v>
      </c>
      <c r="Q1221">
        <f>IF(O1221&gt;G1221,(O1221-G1221),0)</f>
        <v>0</v>
      </c>
      <c r="R1221">
        <v>1</v>
      </c>
      <c r="S1221">
        <f>IF(Q1221&gt;0,Int(P1221/Q1221),0)</f>
        <v>0</v>
      </c>
      <c r="T1221">
        <f>354921.11</f>
        <v>354921.11</v>
      </c>
      <c r="U1221" t="s">
        <v>4230</v>
      </c>
      <c r="V1221">
        <v>315785.12</v>
      </c>
      <c r="W1221" t="s">
        <v>43</v>
      </c>
      <c r="X1221"/>
    </row>
    <row r="1222" spans="1:27">
      <c r="A1222" t="s">
        <v>35</v>
      </c>
      <c r="B1222" t="s">
        <v>29</v>
      </c>
      <c r="C1222" t="s">
        <v>4231</v>
      </c>
      <c r="D1222" t="s">
        <v>4232</v>
      </c>
      <c r="E1222" t="s">
        <v>4233</v>
      </c>
      <c r="F1222" t="s">
        <v>41</v>
      </c>
      <c r="G1222">
        <v>1</v>
      </c>
      <c r="H1222">
        <f>((0/1000) * G1222)</f>
        <v>0</v>
      </c>
      <c r="I1222">
        <v>0</v>
      </c>
      <c r="J1222">
        <v>1</v>
      </c>
      <c r="K1222" s="4863">
        <v>150090.91</v>
      </c>
      <c r="L1222" s="4864">
        <f>(K1222 * G1222)</f>
        <v>150090.91</v>
      </c>
      <c r="M1222" s="4865">
        <v>210127.27</v>
      </c>
      <c r="N1222" s="4866">
        <f>(G1222 * M1222)</f>
        <v>210127.27</v>
      </c>
      <c r="O1222">
        <v>0</v>
      </c>
      <c r="P1222">
        <v>0</v>
      </c>
      <c r="Q1222">
        <f>IF(O1222&gt;G1222,(O1222-G1222),0)</f>
        <v>0</v>
      </c>
      <c r="R1222">
        <v>1</v>
      </c>
      <c r="S1222">
        <f>IF(Q1222&gt;0,Int(P1222/Q1222),0)</f>
        <v>0</v>
      </c>
      <c r="T1222">
        <f>124042.07</f>
        <v>124042.07</v>
      </c>
      <c r="U1222" t="s">
        <v>4234</v>
      </c>
      <c r="V1222">
        <v>150090.91</v>
      </c>
      <c r="W1222" t="s">
        <v>75</v>
      </c>
      <c r="X1222" t="s">
        <v>687</v>
      </c>
    </row>
    <row r="1223" spans="1:27">
      <c r="A1223" t="s">
        <v>35</v>
      </c>
      <c r="B1223" t="s">
        <v>29</v>
      </c>
      <c r="C1223" t="s">
        <v>4235</v>
      </c>
      <c r="D1223" t="s">
        <v>4236</v>
      </c>
      <c r="E1223" t="s">
        <v>4237</v>
      </c>
      <c r="F1223" t="s">
        <v>33</v>
      </c>
      <c r="G1223">
        <v>0</v>
      </c>
      <c r="H1223">
        <f>((0/1000) * G1223)</f>
        <v>0</v>
      </c>
      <c r="I1223">
        <v>0</v>
      </c>
      <c r="J1223">
        <v>0</v>
      </c>
      <c r="K1223" s="4867">
        <v>88554.15</v>
      </c>
      <c r="L1223" s="4868">
        <f>(K1223 * G1223)</f>
        <v>0</v>
      </c>
      <c r="M1223" s="4869">
        <v>123975.81</v>
      </c>
      <c r="N1223" s="4870">
        <f>(G1223 * M1223)</f>
        <v>0</v>
      </c>
      <c r="O1223">
        <v>0</v>
      </c>
      <c r="P1223">
        <v>0</v>
      </c>
      <c r="Q1223">
        <f>IF(O1223&gt;G1223,(O1223-G1223),0)</f>
        <v>0</v>
      </c>
      <c r="R1223">
        <v>1</v>
      </c>
      <c r="S1223">
        <f>IF(Q1223&gt;0,Int(P1223/Q1223),0)</f>
        <v>0</v>
      </c>
      <c r="T1223">
        <f>0</f>
        <v>0</v>
      </c>
      <c r="U1223"/>
      <c r="V1223">
        <v>88554.15</v>
      </c>
      <c r="W1223" t="s">
        <v>75</v>
      </c>
      <c r="X1223"/>
    </row>
    <row r="1224" spans="1:27">
      <c r="A1224" t="s">
        <v>35</v>
      </c>
      <c r="B1224" t="s">
        <v>29</v>
      </c>
      <c r="C1224" t="s">
        <v>4238</v>
      </c>
      <c r="D1224" t="s">
        <v>4239</v>
      </c>
      <c r="E1224" t="s">
        <v>4240</v>
      </c>
      <c r="F1224" t="s">
        <v>33</v>
      </c>
      <c r="G1224">
        <v>0</v>
      </c>
      <c r="H1224">
        <f>((0/1000) * G1224)</f>
        <v>0</v>
      </c>
      <c r="I1224">
        <v>0</v>
      </c>
      <c r="J1224">
        <v>0</v>
      </c>
      <c r="K1224" s="4871">
        <v>274876.03</v>
      </c>
      <c r="L1224" s="4872">
        <f>(K1224 * G1224)</f>
        <v>0</v>
      </c>
      <c r="M1224" s="4873">
        <v>302363.64</v>
      </c>
      <c r="N1224" s="4874">
        <f>(G1224 * M1224)</f>
        <v>0</v>
      </c>
      <c r="O1224">
        <v>0</v>
      </c>
      <c r="P1224">
        <v>0</v>
      </c>
      <c r="Q1224">
        <f>IF(O1224&gt;G1224,(O1224-G1224),0)</f>
        <v>0</v>
      </c>
      <c r="R1224">
        <v>1</v>
      </c>
      <c r="S1224">
        <f>IF(Q1224&gt;0,Int(P1224/Q1224),0)</f>
        <v>0</v>
      </c>
      <c r="T1224">
        <f>226220.89</f>
        <v>226220.89</v>
      </c>
      <c r="U1224" t="s">
        <v>3997</v>
      </c>
      <c r="V1224">
        <v>274876.03</v>
      </c>
      <c r="W1224" t="s">
        <v>43</v>
      </c>
      <c r="X1224"/>
    </row>
    <row r="1225" spans="1:27">
      <c r="A1225" t="s">
        <v>35</v>
      </c>
      <c r="B1225" t="s">
        <v>29</v>
      </c>
      <c r="C1225" t="s">
        <v>4241</v>
      </c>
      <c r="D1225" t="s">
        <v>4242</v>
      </c>
      <c r="E1225" t="s">
        <v>4243</v>
      </c>
      <c r="F1225" t="s">
        <v>41</v>
      </c>
      <c r="G1225">
        <v>0</v>
      </c>
      <c r="H1225">
        <f>((0/1000) * G1225)</f>
        <v>0</v>
      </c>
      <c r="I1225">
        <v>0</v>
      </c>
      <c r="J1225">
        <v>0</v>
      </c>
      <c r="K1225" s="4875">
        <v>380911.87</v>
      </c>
      <c r="L1225" s="4876">
        <f>(K1225 * G1225)</f>
        <v>0</v>
      </c>
      <c r="M1225" s="4877">
        <v>533276.61</v>
      </c>
      <c r="N1225" s="4878">
        <f>(G1225 * M1225)</f>
        <v>0</v>
      </c>
      <c r="O1225">
        <v>0</v>
      </c>
      <c r="P1225">
        <v>0</v>
      </c>
      <c r="Q1225">
        <f>IF(O1225&gt;G1225,(O1225-G1225),0)</f>
        <v>0</v>
      </c>
      <c r="R1225">
        <v>1</v>
      </c>
      <c r="S1225">
        <f>IF(Q1225&gt;0,Int(P1225/Q1225),0)</f>
        <v>0</v>
      </c>
      <c r="T1225">
        <f>381750.08</f>
        <v>381750.08</v>
      </c>
      <c r="U1225" t="s">
        <v>4244</v>
      </c>
      <c r="V1225">
        <v>380911.87</v>
      </c>
      <c r="W1225" t="s">
        <v>182</v>
      </c>
      <c r="X1225"/>
    </row>
    <row r="1226" spans="1:27">
      <c r="A1226" t="s">
        <v>35</v>
      </c>
      <c r="B1226" t="s">
        <v>29</v>
      </c>
      <c r="C1226" t="s">
        <v>4245</v>
      </c>
      <c r="D1226" t="s">
        <v>4246</v>
      </c>
      <c r="E1226" t="s">
        <v>4247</v>
      </c>
      <c r="F1226" t="s">
        <v>33</v>
      </c>
      <c r="G1226">
        <v>0</v>
      </c>
      <c r="H1226">
        <f>((0/1000) * G1226)</f>
        <v>0</v>
      </c>
      <c r="I1226">
        <v>0</v>
      </c>
      <c r="J1226">
        <v>0</v>
      </c>
      <c r="K1226" s="4879">
        <v>86851.63</v>
      </c>
      <c r="L1226" s="4880">
        <f>(K1226 * G1226)</f>
        <v>0</v>
      </c>
      <c r="M1226" s="4881">
        <v>121592.28</v>
      </c>
      <c r="N1226" s="4882">
        <f>(G1226 * M1226)</f>
        <v>0</v>
      </c>
      <c r="O1226">
        <v>0</v>
      </c>
      <c r="P1226">
        <v>0</v>
      </c>
      <c r="Q1226">
        <f>IF(O1226&gt;G1226,(O1226-G1226),0)</f>
        <v>0</v>
      </c>
      <c r="R1226">
        <v>1</v>
      </c>
      <c r="S1226">
        <f>IF(Q1226&gt;0,Int(P1226/Q1226),0)</f>
        <v>0</v>
      </c>
      <c r="T1226">
        <f>0</f>
        <v>0</v>
      </c>
      <c r="U1226"/>
      <c r="V1226">
        <v>86851.63</v>
      </c>
      <c r="W1226" t="s">
        <v>75</v>
      </c>
      <c r="X1226"/>
    </row>
    <row r="1227" spans="1:27">
      <c r="A1227" t="s">
        <v>35</v>
      </c>
      <c r="B1227" t="s">
        <v>29</v>
      </c>
      <c r="C1227" t="s">
        <v>4248</v>
      </c>
      <c r="D1227" t="s">
        <v>4249</v>
      </c>
      <c r="E1227" t="s">
        <v>4250</v>
      </c>
      <c r="F1227" t="s">
        <v>41</v>
      </c>
      <c r="G1227">
        <v>0</v>
      </c>
      <c r="H1227">
        <f>((0/1000) * G1227)</f>
        <v>0</v>
      </c>
      <c r="I1227">
        <v>0</v>
      </c>
      <c r="J1227">
        <v>0</v>
      </c>
      <c r="K1227" s="4883">
        <v>458181.57</v>
      </c>
      <c r="L1227" s="4884">
        <f>(K1227 * G1227)</f>
        <v>0</v>
      </c>
      <c r="M1227" s="4885">
        <v>641454.2</v>
      </c>
      <c r="N1227" s="4886">
        <f>(G1227 * M1227)</f>
        <v>0</v>
      </c>
      <c r="O1227">
        <v>0</v>
      </c>
      <c r="P1227">
        <v>0</v>
      </c>
      <c r="Q1227">
        <f>IF(O1227&gt;G1227,(O1227-G1227),0)</f>
        <v>0</v>
      </c>
      <c r="R1227">
        <v>1</v>
      </c>
      <c r="S1227">
        <f>IF(Q1227&gt;0,Int(P1227/Q1227),0)</f>
        <v>0</v>
      </c>
      <c r="T1227">
        <f>493688.96</f>
        <v>493688.96</v>
      </c>
      <c r="U1227" t="s">
        <v>3799</v>
      </c>
      <c r="V1227">
        <v>458181.57</v>
      </c>
      <c r="W1227" t="s">
        <v>182</v>
      </c>
      <c r="X1227"/>
    </row>
    <row r="1228" spans="1:27">
      <c r="A1228" t="s">
        <v>28</v>
      </c>
      <c r="B1228" t="s">
        <v>29</v>
      </c>
      <c r="C1228" t="s">
        <v>4251</v>
      </c>
      <c r="D1228" t="s">
        <v>4252</v>
      </c>
      <c r="E1228" t="s">
        <v>4253</v>
      </c>
      <c r="F1228" t="s">
        <v>41</v>
      </c>
      <c r="G1228">
        <v>0</v>
      </c>
      <c r="H1228">
        <f>((0/1000) * G1228)</f>
        <v>0</v>
      </c>
      <c r="I1228">
        <v>0</v>
      </c>
      <c r="J1228">
        <v>0</v>
      </c>
      <c r="K1228" s="4887">
        <v>322892.56</v>
      </c>
      <c r="L1228" s="4888">
        <f>(K1228 * G1228)</f>
        <v>0</v>
      </c>
      <c r="M1228" s="4889">
        <v>355181.82</v>
      </c>
      <c r="N1228" s="4890">
        <f>(G1228 * M1228)</f>
        <v>0</v>
      </c>
      <c r="O1228">
        <v>0</v>
      </c>
      <c r="P1228">
        <v>0</v>
      </c>
      <c r="Q1228">
        <f>IF(O1228&gt;G1228,(O1228-G1228),0)</f>
        <v>0</v>
      </c>
      <c r="R1228">
        <v>1</v>
      </c>
      <c r="S1228">
        <f>IF(Q1228&gt;0,Int(P1228/Q1228),0)</f>
        <v>0</v>
      </c>
      <c r="T1228">
        <f>314500.38</f>
        <v>314500.38</v>
      </c>
      <c r="U1228" t="s">
        <v>4254</v>
      </c>
      <c r="V1228">
        <v>322892.56</v>
      </c>
      <c r="W1228" t="s">
        <v>43</v>
      </c>
      <c r="X1228"/>
    </row>
    <row r="1229" spans="1:27">
      <c r="A1229" t="s">
        <v>35</v>
      </c>
      <c r="B1229" t="s">
        <v>29</v>
      </c>
      <c r="C1229" t="s">
        <v>4255</v>
      </c>
      <c r="D1229" t="s">
        <v>4256</v>
      </c>
      <c r="E1229" t="s">
        <v>4257</v>
      </c>
      <c r="F1229" t="s">
        <v>41</v>
      </c>
      <c r="G1229">
        <v>0</v>
      </c>
      <c r="H1229">
        <f>((0/1000) * G1229)</f>
        <v>0</v>
      </c>
      <c r="I1229">
        <v>0</v>
      </c>
      <c r="J1229">
        <v>0</v>
      </c>
      <c r="K1229" s="4891">
        <v>549817.83</v>
      </c>
      <c r="L1229" s="4892">
        <f>(K1229 * G1229)</f>
        <v>0</v>
      </c>
      <c r="M1229" s="4893">
        <v>769744.96</v>
      </c>
      <c r="N1229" s="4894">
        <f>(G1229 * M1229)</f>
        <v>0</v>
      </c>
      <c r="O1229">
        <v>0</v>
      </c>
      <c r="P1229">
        <v>0</v>
      </c>
      <c r="Q1229">
        <f>IF(O1229&gt;G1229,(O1229-G1229),0)</f>
        <v>0</v>
      </c>
      <c r="R1229">
        <v>1</v>
      </c>
      <c r="S1229">
        <f>IF(Q1229&gt;0,Int(P1229/Q1229),0)</f>
        <v>0</v>
      </c>
      <c r="T1229">
        <f>268069.12</f>
        <v>268069.12</v>
      </c>
      <c r="U1229" t="s">
        <v>4258</v>
      </c>
      <c r="V1229">
        <v>549817.83</v>
      </c>
      <c r="W1229" t="s">
        <v>182</v>
      </c>
      <c r="X1229"/>
    </row>
    <row r="1230" spans="1:27">
      <c r="A1230" t="s">
        <v>35</v>
      </c>
      <c r="B1230" t="s">
        <v>29</v>
      </c>
      <c r="C1230" t="s">
        <v>4259</v>
      </c>
      <c r="D1230" t="s">
        <v>4259</v>
      </c>
      <c r="E1230" t="s">
        <v>4260</v>
      </c>
      <c r="F1230" t="s">
        <v>33</v>
      </c>
      <c r="G1230">
        <v>0</v>
      </c>
      <c r="H1230">
        <f>((1/1000) * G1230)</f>
        <v>0</v>
      </c>
      <c r="I1230">
        <v>0</v>
      </c>
      <c r="J1230">
        <v>0</v>
      </c>
      <c r="K1230" s="4895">
        <v>0</v>
      </c>
      <c r="L1230" s="4896">
        <f>(K1230 * G1230)</f>
        <v>0</v>
      </c>
      <c r="M1230" s="4897">
        <v>0</v>
      </c>
      <c r="N1230" s="4898">
        <f>(G1230 * M1230)</f>
        <v>0</v>
      </c>
      <c r="O1230">
        <v>0</v>
      </c>
      <c r="P1230">
        <v>0</v>
      </c>
      <c r="Q1230">
        <f>IF(O1230&gt;G1230,(O1230-G1230),0)</f>
        <v>0</v>
      </c>
      <c r="R1230">
        <v>0</v>
      </c>
      <c r="S1230">
        <f>IF(Q1230&gt;0,Int(P1230/Q1230),0)</f>
        <v>0</v>
      </c>
      <c r="T1230">
        <f>0</f>
        <v>0</v>
      </c>
      <c r="U1230"/>
      <c r="V1230">
        <v>0</v>
      </c>
      <c r="W1230">
        <v>0</v>
      </c>
      <c r="X1230"/>
    </row>
    <row r="1231" spans="1:27">
      <c r="A1231" t="s">
        <v>28</v>
      </c>
      <c r="B1231" t="s">
        <v>29</v>
      </c>
      <c r="C1231" t="s">
        <v>4261</v>
      </c>
      <c r="D1231" t="s">
        <v>4262</v>
      </c>
      <c r="E1231" t="s">
        <v>4263</v>
      </c>
      <c r="F1231" t="s">
        <v>33</v>
      </c>
      <c r="G1231">
        <v>0</v>
      </c>
      <c r="H1231">
        <f>((0/1000) * G1231)</f>
        <v>0</v>
      </c>
      <c r="I1231">
        <v>0</v>
      </c>
      <c r="J1231">
        <v>0</v>
      </c>
      <c r="K1231" s="4899">
        <v>73982.98</v>
      </c>
      <c r="L1231" s="4900">
        <f>(K1231 * G1231)</f>
        <v>0</v>
      </c>
      <c r="M1231" s="4901">
        <v>103576.17</v>
      </c>
      <c r="N1231" s="4902">
        <f>(G1231 * M1231)</f>
        <v>0</v>
      </c>
      <c r="O1231">
        <v>0</v>
      </c>
      <c r="P1231">
        <v>0</v>
      </c>
      <c r="Q1231">
        <f>IF(O1231&gt;G1231,(O1231-G1231),0)</f>
        <v>0</v>
      </c>
      <c r="R1231">
        <v>1</v>
      </c>
      <c r="S1231">
        <f>IF(Q1231&gt;0,Int(P1231/Q1231),0)</f>
        <v>0</v>
      </c>
      <c r="T1231">
        <f>0</f>
        <v>0</v>
      </c>
      <c r="U1231"/>
      <c r="V1231">
        <v>73982.98</v>
      </c>
      <c r="W1231" t="s">
        <v>75</v>
      </c>
      <c r="X1231"/>
    </row>
    <row r="1232" spans="1:27">
      <c r="A1232" t="s">
        <v>28</v>
      </c>
      <c r="B1232" t="s">
        <v>29</v>
      </c>
      <c r="C1232" t="s">
        <v>4264</v>
      </c>
      <c r="D1232" t="s">
        <v>4265</v>
      </c>
      <c r="E1232" t="s">
        <v>4266</v>
      </c>
      <c r="F1232" t="s">
        <v>33</v>
      </c>
      <c r="G1232">
        <v>0</v>
      </c>
      <c r="H1232">
        <f>((0/1000) * G1232)</f>
        <v>0</v>
      </c>
      <c r="I1232">
        <v>0</v>
      </c>
      <c r="J1232">
        <v>0</v>
      </c>
      <c r="K1232" s="4903">
        <v>548745.16</v>
      </c>
      <c r="L1232" s="4904">
        <f>(K1232 * G1232)</f>
        <v>0</v>
      </c>
      <c r="M1232" s="4905">
        <v>768243.22</v>
      </c>
      <c r="N1232" s="4906">
        <f>(G1232 * M1232)</f>
        <v>0</v>
      </c>
      <c r="O1232">
        <v>0</v>
      </c>
      <c r="P1232">
        <v>0</v>
      </c>
      <c r="Q1232">
        <f>IF(O1232&gt;G1232,(O1232-G1232),0)</f>
        <v>0</v>
      </c>
      <c r="R1232">
        <v>1</v>
      </c>
      <c r="S1232">
        <f>IF(Q1232&gt;0,Int(P1232/Q1232),0)</f>
        <v>0</v>
      </c>
      <c r="T1232">
        <f>0</f>
        <v>0</v>
      </c>
      <c r="U1232"/>
      <c r="V1232">
        <v>548745.16</v>
      </c>
      <c r="W1232" t="s">
        <v>182</v>
      </c>
      <c r="X1232"/>
    </row>
    <row r="1233" spans="1:27">
      <c r="A1233" t="s">
        <v>28</v>
      </c>
      <c r="B1233" t="s">
        <v>29</v>
      </c>
      <c r="C1233" t="s">
        <v>4267</v>
      </c>
      <c r="D1233" t="s">
        <v>4268</v>
      </c>
      <c r="E1233" t="s">
        <v>4269</v>
      </c>
      <c r="F1233" t="s">
        <v>41</v>
      </c>
      <c r="G1233">
        <v>0</v>
      </c>
      <c r="H1233">
        <f>((0/1000) * G1233)</f>
        <v>0</v>
      </c>
      <c r="I1233">
        <v>0</v>
      </c>
      <c r="J1233">
        <v>0</v>
      </c>
      <c r="K1233" s="4907">
        <v>405454.55</v>
      </c>
      <c r="L1233" s="4908">
        <f>(K1233 * G1233)</f>
        <v>0</v>
      </c>
      <c r="M1233" s="4909">
        <v>567636.36</v>
      </c>
      <c r="N1233" s="4910">
        <f>(G1233 * M1233)</f>
        <v>0</v>
      </c>
      <c r="O1233">
        <v>0</v>
      </c>
      <c r="P1233">
        <v>0</v>
      </c>
      <c r="Q1233">
        <f>IF(O1233&gt;G1233,(O1233-G1233),0)</f>
        <v>0</v>
      </c>
      <c r="R1233">
        <v>1</v>
      </c>
      <c r="S1233">
        <f>IF(Q1233&gt;0,Int(P1233/Q1233),0)</f>
        <v>0</v>
      </c>
      <c r="T1233">
        <f>405454.55</f>
        <v>405454.55</v>
      </c>
      <c r="U1233" t="s">
        <v>4270</v>
      </c>
      <c r="V1233">
        <v>405454.55</v>
      </c>
      <c r="W1233" t="s">
        <v>75</v>
      </c>
      <c r="X1233"/>
    </row>
    <row r="1234" spans="1:27">
      <c r="A1234" t="s">
        <v>28</v>
      </c>
      <c r="B1234" t="s">
        <v>29</v>
      </c>
      <c r="C1234" t="s">
        <v>4271</v>
      </c>
      <c r="D1234" t="s">
        <v>4272</v>
      </c>
      <c r="E1234" t="s">
        <v>4273</v>
      </c>
      <c r="F1234" t="s">
        <v>33</v>
      </c>
      <c r="G1234">
        <v>0</v>
      </c>
      <c r="H1234">
        <f>((0/1000) * G1234)</f>
        <v>0</v>
      </c>
      <c r="I1234">
        <v>0</v>
      </c>
      <c r="J1234">
        <v>0</v>
      </c>
      <c r="K1234" s="4911">
        <v>83163.68</v>
      </c>
      <c r="L1234" s="4912">
        <f>(K1234 * G1234)</f>
        <v>0</v>
      </c>
      <c r="M1234" s="4913">
        <v>116429.15</v>
      </c>
      <c r="N1234" s="4914">
        <f>(G1234 * M1234)</f>
        <v>0</v>
      </c>
      <c r="O1234">
        <v>0</v>
      </c>
      <c r="P1234">
        <v>0</v>
      </c>
      <c r="Q1234">
        <f>IF(O1234&gt;G1234,(O1234-G1234),0)</f>
        <v>0</v>
      </c>
      <c r="R1234">
        <v>1</v>
      </c>
      <c r="S1234">
        <f>IF(Q1234&gt;0,Int(P1234/Q1234),0)</f>
        <v>0</v>
      </c>
      <c r="T1234">
        <f>0</f>
        <v>0</v>
      </c>
      <c r="U1234"/>
      <c r="V1234">
        <v>83163.68</v>
      </c>
      <c r="W1234" t="s">
        <v>75</v>
      </c>
      <c r="X1234"/>
    </row>
    <row r="1235" spans="1:27">
      <c r="A1235" t="s">
        <v>28</v>
      </c>
      <c r="B1235" t="s">
        <v>29</v>
      </c>
      <c r="C1235" t="s">
        <v>4274</v>
      </c>
      <c r="D1235" t="s">
        <v>4275</v>
      </c>
      <c r="E1235" t="s">
        <v>4276</v>
      </c>
      <c r="F1235" t="s">
        <v>41</v>
      </c>
      <c r="G1235">
        <v>0</v>
      </c>
      <c r="H1235">
        <f>((0/1000) * G1235)</f>
        <v>0</v>
      </c>
      <c r="I1235">
        <v>0</v>
      </c>
      <c r="J1235">
        <v>0</v>
      </c>
      <c r="K1235" s="4915">
        <v>585815.05</v>
      </c>
      <c r="L1235" s="4916">
        <f>(K1235 * G1235)</f>
        <v>0</v>
      </c>
      <c r="M1235" s="4917">
        <v>820141.07</v>
      </c>
      <c r="N1235" s="4918">
        <f>(G1235 * M1235)</f>
        <v>0</v>
      </c>
      <c r="O1235">
        <v>0</v>
      </c>
      <c r="P1235">
        <v>0</v>
      </c>
      <c r="Q1235">
        <f>IF(O1235&gt;G1235,(O1235-G1235),0)</f>
        <v>0</v>
      </c>
      <c r="R1235">
        <v>0</v>
      </c>
      <c r="S1235">
        <f>IF(Q1235&gt;0,Int(P1235/Q1235),0)</f>
        <v>0</v>
      </c>
      <c r="T1235">
        <f>473995.32</f>
        <v>473995.32</v>
      </c>
      <c r="U1235" t="s">
        <v>4277</v>
      </c>
      <c r="V1235">
        <v>585815.05</v>
      </c>
      <c r="W1235" t="s">
        <v>182</v>
      </c>
      <c r="X1235"/>
    </row>
    <row r="1236" spans="1:27">
      <c r="A1236" t="s">
        <v>35</v>
      </c>
      <c r="B1236" t="s">
        <v>29</v>
      </c>
      <c r="C1236" t="s">
        <v>4278</v>
      </c>
      <c r="D1236" t="s">
        <v>4279</v>
      </c>
      <c r="E1236" t="s">
        <v>4280</v>
      </c>
      <c r="F1236" t="s">
        <v>33</v>
      </c>
      <c r="G1236">
        <v>0</v>
      </c>
      <c r="H1236">
        <f>((0/1000) * G1236)</f>
        <v>0</v>
      </c>
      <c r="I1236">
        <v>0</v>
      </c>
      <c r="J1236">
        <v>0</v>
      </c>
      <c r="K1236" s="4919">
        <v>88434.12</v>
      </c>
      <c r="L1236" s="4920">
        <f>(K1236 * G1236)</f>
        <v>0</v>
      </c>
      <c r="M1236" s="4921">
        <v>123807.77</v>
      </c>
      <c r="N1236" s="4922">
        <f>(G1236 * M1236)</f>
        <v>0</v>
      </c>
      <c r="O1236">
        <v>0</v>
      </c>
      <c r="P1236">
        <v>0</v>
      </c>
      <c r="Q1236">
        <f>IF(O1236&gt;G1236,(O1236-G1236),0)</f>
        <v>0</v>
      </c>
      <c r="R1236">
        <v>1</v>
      </c>
      <c r="S1236">
        <f>IF(Q1236&gt;0,Int(P1236/Q1236),0)</f>
        <v>0</v>
      </c>
      <c r="T1236">
        <f>0</f>
        <v>0</v>
      </c>
      <c r="U1236"/>
      <c r="V1236">
        <v>88434.12</v>
      </c>
      <c r="W1236" t="s">
        <v>75</v>
      </c>
      <c r="X1236"/>
    </row>
    <row r="1237" spans="1:27">
      <c r="A1237" t="s">
        <v>35</v>
      </c>
      <c r="B1237" t="s">
        <v>29</v>
      </c>
      <c r="C1237" t="s">
        <v>4281</v>
      </c>
      <c r="D1237" t="s">
        <v>4282</v>
      </c>
      <c r="E1237" t="s">
        <v>4283</v>
      </c>
      <c r="F1237" t="s">
        <v>33</v>
      </c>
      <c r="G1237">
        <v>0</v>
      </c>
      <c r="H1237">
        <f>((0/1000) * G1237)</f>
        <v>0</v>
      </c>
      <c r="I1237">
        <v>0</v>
      </c>
      <c r="J1237">
        <v>0</v>
      </c>
      <c r="K1237" s="4923">
        <v>88434.12</v>
      </c>
      <c r="L1237" s="4924">
        <f>(K1237 * G1237)</f>
        <v>0</v>
      </c>
      <c r="M1237" s="4925">
        <v>123807.77</v>
      </c>
      <c r="N1237" s="4926">
        <f>(G1237 * M1237)</f>
        <v>0</v>
      </c>
      <c r="O1237">
        <v>0</v>
      </c>
      <c r="P1237">
        <v>0</v>
      </c>
      <c r="Q1237">
        <f>IF(O1237&gt;G1237,(O1237-G1237),0)</f>
        <v>0</v>
      </c>
      <c r="R1237">
        <v>1</v>
      </c>
      <c r="S1237">
        <f>IF(Q1237&gt;0,Int(P1237/Q1237),0)</f>
        <v>0</v>
      </c>
      <c r="T1237">
        <f>0</f>
        <v>0</v>
      </c>
      <c r="U1237"/>
      <c r="V1237">
        <v>88434.12</v>
      </c>
      <c r="W1237" t="s">
        <v>75</v>
      </c>
      <c r="X1237"/>
    </row>
    <row r="1238" spans="1:27">
      <c r="A1238" t="s">
        <v>28</v>
      </c>
      <c r="B1238" t="s">
        <v>29</v>
      </c>
      <c r="C1238" t="s">
        <v>4284</v>
      </c>
      <c r="D1238" t="s">
        <v>4285</v>
      </c>
      <c r="E1238" t="s">
        <v>4286</v>
      </c>
      <c r="F1238" t="s">
        <v>41</v>
      </c>
      <c r="G1238">
        <v>0</v>
      </c>
      <c r="H1238">
        <f>((0/1000) * G1238)</f>
        <v>0</v>
      </c>
      <c r="I1238">
        <v>0</v>
      </c>
      <c r="J1238">
        <v>0</v>
      </c>
      <c r="K1238" s="4927">
        <v>691363.64</v>
      </c>
      <c r="L1238" s="4928">
        <f>(K1238 * G1238)</f>
        <v>0</v>
      </c>
      <c r="M1238" s="4929">
        <v>967909.1</v>
      </c>
      <c r="N1238" s="4930">
        <f>(G1238 * M1238)</f>
        <v>0</v>
      </c>
      <c r="O1238">
        <v>0</v>
      </c>
      <c r="P1238">
        <v>0</v>
      </c>
      <c r="Q1238">
        <f>IF(O1238&gt;G1238,(O1238-G1238),0)</f>
        <v>0</v>
      </c>
      <c r="R1238">
        <v>0</v>
      </c>
      <c r="S1238">
        <f>IF(Q1238&gt;0,Int(P1238/Q1238),0)</f>
        <v>0</v>
      </c>
      <c r="T1238">
        <f>0</f>
        <v>0</v>
      </c>
      <c r="U1238"/>
      <c r="V1238">
        <v>691363.64</v>
      </c>
      <c r="W1238" t="s">
        <v>75</v>
      </c>
      <c r="X1238"/>
    </row>
    <row r="1239" spans="1:27">
      <c r="A1239" t="s">
        <v>28</v>
      </c>
      <c r="B1239" t="s">
        <v>29</v>
      </c>
      <c r="C1239" t="s">
        <v>4287</v>
      </c>
      <c r="D1239" t="s">
        <v>4288</v>
      </c>
      <c r="E1239" t="s">
        <v>4289</v>
      </c>
      <c r="F1239" t="s">
        <v>33</v>
      </c>
      <c r="G1239">
        <v>0</v>
      </c>
      <c r="H1239">
        <f>((0/1000) * G1239)</f>
        <v>0</v>
      </c>
      <c r="I1239">
        <v>0</v>
      </c>
      <c r="J1239">
        <v>0</v>
      </c>
      <c r="K1239" s="4931">
        <v>96130.9</v>
      </c>
      <c r="L1239" s="4932">
        <f>(K1239 * G1239)</f>
        <v>0</v>
      </c>
      <c r="M1239" s="4933">
        <v>134583.26</v>
      </c>
      <c r="N1239" s="4934">
        <f>(G1239 * M1239)</f>
        <v>0</v>
      </c>
      <c r="O1239">
        <v>0</v>
      </c>
      <c r="P1239">
        <v>0</v>
      </c>
      <c r="Q1239">
        <f>IF(O1239&gt;G1239,(O1239-G1239),0)</f>
        <v>0</v>
      </c>
      <c r="R1239">
        <v>1</v>
      </c>
      <c r="S1239">
        <f>IF(Q1239&gt;0,Int(P1239/Q1239),0)</f>
        <v>0</v>
      </c>
      <c r="T1239">
        <f>0</f>
        <v>0</v>
      </c>
      <c r="U1239"/>
      <c r="V1239">
        <v>96130.9</v>
      </c>
      <c r="W1239" t="s">
        <v>75</v>
      </c>
      <c r="X1239"/>
    </row>
    <row r="1240" spans="1:27">
      <c r="A1240" t="s">
        <v>28</v>
      </c>
      <c r="B1240" t="s">
        <v>29</v>
      </c>
      <c r="C1240" t="s">
        <v>4290</v>
      </c>
      <c r="D1240" t="s">
        <v>4291</v>
      </c>
      <c r="E1240" t="s">
        <v>4292</v>
      </c>
      <c r="F1240" t="s">
        <v>33</v>
      </c>
      <c r="G1240">
        <v>0</v>
      </c>
      <c r="H1240">
        <f>((0/1000) * G1240)</f>
        <v>0</v>
      </c>
      <c r="I1240">
        <v>0</v>
      </c>
      <c r="J1240">
        <v>0</v>
      </c>
      <c r="K1240" s="4935">
        <v>618697.05</v>
      </c>
      <c r="L1240" s="4936">
        <f>(K1240 * G1240)</f>
        <v>0</v>
      </c>
      <c r="M1240" s="4937">
        <v>866175.87</v>
      </c>
      <c r="N1240" s="4938">
        <f>(G1240 * M1240)</f>
        <v>0</v>
      </c>
      <c r="O1240">
        <v>0</v>
      </c>
      <c r="P1240">
        <v>0</v>
      </c>
      <c r="Q1240">
        <f>IF(O1240&gt;G1240,(O1240-G1240),0)</f>
        <v>0</v>
      </c>
      <c r="R1240">
        <v>1</v>
      </c>
      <c r="S1240">
        <f>IF(Q1240&gt;0,Int(P1240/Q1240),0)</f>
        <v>0</v>
      </c>
      <c r="T1240">
        <f>196919.69</f>
        <v>196919.69</v>
      </c>
      <c r="U1240" t="s">
        <v>4293</v>
      </c>
      <c r="V1240">
        <v>618697.05</v>
      </c>
      <c r="W1240" t="s">
        <v>182</v>
      </c>
      <c r="X1240"/>
    </row>
    <row r="1241" spans="1:27">
      <c r="A1241" t="s">
        <v>28</v>
      </c>
      <c r="B1241" t="s">
        <v>29</v>
      </c>
      <c r="C1241" t="s">
        <v>4294</v>
      </c>
      <c r="D1241" t="s">
        <v>4295</v>
      </c>
      <c r="E1241" t="s">
        <v>4296</v>
      </c>
      <c r="F1241" t="s">
        <v>41</v>
      </c>
      <c r="G1241">
        <v>0</v>
      </c>
      <c r="H1241">
        <f>((0/1000) * G1241)</f>
        <v>0</v>
      </c>
      <c r="I1241">
        <v>0</v>
      </c>
      <c r="J1241">
        <v>0</v>
      </c>
      <c r="K1241" s="4939">
        <v>523924.62</v>
      </c>
      <c r="L1241" s="4940">
        <f>(K1241 * G1241)</f>
        <v>0</v>
      </c>
      <c r="M1241" s="4941">
        <v>733494.46</v>
      </c>
      <c r="N1241" s="4942">
        <f>(G1241 * M1241)</f>
        <v>0</v>
      </c>
      <c r="O1241">
        <v>0</v>
      </c>
      <c r="P1241">
        <v>0</v>
      </c>
      <c r="Q1241">
        <f>IF(O1241&gt;G1241,(O1241-G1241),0)</f>
        <v>0</v>
      </c>
      <c r="R1241">
        <v>0</v>
      </c>
      <c r="S1241">
        <f>IF(Q1241&gt;0,Int(P1241/Q1241),0)</f>
        <v>0</v>
      </c>
      <c r="T1241">
        <f>478865.58</f>
        <v>478865.58</v>
      </c>
      <c r="U1241" t="s">
        <v>4297</v>
      </c>
      <c r="V1241">
        <v>523924.62</v>
      </c>
      <c r="W1241" t="s">
        <v>182</v>
      </c>
      <c r="X1241"/>
    </row>
    <row r="1242" spans="1:27">
      <c r="A1242" t="s">
        <v>28</v>
      </c>
      <c r="B1242" t="s">
        <v>29</v>
      </c>
      <c r="C1242" t="s">
        <v>4298</v>
      </c>
      <c r="D1242" t="s">
        <v>4299</v>
      </c>
      <c r="E1242" t="s">
        <v>4300</v>
      </c>
      <c r="F1242" t="s">
        <v>33</v>
      </c>
      <c r="G1242">
        <v>0</v>
      </c>
      <c r="H1242">
        <f>((0/1000) * G1242)</f>
        <v>0</v>
      </c>
      <c r="I1242">
        <v>0</v>
      </c>
      <c r="J1242">
        <v>0</v>
      </c>
      <c r="K1242" s="4943">
        <v>104306.67</v>
      </c>
      <c r="L1242" s="4944">
        <f>(K1242 * G1242)</f>
        <v>0</v>
      </c>
      <c r="M1242" s="4945">
        <v>146029.34</v>
      </c>
      <c r="N1242" s="4946">
        <f>(G1242 * M1242)</f>
        <v>0</v>
      </c>
      <c r="O1242">
        <v>0</v>
      </c>
      <c r="P1242">
        <v>0</v>
      </c>
      <c r="Q1242">
        <f>IF(O1242&gt;G1242,(O1242-G1242),0)</f>
        <v>0</v>
      </c>
      <c r="R1242">
        <v>1</v>
      </c>
      <c r="S1242">
        <f>IF(Q1242&gt;0,Int(P1242/Q1242),0)</f>
        <v>0</v>
      </c>
      <c r="T1242">
        <f>0</f>
        <v>0</v>
      </c>
      <c r="U1242"/>
      <c r="V1242">
        <v>104306.67</v>
      </c>
      <c r="W1242" t="s">
        <v>75</v>
      </c>
      <c r="X1242"/>
    </row>
    <row r="1243" spans="1:27">
      <c r="A1243" t="s">
        <v>28</v>
      </c>
      <c r="B1243" t="s">
        <v>29</v>
      </c>
      <c r="C1243" t="s">
        <v>4301</v>
      </c>
      <c r="D1243" t="s">
        <v>4302</v>
      </c>
      <c r="E1243" t="s">
        <v>4303</v>
      </c>
      <c r="F1243" t="s">
        <v>33</v>
      </c>
      <c r="G1243">
        <v>0</v>
      </c>
      <c r="H1243">
        <f>((0/1000) * G1243)</f>
        <v>0</v>
      </c>
      <c r="I1243">
        <v>0</v>
      </c>
      <c r="J1243">
        <v>0</v>
      </c>
      <c r="K1243" s="4947">
        <v>257714.29</v>
      </c>
      <c r="L1243" s="4948">
        <f>(K1243 * G1243)</f>
        <v>0</v>
      </c>
      <c r="M1243" s="4949">
        <v>360800</v>
      </c>
      <c r="N1243" s="4950">
        <f>(G1243 * M1243)</f>
        <v>0</v>
      </c>
      <c r="O1243">
        <v>0</v>
      </c>
      <c r="P1243">
        <v>0</v>
      </c>
      <c r="Q1243">
        <f>IF(O1243&gt;G1243,(O1243-G1243),0)</f>
        <v>0</v>
      </c>
      <c r="R1243">
        <v>1</v>
      </c>
      <c r="S1243">
        <f>IF(Q1243&gt;0,Int(P1243/Q1243),0)</f>
        <v>0</v>
      </c>
      <c r="T1243">
        <f>286100.67</f>
        <v>286100.67</v>
      </c>
      <c r="U1243" t="s">
        <v>4304</v>
      </c>
      <c r="V1243">
        <v>257714.29</v>
      </c>
      <c r="W1243" t="s">
        <v>75</v>
      </c>
      <c r="X1243"/>
    </row>
    <row r="1244" spans="1:27">
      <c r="A1244" t="s">
        <v>28</v>
      </c>
      <c r="B1244" t="s">
        <v>29</v>
      </c>
      <c r="C1244" t="s">
        <v>4305</v>
      </c>
      <c r="D1244" t="s">
        <v>4306</v>
      </c>
      <c r="E1244" t="s">
        <v>4307</v>
      </c>
      <c r="F1244" t="s">
        <v>41</v>
      </c>
      <c r="G1244">
        <v>0</v>
      </c>
      <c r="H1244">
        <f>((0/1000) * G1244)</f>
        <v>0</v>
      </c>
      <c r="I1244">
        <v>0</v>
      </c>
      <c r="J1244">
        <v>0</v>
      </c>
      <c r="K1244" s="4951">
        <v>703847.45</v>
      </c>
      <c r="L1244" s="4952">
        <f>(K1244 * G1244)</f>
        <v>0</v>
      </c>
      <c r="M1244" s="4953">
        <v>985386.43</v>
      </c>
      <c r="N1244" s="4954">
        <f>(G1244 * M1244)</f>
        <v>0</v>
      </c>
      <c r="O1244">
        <v>0</v>
      </c>
      <c r="P1244">
        <v>0</v>
      </c>
      <c r="Q1244">
        <f>IF(O1244&gt;G1244,(O1244-G1244),0)</f>
        <v>0</v>
      </c>
      <c r="R1244">
        <v>0</v>
      </c>
      <c r="S1244">
        <f>IF(Q1244&gt;0,Int(P1244/Q1244),0)</f>
        <v>0</v>
      </c>
      <c r="T1244">
        <f>0</f>
        <v>0</v>
      </c>
      <c r="U1244"/>
      <c r="V1244">
        <v>703847.45</v>
      </c>
      <c r="W1244" t="s">
        <v>75</v>
      </c>
      <c r="X1244"/>
    </row>
    <row r="1245" spans="1:27">
      <c r="A1245" t="s">
        <v>28</v>
      </c>
      <c r="B1245" t="s">
        <v>29</v>
      </c>
      <c r="C1245" t="s">
        <v>4308</v>
      </c>
      <c r="D1245" t="s">
        <v>4309</v>
      </c>
      <c r="E1245" t="s">
        <v>4310</v>
      </c>
      <c r="F1245" t="s">
        <v>41</v>
      </c>
      <c r="G1245">
        <v>0</v>
      </c>
      <c r="H1245">
        <f>((0/1000) * G1245)</f>
        <v>0</v>
      </c>
      <c r="I1245">
        <v>0</v>
      </c>
      <c r="J1245">
        <v>0</v>
      </c>
      <c r="K1245" s="4955">
        <v>235374</v>
      </c>
      <c r="L1245" s="4956">
        <f>(K1245 * G1245)</f>
        <v>0</v>
      </c>
      <c r="M1245" s="4957">
        <v>353061</v>
      </c>
      <c r="N1245" s="4958">
        <f>(G1245 * M1245)</f>
        <v>0</v>
      </c>
      <c r="O1245">
        <v>0</v>
      </c>
      <c r="P1245">
        <v>0</v>
      </c>
      <c r="Q1245">
        <f>IF(O1245&gt;G1245,(O1245-G1245),0)</f>
        <v>0</v>
      </c>
      <c r="R1245">
        <v>0</v>
      </c>
      <c r="S1245">
        <f>IF(Q1245&gt;0,Int(P1245/Q1245),0)</f>
        <v>0</v>
      </c>
      <c r="T1245">
        <f>235374</f>
        <v>235374</v>
      </c>
      <c r="U1245" t="s">
        <v>4311</v>
      </c>
      <c r="V1245">
        <v>235374</v>
      </c>
      <c r="W1245" t="s">
        <v>1498</v>
      </c>
      <c r="X1245"/>
    </row>
    <row r="1246" spans="1:27">
      <c r="A1246" t="s">
        <v>28</v>
      </c>
      <c r="B1246" t="s">
        <v>29</v>
      </c>
      <c r="C1246" t="s">
        <v>4312</v>
      </c>
      <c r="D1246" t="s">
        <v>4313</v>
      </c>
      <c r="E1246" t="s">
        <v>4314</v>
      </c>
      <c r="F1246" t="s">
        <v>33</v>
      </c>
      <c r="G1246">
        <v>0</v>
      </c>
      <c r="H1246">
        <f>((0/1000) * G1246)</f>
        <v>0</v>
      </c>
      <c r="I1246">
        <v>0</v>
      </c>
      <c r="J1246">
        <v>0</v>
      </c>
      <c r="K1246" s="4959">
        <v>107207.79</v>
      </c>
      <c r="L1246" s="4960">
        <f>(K1246 * G1246)</f>
        <v>0</v>
      </c>
      <c r="M1246" s="4961">
        <v>150090.91</v>
      </c>
      <c r="N1246" s="4962">
        <f>(G1246 * M1246)</f>
        <v>0</v>
      </c>
      <c r="O1246">
        <v>0</v>
      </c>
      <c r="P1246">
        <v>0</v>
      </c>
      <c r="Q1246">
        <f>IF(O1246&gt;G1246,(O1246-G1246),0)</f>
        <v>0</v>
      </c>
      <c r="R1246">
        <v>0</v>
      </c>
      <c r="S1246">
        <f>IF(Q1246&gt;0,Int(P1246/Q1246),0)</f>
        <v>0</v>
      </c>
      <c r="T1246">
        <f>0</f>
        <v>0</v>
      </c>
      <c r="U1246"/>
      <c r="V1246">
        <v>107207.79</v>
      </c>
      <c r="W1246" t="s">
        <v>75</v>
      </c>
      <c r="X1246"/>
    </row>
    <row r="1247" spans="1:27">
      <c r="A1247" t="s">
        <v>28</v>
      </c>
      <c r="B1247" t="s">
        <v>29</v>
      </c>
      <c r="C1247" t="s">
        <v>4315</v>
      </c>
      <c r="D1247" t="s">
        <v>4316</v>
      </c>
      <c r="E1247" t="s">
        <v>4317</v>
      </c>
      <c r="F1247" t="s">
        <v>33</v>
      </c>
      <c r="G1247">
        <v>1</v>
      </c>
      <c r="H1247">
        <f>((0/1000) * G1247)</f>
        <v>0</v>
      </c>
      <c r="I1247">
        <v>0</v>
      </c>
      <c r="J1247">
        <v>1</v>
      </c>
      <c r="K1247" s="4963">
        <v>307702.59</v>
      </c>
      <c r="L1247" s="4964">
        <f>(K1247 * G1247)</f>
        <v>307702.59</v>
      </c>
      <c r="M1247" s="4965">
        <v>430783.63</v>
      </c>
      <c r="N1247" s="4966">
        <f>(G1247 * M1247)</f>
        <v>430783.63</v>
      </c>
      <c r="O1247">
        <v>0</v>
      </c>
      <c r="P1247">
        <v>0</v>
      </c>
      <c r="Q1247">
        <f>IF(O1247&gt;G1247,(O1247-G1247),0)</f>
        <v>0</v>
      </c>
      <c r="R1247">
        <v>1</v>
      </c>
      <c r="S1247">
        <f>IF(Q1247&gt;0,Int(P1247/Q1247),0)</f>
        <v>0</v>
      </c>
      <c r="T1247">
        <f>0</f>
        <v>0</v>
      </c>
      <c r="U1247"/>
      <c r="V1247">
        <v>307702.59</v>
      </c>
      <c r="W1247" t="s">
        <v>182</v>
      </c>
      <c r="X1247"/>
    </row>
    <row r="1248" spans="1:27">
      <c r="A1248" t="s">
        <v>28</v>
      </c>
      <c r="B1248" t="s">
        <v>29</v>
      </c>
      <c r="C1248" t="s">
        <v>4318</v>
      </c>
      <c r="D1248" t="s">
        <v>4319</v>
      </c>
      <c r="E1248" t="s">
        <v>4320</v>
      </c>
      <c r="F1248" t="s">
        <v>33</v>
      </c>
      <c r="G1248">
        <v>0</v>
      </c>
      <c r="H1248">
        <f>((0/1000) * G1248)</f>
        <v>0</v>
      </c>
      <c r="I1248">
        <v>0</v>
      </c>
      <c r="J1248">
        <v>0</v>
      </c>
      <c r="K1248" s="4967">
        <v>142978.04</v>
      </c>
      <c r="L1248" s="4968">
        <f>(K1248 * G1248)</f>
        <v>0</v>
      </c>
      <c r="M1248" s="4969">
        <v>200169.26</v>
      </c>
      <c r="N1248" s="4970">
        <f>(G1248 * M1248)</f>
        <v>0</v>
      </c>
      <c r="O1248">
        <v>0</v>
      </c>
      <c r="P1248">
        <v>0</v>
      </c>
      <c r="Q1248">
        <f>IF(O1248&gt;G1248,(O1248-G1248),0)</f>
        <v>0</v>
      </c>
      <c r="R1248">
        <v>1</v>
      </c>
      <c r="S1248">
        <f>IF(Q1248&gt;0,Int(P1248/Q1248),0)</f>
        <v>0</v>
      </c>
      <c r="T1248">
        <f>0</f>
        <v>0</v>
      </c>
      <c r="U1248"/>
      <c r="V1248">
        <v>142978.04</v>
      </c>
      <c r="W1248" t="s">
        <v>75</v>
      </c>
      <c r="X1248"/>
    </row>
    <row r="1249" spans="1:27">
      <c r="A1249" t="s">
        <v>28</v>
      </c>
      <c r="B1249" t="s">
        <v>29</v>
      </c>
      <c r="C1249" t="s">
        <v>4321</v>
      </c>
      <c r="D1249" t="s">
        <v>4322</v>
      </c>
      <c r="E1249" t="s">
        <v>4323</v>
      </c>
      <c r="F1249" t="s">
        <v>41</v>
      </c>
      <c r="G1249">
        <v>1</v>
      </c>
      <c r="H1249">
        <f>((0/1000) * G1249)</f>
        <v>0</v>
      </c>
      <c r="I1249">
        <v>0</v>
      </c>
      <c r="J1249">
        <v>1</v>
      </c>
      <c r="K1249" s="4971">
        <v>76818.18</v>
      </c>
      <c r="L1249" s="4972">
        <f>(K1249 * G1249)</f>
        <v>76818.18</v>
      </c>
      <c r="M1249" s="4973">
        <v>107545.45</v>
      </c>
      <c r="N1249" s="4974">
        <f>(G1249 * M1249)</f>
        <v>107545.45</v>
      </c>
      <c r="O1249">
        <v>0</v>
      </c>
      <c r="P1249">
        <v>0</v>
      </c>
      <c r="Q1249">
        <f>IF(O1249&gt;G1249,(O1249-G1249),0)</f>
        <v>0</v>
      </c>
      <c r="R1249">
        <v>0</v>
      </c>
      <c r="S1249">
        <f>IF(Q1249&gt;0,Int(P1249/Q1249),0)</f>
        <v>0</v>
      </c>
      <c r="T1249">
        <f>0</f>
        <v>0</v>
      </c>
      <c r="U1249"/>
      <c r="V1249">
        <v>76818.18</v>
      </c>
      <c r="W1249" t="s">
        <v>75</v>
      </c>
      <c r="X1249"/>
    </row>
    <row r="1250" spans="1:27">
      <c r="A1250" t="s">
        <v>28</v>
      </c>
      <c r="B1250" t="s">
        <v>29</v>
      </c>
      <c r="C1250" t="s">
        <v>4324</v>
      </c>
      <c r="D1250" t="s">
        <v>4325</v>
      </c>
      <c r="E1250" t="s">
        <v>4326</v>
      </c>
      <c r="F1250" t="s">
        <v>41</v>
      </c>
      <c r="G1250">
        <v>0</v>
      </c>
      <c r="H1250">
        <f>((0/1000) * G1250)</f>
        <v>0</v>
      </c>
      <c r="I1250">
        <v>0</v>
      </c>
      <c r="J1250">
        <v>0</v>
      </c>
      <c r="K1250" s="4975">
        <v>153727.28</v>
      </c>
      <c r="L1250" s="4976">
        <f>(K1250 * G1250)</f>
        <v>0</v>
      </c>
      <c r="M1250" s="4977">
        <v>215218.19</v>
      </c>
      <c r="N1250" s="4978">
        <f>(G1250 * M1250)</f>
        <v>0</v>
      </c>
      <c r="O1250">
        <v>0</v>
      </c>
      <c r="P1250">
        <v>0</v>
      </c>
      <c r="Q1250">
        <f>IF(O1250&gt;G1250,(O1250-G1250),0)</f>
        <v>0</v>
      </c>
      <c r="R1250">
        <v>1</v>
      </c>
      <c r="S1250">
        <f>IF(Q1250&gt;0,Int(P1250/Q1250),0)</f>
        <v>0</v>
      </c>
      <c r="T1250">
        <f>122981.82</f>
        <v>122981.82</v>
      </c>
      <c r="U1250" t="s">
        <v>4327</v>
      </c>
      <c r="V1250">
        <v>153727.28</v>
      </c>
      <c r="W1250" t="s">
        <v>75</v>
      </c>
      <c r="X1250"/>
    </row>
    <row r="1251" spans="1:27">
      <c r="A1251" t="s">
        <v>28</v>
      </c>
      <c r="B1251" t="s">
        <v>29</v>
      </c>
      <c r="C1251" t="s">
        <v>4328</v>
      </c>
      <c r="D1251" t="s">
        <v>4329</v>
      </c>
      <c r="E1251" t="s">
        <v>4330</v>
      </c>
      <c r="F1251" t="s">
        <v>33</v>
      </c>
      <c r="G1251">
        <v>0</v>
      </c>
      <c r="H1251">
        <f>((0/1000) * G1251)</f>
        <v>0</v>
      </c>
      <c r="I1251">
        <v>0</v>
      </c>
      <c r="J1251">
        <v>0</v>
      </c>
      <c r="K1251" s="4979">
        <v>81683.63</v>
      </c>
      <c r="L1251" s="4980">
        <f>(K1251 * G1251)</f>
        <v>0</v>
      </c>
      <c r="M1251" s="4981">
        <v>114357.08</v>
      </c>
      <c r="N1251" s="4982">
        <f>(G1251 * M1251)</f>
        <v>0</v>
      </c>
      <c r="O1251">
        <v>0</v>
      </c>
      <c r="P1251">
        <v>0</v>
      </c>
      <c r="Q1251">
        <f>IF(O1251&gt;G1251,(O1251-G1251),0)</f>
        <v>0</v>
      </c>
      <c r="R1251">
        <v>1</v>
      </c>
      <c r="S1251">
        <f>IF(Q1251&gt;0,Int(P1251/Q1251),0)</f>
        <v>0</v>
      </c>
      <c r="T1251">
        <f>0</f>
        <v>0</v>
      </c>
      <c r="U1251"/>
      <c r="V1251">
        <v>81683.63</v>
      </c>
      <c r="W1251" t="s">
        <v>75</v>
      </c>
      <c r="X1251"/>
    </row>
    <row r="1252" spans="1:27">
      <c r="A1252" t="s">
        <v>28</v>
      </c>
      <c r="B1252" t="s">
        <v>29</v>
      </c>
      <c r="C1252" t="s">
        <v>4331</v>
      </c>
      <c r="D1252" t="s">
        <v>4332</v>
      </c>
      <c r="E1252" t="s">
        <v>4333</v>
      </c>
      <c r="F1252" t="s">
        <v>33</v>
      </c>
      <c r="G1252">
        <v>0</v>
      </c>
      <c r="H1252">
        <f>((0/1000) * G1252)</f>
        <v>0</v>
      </c>
      <c r="I1252">
        <v>0</v>
      </c>
      <c r="J1252">
        <v>0</v>
      </c>
      <c r="K1252" s="4983">
        <v>77515.38</v>
      </c>
      <c r="L1252" s="4984">
        <f>(K1252 * G1252)</f>
        <v>0</v>
      </c>
      <c r="M1252" s="4985">
        <v>108521.53</v>
      </c>
      <c r="N1252" s="4986">
        <f>(G1252 * M1252)</f>
        <v>0</v>
      </c>
      <c r="O1252">
        <v>0</v>
      </c>
      <c r="P1252">
        <v>0</v>
      </c>
      <c r="Q1252">
        <f>IF(O1252&gt;G1252,(O1252-G1252),0)</f>
        <v>0</v>
      </c>
      <c r="R1252">
        <v>1</v>
      </c>
      <c r="S1252">
        <f>IF(Q1252&gt;0,Int(P1252/Q1252),0)</f>
        <v>0</v>
      </c>
      <c r="T1252">
        <f>0</f>
        <v>0</v>
      </c>
      <c r="U1252"/>
      <c r="V1252">
        <v>77515.38</v>
      </c>
      <c r="W1252" t="s">
        <v>75</v>
      </c>
      <c r="X1252"/>
    </row>
    <row r="1253" spans="1:27">
      <c r="A1253" t="s">
        <v>35</v>
      </c>
      <c r="B1253" t="s">
        <v>29</v>
      </c>
      <c r="C1253" t="s">
        <v>4334</v>
      </c>
      <c r="D1253" t="s">
        <v>4335</v>
      </c>
      <c r="E1253" t="s">
        <v>4336</v>
      </c>
      <c r="F1253" t="s">
        <v>33</v>
      </c>
      <c r="G1253">
        <v>0</v>
      </c>
      <c r="H1253">
        <f>((0/1000) * G1253)</f>
        <v>0</v>
      </c>
      <c r="I1253">
        <v>0</v>
      </c>
      <c r="J1253">
        <v>0</v>
      </c>
      <c r="K1253" s="4987">
        <v>76670.53</v>
      </c>
      <c r="L1253" s="4988">
        <f>(K1253 * G1253)</f>
        <v>0</v>
      </c>
      <c r="M1253" s="4989">
        <v>107338.74</v>
      </c>
      <c r="N1253" s="4990">
        <f>(G1253 * M1253)</f>
        <v>0</v>
      </c>
      <c r="O1253">
        <v>0</v>
      </c>
      <c r="P1253">
        <v>0</v>
      </c>
      <c r="Q1253">
        <f>IF(O1253&gt;G1253,(O1253-G1253),0)</f>
        <v>0</v>
      </c>
      <c r="R1253">
        <v>1</v>
      </c>
      <c r="S1253">
        <f>IF(Q1253&gt;0,Int(P1253/Q1253),0)</f>
        <v>0</v>
      </c>
      <c r="T1253">
        <f>0</f>
        <v>0</v>
      </c>
      <c r="U1253"/>
      <c r="V1253">
        <v>76670.53</v>
      </c>
      <c r="W1253" t="s">
        <v>75</v>
      </c>
      <c r="X1253"/>
    </row>
    <row r="1254" spans="1:27">
      <c r="A1254" t="s">
        <v>28</v>
      </c>
      <c r="B1254" t="s">
        <v>29</v>
      </c>
      <c r="C1254" t="s">
        <v>4337</v>
      </c>
      <c r="D1254" t="s">
        <v>4338</v>
      </c>
      <c r="E1254" t="s">
        <v>4339</v>
      </c>
      <c r="F1254" t="s">
        <v>33</v>
      </c>
      <c r="G1254">
        <v>0</v>
      </c>
      <c r="H1254">
        <f>((0/1000) * G1254)</f>
        <v>0</v>
      </c>
      <c r="I1254">
        <v>0</v>
      </c>
      <c r="J1254">
        <v>0</v>
      </c>
      <c r="K1254" s="4991">
        <v>77110.05</v>
      </c>
      <c r="L1254" s="4992">
        <f>(K1254 * G1254)</f>
        <v>0</v>
      </c>
      <c r="M1254" s="4993">
        <v>107954.08</v>
      </c>
      <c r="N1254" s="4994">
        <f>(G1254 * M1254)</f>
        <v>0</v>
      </c>
      <c r="O1254">
        <v>0</v>
      </c>
      <c r="P1254">
        <v>0</v>
      </c>
      <c r="Q1254">
        <f>IF(O1254&gt;G1254,(O1254-G1254),0)</f>
        <v>0</v>
      </c>
      <c r="R1254">
        <v>1</v>
      </c>
      <c r="S1254">
        <f>IF(Q1254&gt;0,Int(P1254/Q1254),0)</f>
        <v>0</v>
      </c>
      <c r="T1254">
        <f>0</f>
        <v>0</v>
      </c>
      <c r="U1254"/>
      <c r="V1254">
        <v>77110.05</v>
      </c>
      <c r="W1254" t="s">
        <v>75</v>
      </c>
      <c r="X1254"/>
    </row>
    <row r="1255" spans="1:27">
      <c r="A1255" t="s">
        <v>28</v>
      </c>
      <c r="B1255" t="s">
        <v>29</v>
      </c>
      <c r="C1255" t="s">
        <v>4340</v>
      </c>
      <c r="D1255" t="s">
        <v>4341</v>
      </c>
      <c r="E1255" t="s">
        <v>4342</v>
      </c>
      <c r="F1255" t="s">
        <v>41</v>
      </c>
      <c r="G1255">
        <v>4</v>
      </c>
      <c r="H1255">
        <f>((0/1000) * G1255)</f>
        <v>0</v>
      </c>
      <c r="I1255">
        <v>4</v>
      </c>
      <c r="J1255">
        <v>0</v>
      </c>
      <c r="K1255" s="4995">
        <v>371923.28</v>
      </c>
      <c r="L1255" s="4996">
        <f>(K1255 * G1255)</f>
        <v>1487693.12</v>
      </c>
      <c r="M1255" s="4997">
        <v>520692.59</v>
      </c>
      <c r="N1255" s="4998">
        <f>(G1255 * M1255)</f>
        <v>2082770.36</v>
      </c>
      <c r="O1255">
        <v>0</v>
      </c>
      <c r="P1255">
        <v>0</v>
      </c>
      <c r="Q1255">
        <f>IF(O1255&gt;G1255,(O1255-G1255),0)</f>
        <v>0</v>
      </c>
      <c r="R1255">
        <v>1</v>
      </c>
      <c r="S1255">
        <f>IF(Q1255&gt;0,Int(P1255/Q1255),0)</f>
        <v>0</v>
      </c>
      <c r="T1255">
        <f>467843.73</f>
        <v>467843.73</v>
      </c>
      <c r="U1255" t="s">
        <v>4343</v>
      </c>
      <c r="V1255">
        <v>371923.28</v>
      </c>
      <c r="W1255" t="s">
        <v>75</v>
      </c>
      <c r="X1255" t="s">
        <v>226</v>
      </c>
    </row>
    <row r="1256" spans="1:27">
      <c r="A1256" t="s">
        <v>28</v>
      </c>
      <c r="B1256" t="s">
        <v>29</v>
      </c>
      <c r="C1256" t="s">
        <v>4344</v>
      </c>
      <c r="D1256" t="s">
        <v>4345</v>
      </c>
      <c r="E1256" t="s">
        <v>4346</v>
      </c>
      <c r="F1256" t="s">
        <v>41</v>
      </c>
      <c r="G1256">
        <v>0</v>
      </c>
      <c r="H1256">
        <f>((0/1000) * G1256)</f>
        <v>0</v>
      </c>
      <c r="I1256">
        <v>0</v>
      </c>
      <c r="J1256">
        <v>0</v>
      </c>
      <c r="K1256" s="4999">
        <v>420856.59</v>
      </c>
      <c r="L1256" s="5000">
        <f>(K1256 * G1256)</f>
        <v>0</v>
      </c>
      <c r="M1256" s="5001">
        <v>589199.22</v>
      </c>
      <c r="N1256" s="5002">
        <f>(G1256 * M1256)</f>
        <v>0</v>
      </c>
      <c r="O1256">
        <v>0</v>
      </c>
      <c r="P1256">
        <v>0</v>
      </c>
      <c r="Q1256">
        <f>IF(O1256&gt;G1256,(O1256-G1256),0)</f>
        <v>0</v>
      </c>
      <c r="R1256">
        <v>1</v>
      </c>
      <c r="S1256">
        <f>IF(Q1256&gt;0,Int(P1256/Q1256),0)</f>
        <v>0</v>
      </c>
      <c r="T1256">
        <f>523992.59</f>
        <v>523992.59</v>
      </c>
      <c r="U1256" t="s">
        <v>4347</v>
      </c>
      <c r="V1256">
        <v>420856.59</v>
      </c>
      <c r="W1256" t="s">
        <v>182</v>
      </c>
      <c r="X1256"/>
    </row>
    <row r="1257" spans="1:27">
      <c r="A1257" t="s">
        <v>28</v>
      </c>
      <c r="B1257" t="s">
        <v>29</v>
      </c>
      <c r="C1257" t="s">
        <v>4348</v>
      </c>
      <c r="D1257" t="s">
        <v>4349</v>
      </c>
      <c r="E1257" t="s">
        <v>4350</v>
      </c>
      <c r="F1257" t="s">
        <v>33</v>
      </c>
      <c r="G1257">
        <v>0</v>
      </c>
      <c r="H1257">
        <f>((0/1000) * G1257)</f>
        <v>0</v>
      </c>
      <c r="I1257">
        <v>0</v>
      </c>
      <c r="J1257">
        <v>0</v>
      </c>
      <c r="K1257" s="5003">
        <v>420856.59</v>
      </c>
      <c r="L1257" s="5004">
        <f>(K1257 * G1257)</f>
        <v>0</v>
      </c>
      <c r="M1257" s="5005">
        <v>589199.22</v>
      </c>
      <c r="N1257" s="5006">
        <f>(G1257 * M1257)</f>
        <v>0</v>
      </c>
      <c r="O1257">
        <v>0</v>
      </c>
      <c r="P1257">
        <v>0</v>
      </c>
      <c r="Q1257">
        <f>IF(O1257&gt;G1257,(O1257-G1257),0)</f>
        <v>0</v>
      </c>
      <c r="R1257">
        <v>1</v>
      </c>
      <c r="S1257">
        <f>IF(Q1257&gt;0,Int(P1257/Q1257),0)</f>
        <v>0</v>
      </c>
      <c r="T1257">
        <f>397090</f>
        <v>397090</v>
      </c>
      <c r="U1257" t="s">
        <v>4351</v>
      </c>
      <c r="V1257">
        <v>420856.59</v>
      </c>
      <c r="W1257" t="s">
        <v>182</v>
      </c>
      <c r="X1257"/>
    </row>
    <row r="1258" spans="1:27">
      <c r="A1258" t="s">
        <v>28</v>
      </c>
      <c r="B1258" t="s">
        <v>29</v>
      </c>
      <c r="C1258" t="s">
        <v>4352</v>
      </c>
      <c r="D1258" t="s">
        <v>4353</v>
      </c>
      <c r="E1258" t="s">
        <v>4354</v>
      </c>
      <c r="F1258" t="s">
        <v>41</v>
      </c>
      <c r="G1258">
        <v>0</v>
      </c>
      <c r="H1258">
        <f>((0/1000) * G1258)</f>
        <v>0</v>
      </c>
      <c r="I1258">
        <v>0</v>
      </c>
      <c r="J1258">
        <v>0</v>
      </c>
      <c r="K1258" s="5007">
        <v>395619.83</v>
      </c>
      <c r="L1258" s="5008">
        <f>(K1258 * G1258)</f>
        <v>0</v>
      </c>
      <c r="M1258" s="5009">
        <v>435181.82</v>
      </c>
      <c r="N1258" s="5010">
        <f>(G1258 * M1258)</f>
        <v>0</v>
      </c>
      <c r="O1258">
        <v>0</v>
      </c>
      <c r="P1258">
        <v>0</v>
      </c>
      <c r="Q1258">
        <f>IF(O1258&gt;G1258,(O1258-G1258),0)</f>
        <v>0</v>
      </c>
      <c r="R1258">
        <v>1</v>
      </c>
      <c r="S1258">
        <f>IF(Q1258&gt;0,Int(P1258/Q1258),0)</f>
        <v>0</v>
      </c>
      <c r="T1258">
        <f>359654.4</f>
        <v>359654.4</v>
      </c>
      <c r="U1258" t="s">
        <v>4355</v>
      </c>
      <c r="V1258">
        <v>395619.83</v>
      </c>
      <c r="W1258" t="s">
        <v>43</v>
      </c>
      <c r="X1258"/>
    </row>
    <row r="1259" spans="1:27">
      <c r="A1259" t="s">
        <v>35</v>
      </c>
      <c r="B1259" t="s">
        <v>29</v>
      </c>
      <c r="C1259" t="s">
        <v>4356</v>
      </c>
      <c r="D1259" t="s">
        <v>4357</v>
      </c>
      <c r="E1259" t="s">
        <v>4358</v>
      </c>
      <c r="F1259" t="s">
        <v>33</v>
      </c>
      <c r="G1259">
        <v>0</v>
      </c>
      <c r="H1259">
        <f>((0/1000) * G1259)</f>
        <v>0</v>
      </c>
      <c r="I1259">
        <v>0</v>
      </c>
      <c r="J1259">
        <v>0</v>
      </c>
      <c r="K1259" s="5011">
        <v>206679</v>
      </c>
      <c r="L1259" s="5012">
        <f>(K1259 * G1259)</f>
        <v>0</v>
      </c>
      <c r="M1259" s="5013">
        <v>310018.5</v>
      </c>
      <c r="N1259" s="5014">
        <f>(G1259 * M1259)</f>
        <v>0</v>
      </c>
      <c r="O1259">
        <v>0</v>
      </c>
      <c r="P1259">
        <v>0</v>
      </c>
      <c r="Q1259">
        <f>IF(O1259&gt;G1259,(O1259-G1259),0)</f>
        <v>0</v>
      </c>
      <c r="R1259">
        <v>1</v>
      </c>
      <c r="S1259">
        <f>IF(Q1259&gt;0,Int(P1259/Q1259),0)</f>
        <v>0</v>
      </c>
      <c r="T1259">
        <f>344327.57</f>
        <v>344327.57</v>
      </c>
      <c r="U1259" t="s">
        <v>4359</v>
      </c>
      <c r="V1259">
        <v>206679</v>
      </c>
      <c r="W1259" t="s">
        <v>1498</v>
      </c>
      <c r="X1259"/>
    </row>
    <row r="1260" spans="1:27">
      <c r="A1260" t="s">
        <v>28</v>
      </c>
      <c r="B1260" t="s">
        <v>29</v>
      </c>
      <c r="C1260" t="s">
        <v>4360</v>
      </c>
      <c r="D1260" t="s">
        <v>4361</v>
      </c>
      <c r="E1260" t="s">
        <v>4362</v>
      </c>
      <c r="F1260" t="s">
        <v>33</v>
      </c>
      <c r="G1260">
        <v>0</v>
      </c>
      <c r="H1260">
        <f>((0/1000) * G1260)</f>
        <v>0</v>
      </c>
      <c r="I1260">
        <v>0</v>
      </c>
      <c r="J1260">
        <v>0</v>
      </c>
      <c r="K1260" s="5015">
        <v>204714.29</v>
      </c>
      <c r="L1260" s="5016">
        <f>(K1260 * G1260)</f>
        <v>0</v>
      </c>
      <c r="M1260" s="5017">
        <v>286600</v>
      </c>
      <c r="N1260" s="5018">
        <f>(G1260 * M1260)</f>
        <v>0</v>
      </c>
      <c r="O1260">
        <v>0</v>
      </c>
      <c r="P1260">
        <v>0</v>
      </c>
      <c r="Q1260">
        <f>IF(O1260&gt;G1260,(O1260-G1260),0)</f>
        <v>0</v>
      </c>
      <c r="R1260">
        <v>1</v>
      </c>
      <c r="S1260">
        <f>IF(Q1260&gt;0,Int(P1260/Q1260),0)</f>
        <v>0</v>
      </c>
      <c r="T1260">
        <f>0</f>
        <v>0</v>
      </c>
      <c r="U1260"/>
      <c r="V1260">
        <v>204714.29</v>
      </c>
      <c r="W1260" t="s">
        <v>75</v>
      </c>
      <c r="X1260"/>
    </row>
    <row r="1261" spans="1:27">
      <c r="A1261" t="s">
        <v>28</v>
      </c>
      <c r="B1261" t="s">
        <v>29</v>
      </c>
      <c r="C1261" t="s">
        <v>4363</v>
      </c>
      <c r="D1261" t="s">
        <v>4364</v>
      </c>
      <c r="E1261" t="s">
        <v>4365</v>
      </c>
      <c r="F1261" t="s">
        <v>41</v>
      </c>
      <c r="G1261">
        <v>0</v>
      </c>
      <c r="H1261">
        <f>((0/1000) * G1261)</f>
        <v>0</v>
      </c>
      <c r="I1261">
        <v>0</v>
      </c>
      <c r="J1261">
        <v>0</v>
      </c>
      <c r="K1261" s="5019">
        <v>535537.19</v>
      </c>
      <c r="L1261" s="5020">
        <f>(K1261 * G1261)</f>
        <v>0</v>
      </c>
      <c r="M1261" s="5021">
        <v>589090.91</v>
      </c>
      <c r="N1261" s="5022">
        <f>(G1261 * M1261)</f>
        <v>0</v>
      </c>
      <c r="O1261">
        <v>0</v>
      </c>
      <c r="P1261">
        <v>0</v>
      </c>
      <c r="Q1261">
        <f>IF(O1261&gt;G1261,(O1261-G1261),0)</f>
        <v>0</v>
      </c>
      <c r="R1261">
        <v>1</v>
      </c>
      <c r="S1261">
        <f>IF(Q1261&gt;0,Int(P1261/Q1261),0)</f>
        <v>0</v>
      </c>
      <c r="T1261">
        <f>0</f>
        <v>0</v>
      </c>
      <c r="U1261"/>
      <c r="V1261">
        <v>535537.19</v>
      </c>
      <c r="W1261" t="s">
        <v>43</v>
      </c>
      <c r="X1261"/>
    </row>
    <row r="1262" spans="1:27">
      <c r="A1262" t="s">
        <v>28</v>
      </c>
      <c r="B1262" t="s">
        <v>29</v>
      </c>
      <c r="C1262" t="s">
        <v>4366</v>
      </c>
      <c r="D1262" t="s">
        <v>4367</v>
      </c>
      <c r="E1262" t="s">
        <v>4368</v>
      </c>
      <c r="F1262" t="s">
        <v>33</v>
      </c>
      <c r="G1262">
        <v>0</v>
      </c>
      <c r="H1262">
        <f>((0/1000) * G1262)</f>
        <v>0</v>
      </c>
      <c r="I1262">
        <v>0</v>
      </c>
      <c r="J1262">
        <v>0</v>
      </c>
      <c r="K1262" s="5023">
        <v>79517.23</v>
      </c>
      <c r="L1262" s="5024">
        <f>(K1262 * G1262)</f>
        <v>0</v>
      </c>
      <c r="M1262" s="5025">
        <v>111324.13</v>
      </c>
      <c r="N1262" s="5026">
        <f>(G1262 * M1262)</f>
        <v>0</v>
      </c>
      <c r="O1262">
        <v>0</v>
      </c>
      <c r="P1262">
        <v>0</v>
      </c>
      <c r="Q1262">
        <f>IF(O1262&gt;G1262,(O1262-G1262),0)</f>
        <v>0</v>
      </c>
      <c r="R1262">
        <v>1</v>
      </c>
      <c r="S1262">
        <f>IF(Q1262&gt;0,Int(P1262/Q1262),0)</f>
        <v>0</v>
      </c>
      <c r="T1262">
        <f>0</f>
        <v>0</v>
      </c>
      <c r="U1262"/>
      <c r="V1262">
        <v>79517.23</v>
      </c>
      <c r="W1262" t="s">
        <v>75</v>
      </c>
      <c r="X1262"/>
    </row>
    <row r="1263" spans="1:27">
      <c r="A1263" t="s">
        <v>28</v>
      </c>
      <c r="B1263" t="s">
        <v>29</v>
      </c>
      <c r="C1263" t="s">
        <v>4369</v>
      </c>
      <c r="D1263" t="s">
        <v>4370</v>
      </c>
      <c r="E1263" t="s">
        <v>4371</v>
      </c>
      <c r="F1263" t="s">
        <v>33</v>
      </c>
      <c r="G1263">
        <v>7</v>
      </c>
      <c r="H1263">
        <f>((0/1000) * G1263)</f>
        <v>0</v>
      </c>
      <c r="I1263">
        <v>0</v>
      </c>
      <c r="J1263">
        <v>7</v>
      </c>
      <c r="K1263" s="5027">
        <v>229090.4</v>
      </c>
      <c r="L1263" s="5028">
        <f>(K1263 * G1263)</f>
        <v>1603632.8</v>
      </c>
      <c r="M1263" s="5029">
        <v>286363</v>
      </c>
      <c r="N1263" s="5030">
        <f>(G1263 * M1263)</f>
        <v>2004541</v>
      </c>
      <c r="O1263">
        <v>0</v>
      </c>
      <c r="P1263">
        <v>0</v>
      </c>
      <c r="Q1263">
        <f>IF(O1263&gt;G1263,(O1263-G1263),0)</f>
        <v>0</v>
      </c>
      <c r="R1263">
        <v>1</v>
      </c>
      <c r="S1263">
        <f>IF(Q1263&gt;0,Int(P1263/Q1263),0)</f>
        <v>0</v>
      </c>
      <c r="T1263">
        <f>144628</f>
        <v>144628</v>
      </c>
      <c r="U1263" t="s">
        <v>1655</v>
      </c>
      <c r="V1263">
        <v>229090.4</v>
      </c>
      <c r="W1263" t="s">
        <v>577</v>
      </c>
      <c r="X1263" t="s">
        <v>490</v>
      </c>
    </row>
    <row r="1264" spans="1:27">
      <c r="A1264" t="s">
        <v>28</v>
      </c>
      <c r="B1264" t="s">
        <v>29</v>
      </c>
      <c r="C1264" t="s">
        <v>4372</v>
      </c>
      <c r="D1264" t="s">
        <v>607</v>
      </c>
      <c r="E1264" t="s">
        <v>4373</v>
      </c>
      <c r="F1264" t="s">
        <v>33</v>
      </c>
      <c r="G1264">
        <v>0</v>
      </c>
      <c r="H1264">
        <f>((0/1000) * G1264)</f>
        <v>0</v>
      </c>
      <c r="I1264">
        <v>0</v>
      </c>
      <c r="J1264">
        <v>0</v>
      </c>
      <c r="K1264" s="5031">
        <v>202792.7</v>
      </c>
      <c r="L1264" s="5032">
        <f>(K1264 * G1264)</f>
        <v>0</v>
      </c>
      <c r="M1264" s="5033">
        <v>283909.78</v>
      </c>
      <c r="N1264" s="5034">
        <f>(G1264 * M1264)</f>
        <v>0</v>
      </c>
      <c r="O1264">
        <v>0</v>
      </c>
      <c r="P1264">
        <v>0</v>
      </c>
      <c r="Q1264">
        <f>IF(O1264&gt;G1264,(O1264-G1264),0)</f>
        <v>0</v>
      </c>
      <c r="R1264">
        <v>1</v>
      </c>
      <c r="S1264">
        <f>IF(Q1264&gt;0,Int(P1264/Q1264),0)</f>
        <v>0</v>
      </c>
      <c r="T1264">
        <f>0</f>
        <v>0</v>
      </c>
      <c r="U1264"/>
      <c r="V1264">
        <v>202792.7</v>
      </c>
      <c r="W1264" t="s">
        <v>75</v>
      </c>
      <c r="X1264"/>
    </row>
    <row r="1265" spans="1:27">
      <c r="A1265" t="s">
        <v>28</v>
      </c>
      <c r="B1265" t="s">
        <v>29</v>
      </c>
      <c r="C1265" t="s">
        <v>4374</v>
      </c>
      <c r="D1265" t="s">
        <v>4375</v>
      </c>
      <c r="E1265" t="s">
        <v>4376</v>
      </c>
      <c r="F1265" t="s">
        <v>33</v>
      </c>
      <c r="G1265">
        <v>0</v>
      </c>
      <c r="H1265">
        <f>((0/1000) * G1265)</f>
        <v>0</v>
      </c>
      <c r="I1265">
        <v>0</v>
      </c>
      <c r="J1265">
        <v>0</v>
      </c>
      <c r="K1265" s="5035">
        <v>566742.66</v>
      </c>
      <c r="L1265" s="5036">
        <f>(K1265 * G1265)</f>
        <v>0</v>
      </c>
      <c r="M1265" s="5037">
        <v>793439.72</v>
      </c>
      <c r="N1265" s="5038">
        <f>(G1265 * M1265)</f>
        <v>0</v>
      </c>
      <c r="O1265">
        <v>0</v>
      </c>
      <c r="P1265">
        <v>0</v>
      </c>
      <c r="Q1265">
        <f>IF(O1265&gt;G1265,(O1265-G1265),0)</f>
        <v>0</v>
      </c>
      <c r="R1265">
        <v>1</v>
      </c>
      <c r="S1265">
        <f>IF(Q1265&gt;0,Int(P1265/Q1265),0)</f>
        <v>0</v>
      </c>
      <c r="T1265">
        <f>0</f>
        <v>0</v>
      </c>
      <c r="U1265"/>
      <c r="V1265">
        <v>566742.66</v>
      </c>
      <c r="W1265" t="s">
        <v>182</v>
      </c>
      <c r="X1265"/>
    </row>
    <row r="1266" spans="1:27">
      <c r="A1266" t="s">
        <v>35</v>
      </c>
      <c r="B1266" t="s">
        <v>29</v>
      </c>
      <c r="C1266" t="s">
        <v>4377</v>
      </c>
      <c r="D1266" t="s">
        <v>4377</v>
      </c>
      <c r="E1266" t="s">
        <v>4378</v>
      </c>
      <c r="F1266" t="s">
        <v>33</v>
      </c>
      <c r="G1266">
        <v>0</v>
      </c>
      <c r="H1266">
        <f>((1/1000) * G1266)</f>
        <v>0</v>
      </c>
      <c r="I1266">
        <v>0</v>
      </c>
      <c r="J1266">
        <v>0</v>
      </c>
      <c r="K1266" s="5039">
        <v>0</v>
      </c>
      <c r="L1266" s="5040">
        <f>(K1266 * G1266)</f>
        <v>0</v>
      </c>
      <c r="M1266" s="5041">
        <v>0</v>
      </c>
      <c r="N1266" s="5042">
        <f>(G1266 * M1266)</f>
        <v>0</v>
      </c>
      <c r="O1266">
        <v>0</v>
      </c>
      <c r="P1266">
        <v>0</v>
      </c>
      <c r="Q1266">
        <f>IF(O1266&gt;G1266,(O1266-G1266),0)</f>
        <v>0</v>
      </c>
      <c r="R1266">
        <v>0</v>
      </c>
      <c r="S1266">
        <f>IF(Q1266&gt;0,Int(P1266/Q1266),0)</f>
        <v>0</v>
      </c>
      <c r="T1266">
        <f>0</f>
        <v>0</v>
      </c>
      <c r="U1266"/>
      <c r="V1266">
        <v>0</v>
      </c>
      <c r="W1266">
        <v>0</v>
      </c>
      <c r="X1266"/>
    </row>
    <row r="1267" spans="1:27">
      <c r="A1267" t="s">
        <v>35</v>
      </c>
      <c r="B1267" t="s">
        <v>29</v>
      </c>
      <c r="C1267" t="s">
        <v>4379</v>
      </c>
      <c r="D1267" t="s">
        <v>4379</v>
      </c>
      <c r="E1267" t="s">
        <v>4380</v>
      </c>
      <c r="F1267" t="s">
        <v>33</v>
      </c>
      <c r="G1267">
        <v>0</v>
      </c>
      <c r="H1267">
        <f>((1/1000) * G1267)</f>
        <v>0</v>
      </c>
      <c r="I1267">
        <v>0</v>
      </c>
      <c r="J1267">
        <v>0</v>
      </c>
      <c r="K1267" s="5043">
        <v>0</v>
      </c>
      <c r="L1267" s="5044">
        <f>(K1267 * G1267)</f>
        <v>0</v>
      </c>
      <c r="M1267" s="5045">
        <v>0</v>
      </c>
      <c r="N1267" s="5046">
        <f>(G1267 * M1267)</f>
        <v>0</v>
      </c>
      <c r="O1267">
        <v>0</v>
      </c>
      <c r="P1267">
        <v>0</v>
      </c>
      <c r="Q1267">
        <f>IF(O1267&gt;G1267,(O1267-G1267),0)</f>
        <v>0</v>
      </c>
      <c r="R1267">
        <v>0</v>
      </c>
      <c r="S1267">
        <f>IF(Q1267&gt;0,Int(P1267/Q1267),0)</f>
        <v>0</v>
      </c>
      <c r="T1267">
        <f>0</f>
        <v>0</v>
      </c>
      <c r="U1267"/>
      <c r="V1267">
        <v>0</v>
      </c>
      <c r="W1267">
        <v>0</v>
      </c>
      <c r="X1267"/>
    </row>
    <row r="1268" spans="1:27">
      <c r="A1268" t="s">
        <v>35</v>
      </c>
      <c r="B1268" t="s">
        <v>29</v>
      </c>
      <c r="C1268" t="s">
        <v>4381</v>
      </c>
      <c r="D1268" t="s">
        <v>4381</v>
      </c>
      <c r="E1268" t="s">
        <v>4382</v>
      </c>
      <c r="F1268" t="s">
        <v>33</v>
      </c>
      <c r="G1268">
        <v>0</v>
      </c>
      <c r="H1268">
        <f>((1/1000) * G1268)</f>
        <v>0</v>
      </c>
      <c r="I1268">
        <v>0</v>
      </c>
      <c r="J1268">
        <v>0</v>
      </c>
      <c r="K1268" s="5047">
        <v>0</v>
      </c>
      <c r="L1268" s="5048">
        <f>(K1268 * G1268)</f>
        <v>0</v>
      </c>
      <c r="M1268" s="5049">
        <v>0</v>
      </c>
      <c r="N1268" s="5050">
        <f>(G1268 * M1268)</f>
        <v>0</v>
      </c>
      <c r="O1268">
        <v>0</v>
      </c>
      <c r="P1268">
        <v>0</v>
      </c>
      <c r="Q1268">
        <f>IF(O1268&gt;G1268,(O1268-G1268),0)</f>
        <v>0</v>
      </c>
      <c r="R1268">
        <v>0</v>
      </c>
      <c r="S1268">
        <f>IF(Q1268&gt;0,Int(P1268/Q1268),0)</f>
        <v>0</v>
      </c>
      <c r="T1268">
        <f>0</f>
        <v>0</v>
      </c>
      <c r="U1268"/>
      <c r="V1268">
        <v>0</v>
      </c>
      <c r="W1268">
        <v>0</v>
      </c>
      <c r="X1268"/>
    </row>
    <row r="1269" spans="1:27">
      <c r="A1269" t="s">
        <v>28</v>
      </c>
      <c r="B1269" t="s">
        <v>29</v>
      </c>
      <c r="C1269" t="s">
        <v>4383</v>
      </c>
      <c r="D1269" t="s">
        <v>4384</v>
      </c>
      <c r="E1269" t="s">
        <v>4385</v>
      </c>
      <c r="F1269" t="s">
        <v>41</v>
      </c>
      <c r="G1269">
        <v>0</v>
      </c>
      <c r="H1269">
        <f>((0/1000) * G1269)</f>
        <v>0</v>
      </c>
      <c r="I1269">
        <v>0</v>
      </c>
      <c r="J1269">
        <v>0</v>
      </c>
      <c r="K1269" s="5051">
        <v>381257.35</v>
      </c>
      <c r="L1269" s="5052">
        <f>(K1269 * G1269)</f>
        <v>0</v>
      </c>
      <c r="M1269" s="5053">
        <v>533760.29</v>
      </c>
      <c r="N1269" s="5054">
        <f>(G1269 * M1269)</f>
        <v>0</v>
      </c>
      <c r="O1269">
        <v>0</v>
      </c>
      <c r="P1269">
        <v>0</v>
      </c>
      <c r="Q1269">
        <f>IF(O1269&gt;G1269,(O1269-G1269),0)</f>
        <v>0</v>
      </c>
      <c r="R1269">
        <v>0</v>
      </c>
      <c r="S1269">
        <f>IF(Q1269&gt;0,Int(P1269/Q1269),0)</f>
        <v>0</v>
      </c>
      <c r="T1269">
        <f>0</f>
        <v>0</v>
      </c>
      <c r="U1269"/>
      <c r="V1269">
        <v>381257.35</v>
      </c>
      <c r="W1269" t="s">
        <v>182</v>
      </c>
      <c r="X1269"/>
    </row>
    <row r="1270" spans="1:27">
      <c r="A1270" t="s">
        <v>28</v>
      </c>
      <c r="B1270" t="s">
        <v>29</v>
      </c>
      <c r="C1270" t="s">
        <v>4386</v>
      </c>
      <c r="D1270" t="s">
        <v>4387</v>
      </c>
      <c r="E1270" t="s">
        <v>4388</v>
      </c>
      <c r="F1270" t="s">
        <v>33</v>
      </c>
      <c r="G1270">
        <v>0</v>
      </c>
      <c r="H1270">
        <f>((0/1000) * G1270)</f>
        <v>0</v>
      </c>
      <c r="I1270">
        <v>0</v>
      </c>
      <c r="J1270">
        <v>0</v>
      </c>
      <c r="K1270" s="5055">
        <v>74525.97</v>
      </c>
      <c r="L1270" s="5056">
        <f>(K1270 * G1270)</f>
        <v>0</v>
      </c>
      <c r="M1270" s="5057">
        <v>104336.36</v>
      </c>
      <c r="N1270" s="5058">
        <f>(G1270 * M1270)</f>
        <v>0</v>
      </c>
      <c r="O1270">
        <v>0</v>
      </c>
      <c r="P1270">
        <v>0</v>
      </c>
      <c r="Q1270">
        <f>IF(O1270&gt;G1270,(O1270-G1270),0)</f>
        <v>0</v>
      </c>
      <c r="R1270">
        <v>0</v>
      </c>
      <c r="S1270">
        <f>IF(Q1270&gt;0,Int(P1270/Q1270),0)</f>
        <v>0</v>
      </c>
      <c r="T1270">
        <f>0</f>
        <v>0</v>
      </c>
      <c r="U1270"/>
      <c r="V1270">
        <v>74525.97</v>
      </c>
      <c r="W1270" t="s">
        <v>292</v>
      </c>
      <c r="X1270"/>
    </row>
    <row r="1271" spans="1:27">
      <c r="A1271" t="s">
        <v>35</v>
      </c>
      <c r="B1271" t="s">
        <v>29</v>
      </c>
      <c r="C1271" t="s">
        <v>4389</v>
      </c>
      <c r="D1271" t="s">
        <v>4390</v>
      </c>
      <c r="E1271" t="s">
        <v>4391</v>
      </c>
      <c r="F1271" t="s">
        <v>33</v>
      </c>
      <c r="G1271">
        <v>0</v>
      </c>
      <c r="H1271">
        <f>((0/1000) * G1271)</f>
        <v>0</v>
      </c>
      <c r="I1271">
        <v>0</v>
      </c>
      <c r="J1271">
        <v>0</v>
      </c>
      <c r="K1271" s="5059">
        <v>64398.66</v>
      </c>
      <c r="L1271" s="5060">
        <f>(K1271 * G1271)</f>
        <v>0</v>
      </c>
      <c r="M1271" s="5061">
        <v>90158.13</v>
      </c>
      <c r="N1271" s="5062">
        <f>(G1271 * M1271)</f>
        <v>0</v>
      </c>
      <c r="O1271">
        <v>0</v>
      </c>
      <c r="P1271">
        <v>0</v>
      </c>
      <c r="Q1271">
        <f>IF(O1271&gt;G1271,(O1271-G1271),0)</f>
        <v>0</v>
      </c>
      <c r="R1271">
        <v>1</v>
      </c>
      <c r="S1271">
        <f>IF(Q1271&gt;0,Int(P1271/Q1271),0)</f>
        <v>0</v>
      </c>
      <c r="T1271">
        <f>0</f>
        <v>0</v>
      </c>
      <c r="U1271"/>
      <c r="V1271">
        <v>64398.66</v>
      </c>
      <c r="W1271" t="s">
        <v>75</v>
      </c>
      <c r="X1271"/>
    </row>
    <row r="1272" spans="1:27">
      <c r="A1272" t="s">
        <v>28</v>
      </c>
      <c r="B1272" t="s">
        <v>29</v>
      </c>
      <c r="C1272" t="s">
        <v>4392</v>
      </c>
      <c r="D1272" t="s">
        <v>4393</v>
      </c>
      <c r="E1272" t="s">
        <v>4394</v>
      </c>
      <c r="F1272" t="s">
        <v>33</v>
      </c>
      <c r="G1272">
        <v>0</v>
      </c>
      <c r="H1272">
        <f>((0/1000) * G1272)</f>
        <v>0</v>
      </c>
      <c r="I1272">
        <v>0</v>
      </c>
      <c r="J1272">
        <v>0</v>
      </c>
      <c r="K1272" s="5063">
        <v>55748.08</v>
      </c>
      <c r="L1272" s="5064">
        <f>(K1272 * G1272)</f>
        <v>0</v>
      </c>
      <c r="M1272" s="5065">
        <v>78047.31</v>
      </c>
      <c r="N1272" s="5066">
        <f>(G1272 * M1272)</f>
        <v>0</v>
      </c>
      <c r="O1272">
        <v>0</v>
      </c>
      <c r="P1272">
        <v>0</v>
      </c>
      <c r="Q1272">
        <f>IF(O1272&gt;G1272,(O1272-G1272),0)</f>
        <v>0</v>
      </c>
      <c r="R1272">
        <v>1</v>
      </c>
      <c r="S1272">
        <f>IF(Q1272&gt;0,Int(P1272/Q1272),0)</f>
        <v>0</v>
      </c>
      <c r="T1272">
        <f>0</f>
        <v>0</v>
      </c>
      <c r="U1272"/>
      <c r="V1272">
        <v>55748.08</v>
      </c>
      <c r="W1272" t="s">
        <v>75</v>
      </c>
      <c r="X1272"/>
    </row>
    <row r="1273" spans="1:27">
      <c r="A1273" t="s">
        <v>35</v>
      </c>
      <c r="B1273" t="s">
        <v>29</v>
      </c>
      <c r="C1273" t="s">
        <v>4395</v>
      </c>
      <c r="D1273" t="s">
        <v>4396</v>
      </c>
      <c r="E1273" t="s">
        <v>4397</v>
      </c>
      <c r="F1273" t="s">
        <v>33</v>
      </c>
      <c r="G1273">
        <v>0</v>
      </c>
      <c r="H1273">
        <f>((0/1000) * G1273)</f>
        <v>0</v>
      </c>
      <c r="I1273">
        <v>0</v>
      </c>
      <c r="J1273">
        <v>0</v>
      </c>
      <c r="K1273" s="5067">
        <v>58671.57</v>
      </c>
      <c r="L1273" s="5068">
        <f>(K1273 * G1273)</f>
        <v>0</v>
      </c>
      <c r="M1273" s="5069">
        <v>82140.2</v>
      </c>
      <c r="N1273" s="5070">
        <f>(G1273 * M1273)</f>
        <v>0</v>
      </c>
      <c r="O1273">
        <v>0</v>
      </c>
      <c r="P1273">
        <v>0</v>
      </c>
      <c r="Q1273">
        <f>IF(O1273&gt;G1273,(O1273-G1273),0)</f>
        <v>0</v>
      </c>
      <c r="R1273">
        <v>1</v>
      </c>
      <c r="S1273">
        <f>IF(Q1273&gt;0,Int(P1273/Q1273),0)</f>
        <v>0</v>
      </c>
      <c r="T1273">
        <f>0</f>
        <v>0</v>
      </c>
      <c r="U1273"/>
      <c r="V1273">
        <v>58671.57</v>
      </c>
      <c r="W1273" t="s">
        <v>75</v>
      </c>
      <c r="X1273"/>
    </row>
    <row r="1274" spans="1:27">
      <c r="A1274" t="s">
        <v>28</v>
      </c>
      <c r="B1274" t="s">
        <v>29</v>
      </c>
      <c r="C1274" t="s">
        <v>4398</v>
      </c>
      <c r="D1274" t="s">
        <v>4399</v>
      </c>
      <c r="E1274" t="s">
        <v>4400</v>
      </c>
      <c r="F1274" t="s">
        <v>33</v>
      </c>
      <c r="G1274">
        <v>0</v>
      </c>
      <c r="H1274">
        <f>((0/1000) * G1274)</f>
        <v>0</v>
      </c>
      <c r="I1274">
        <v>0</v>
      </c>
      <c r="J1274">
        <v>0</v>
      </c>
      <c r="K1274" s="5071">
        <v>277468.18</v>
      </c>
      <c r="L1274" s="5072">
        <f>(K1274 * G1274)</f>
        <v>0</v>
      </c>
      <c r="M1274" s="5073">
        <v>388455.45</v>
      </c>
      <c r="N1274" s="5074">
        <f>(G1274 * M1274)</f>
        <v>0</v>
      </c>
      <c r="O1274">
        <v>0</v>
      </c>
      <c r="P1274">
        <v>0</v>
      </c>
      <c r="Q1274">
        <f>IF(O1274&gt;G1274,(O1274-G1274),0)</f>
        <v>0</v>
      </c>
      <c r="R1274">
        <v>1</v>
      </c>
      <c r="S1274">
        <f>IF(Q1274&gt;0,Int(P1274/Q1274),0)</f>
        <v>0</v>
      </c>
      <c r="T1274">
        <f>258216.2</f>
        <v>258216.2</v>
      </c>
      <c r="U1274" t="s">
        <v>4401</v>
      </c>
      <c r="V1274">
        <v>277468.18</v>
      </c>
      <c r="W1274" t="s">
        <v>182</v>
      </c>
      <c r="X1274"/>
    </row>
    <row r="1275" spans="1:27">
      <c r="A1275" t="s">
        <v>35</v>
      </c>
      <c r="B1275" t="s">
        <v>29</v>
      </c>
      <c r="C1275" t="s">
        <v>4402</v>
      </c>
      <c r="D1275" t="s">
        <v>4403</v>
      </c>
      <c r="E1275" t="s">
        <v>4404</v>
      </c>
      <c r="F1275" t="s">
        <v>33</v>
      </c>
      <c r="G1275">
        <v>2</v>
      </c>
      <c r="H1275">
        <f>((0/1000) * G1275)</f>
        <v>0</v>
      </c>
      <c r="I1275">
        <v>0</v>
      </c>
      <c r="J1275">
        <v>2</v>
      </c>
      <c r="K1275" s="5075">
        <v>272396.7</v>
      </c>
      <c r="L1275" s="5076">
        <f>(K1275 * G1275)</f>
        <v>544793.4</v>
      </c>
      <c r="M1275" s="5077">
        <v>299636.37</v>
      </c>
      <c r="N1275" s="5078">
        <f>(G1275 * M1275)</f>
        <v>599272.74</v>
      </c>
      <c r="O1275">
        <v>0</v>
      </c>
      <c r="P1275">
        <v>0</v>
      </c>
      <c r="Q1275">
        <f>IF(O1275&gt;G1275,(O1275-G1275),0)</f>
        <v>0</v>
      </c>
      <c r="R1275">
        <v>1</v>
      </c>
      <c r="S1275">
        <f>IF(Q1275&gt;0,Int(P1275/Q1275),0)</f>
        <v>0</v>
      </c>
      <c r="T1275">
        <f>272396.7</f>
        <v>272396.7</v>
      </c>
      <c r="U1275" t="s">
        <v>4405</v>
      </c>
      <c r="V1275">
        <v>272396.7</v>
      </c>
      <c r="W1275" t="s">
        <v>80</v>
      </c>
      <c r="X1275" t="s">
        <v>136</v>
      </c>
    </row>
    <row r="1276" spans="1:27">
      <c r="A1276" t="s">
        <v>35</v>
      </c>
      <c r="B1276" t="s">
        <v>29</v>
      </c>
      <c r="C1276" t="s">
        <v>4406</v>
      </c>
      <c r="D1276" t="s">
        <v>4407</v>
      </c>
      <c r="E1276" t="s">
        <v>4408</v>
      </c>
      <c r="F1276" t="s">
        <v>33</v>
      </c>
      <c r="G1276">
        <v>0</v>
      </c>
      <c r="H1276">
        <f>((0/1000) * G1276)</f>
        <v>0</v>
      </c>
      <c r="I1276">
        <v>0</v>
      </c>
      <c r="J1276">
        <v>0</v>
      </c>
      <c r="K1276" s="5079">
        <v>0</v>
      </c>
      <c r="L1276" s="5080">
        <f>(K1276 * G1276)</f>
        <v>0</v>
      </c>
      <c r="M1276" s="5081">
        <v>0</v>
      </c>
      <c r="N1276" s="5082">
        <f>(G1276 * M1276)</f>
        <v>0</v>
      </c>
      <c r="O1276">
        <v>0</v>
      </c>
      <c r="P1276">
        <v>0</v>
      </c>
      <c r="Q1276">
        <f>IF(O1276&gt;G1276,(O1276-G1276),0)</f>
        <v>0</v>
      </c>
      <c r="R1276">
        <v>1</v>
      </c>
      <c r="S1276">
        <f>IF(Q1276&gt;0,Int(P1276/Q1276),0)</f>
        <v>0</v>
      </c>
      <c r="T1276">
        <f>0</f>
        <v>0</v>
      </c>
      <c r="U1276"/>
      <c r="V1276">
        <v>0</v>
      </c>
      <c r="W1276">
        <v>0</v>
      </c>
      <c r="X1276"/>
    </row>
    <row r="1277" spans="1:27">
      <c r="A1277" t="s">
        <v>28</v>
      </c>
      <c r="B1277" t="s">
        <v>29</v>
      </c>
      <c r="C1277" t="s">
        <v>4409</v>
      </c>
      <c r="D1277" t="s">
        <v>4410</v>
      </c>
      <c r="E1277" t="s">
        <v>4411</v>
      </c>
      <c r="F1277" t="s">
        <v>41</v>
      </c>
      <c r="G1277">
        <v>4</v>
      </c>
      <c r="H1277">
        <f>((0/1000) * G1277)</f>
        <v>0</v>
      </c>
      <c r="I1277">
        <v>0</v>
      </c>
      <c r="J1277">
        <v>4</v>
      </c>
      <c r="K1277" s="5083">
        <v>306479.98</v>
      </c>
      <c r="L1277" s="5084">
        <f>(K1277 * G1277)</f>
        <v>1225919.92</v>
      </c>
      <c r="M1277" s="5085">
        <v>429071.97</v>
      </c>
      <c r="N1277" s="5086">
        <f>(G1277 * M1277)</f>
        <v>1716287.88</v>
      </c>
      <c r="O1277">
        <v>0</v>
      </c>
      <c r="P1277">
        <v>0</v>
      </c>
      <c r="Q1277">
        <f>IF(O1277&gt;G1277,(O1277-G1277),0)</f>
        <v>0</v>
      </c>
      <c r="R1277">
        <v>1</v>
      </c>
      <c r="S1277">
        <f>IF(Q1277&gt;0,Int(P1277/Q1277),0)</f>
        <v>0</v>
      </c>
      <c r="T1277">
        <f>278229.42</f>
        <v>278229.42</v>
      </c>
      <c r="U1277" t="s">
        <v>979</v>
      </c>
      <c r="V1277">
        <v>306479.98</v>
      </c>
      <c r="W1277" t="s">
        <v>182</v>
      </c>
      <c r="X1277" t="s">
        <v>280</v>
      </c>
    </row>
    <row r="1278" spans="1:27">
      <c r="A1278" t="s">
        <v>28</v>
      </c>
      <c r="B1278" t="s">
        <v>29</v>
      </c>
      <c r="C1278" t="s">
        <v>4412</v>
      </c>
      <c r="D1278" t="s">
        <v>4413</v>
      </c>
      <c r="E1278" t="s">
        <v>4414</v>
      </c>
      <c r="F1278" t="s">
        <v>41</v>
      </c>
      <c r="G1278">
        <v>0</v>
      </c>
      <c r="H1278">
        <f>((0/1000) * G1278)</f>
        <v>0</v>
      </c>
      <c r="I1278">
        <v>0</v>
      </c>
      <c r="J1278">
        <v>0</v>
      </c>
      <c r="K1278" s="5087">
        <v>153727.28</v>
      </c>
      <c r="L1278" s="5088">
        <f>(K1278 * G1278)</f>
        <v>0</v>
      </c>
      <c r="M1278" s="5089">
        <v>215218.19</v>
      </c>
      <c r="N1278" s="5090">
        <f>(G1278 * M1278)</f>
        <v>0</v>
      </c>
      <c r="O1278">
        <v>0</v>
      </c>
      <c r="P1278">
        <v>0</v>
      </c>
      <c r="Q1278">
        <f>IF(O1278&gt;G1278,(O1278-G1278),0)</f>
        <v>0</v>
      </c>
      <c r="R1278">
        <v>1</v>
      </c>
      <c r="S1278">
        <f>IF(Q1278&gt;0,Int(P1278/Q1278),0)</f>
        <v>0</v>
      </c>
      <c r="T1278">
        <f>25647.19</f>
        <v>25647.19</v>
      </c>
      <c r="U1278" t="s">
        <v>4415</v>
      </c>
      <c r="V1278">
        <v>153727.28</v>
      </c>
      <c r="W1278" t="s">
        <v>75</v>
      </c>
      <c r="X1278" t="s">
        <v>687</v>
      </c>
    </row>
    <row r="1279" spans="1:27">
      <c r="A1279" t="s">
        <v>28</v>
      </c>
      <c r="B1279" t="s">
        <v>29</v>
      </c>
      <c r="C1279" t="s">
        <v>4416</v>
      </c>
      <c r="D1279" t="s">
        <v>4417</v>
      </c>
      <c r="E1279" t="s">
        <v>4418</v>
      </c>
      <c r="F1279" t="s">
        <v>33</v>
      </c>
      <c r="G1279">
        <v>0</v>
      </c>
      <c r="H1279">
        <f>((0/1000) * G1279)</f>
        <v>0</v>
      </c>
      <c r="I1279">
        <v>0</v>
      </c>
      <c r="J1279">
        <v>0</v>
      </c>
      <c r="K1279" s="5091">
        <v>264255.76</v>
      </c>
      <c r="L1279" s="5092">
        <f>(K1279 * G1279)</f>
        <v>0</v>
      </c>
      <c r="M1279" s="5093">
        <v>369958.07</v>
      </c>
      <c r="N1279" s="5094">
        <f>(G1279 * M1279)</f>
        <v>0</v>
      </c>
      <c r="O1279">
        <v>0</v>
      </c>
      <c r="P1279">
        <v>0</v>
      </c>
      <c r="Q1279">
        <f>IF(O1279&gt;G1279,(O1279-G1279),0)</f>
        <v>0</v>
      </c>
      <c r="R1279">
        <v>1</v>
      </c>
      <c r="S1279">
        <f>IF(Q1279&gt;0,Int(P1279/Q1279),0)</f>
        <v>0</v>
      </c>
      <c r="T1279">
        <f>0</f>
        <v>0</v>
      </c>
      <c r="U1279"/>
      <c r="V1279">
        <v>264255.76</v>
      </c>
      <c r="W1279" t="s">
        <v>182</v>
      </c>
      <c r="X1279"/>
    </row>
    <row r="1280" spans="1:27">
      <c r="A1280" t="s">
        <v>28</v>
      </c>
      <c r="B1280" t="s">
        <v>29</v>
      </c>
      <c r="C1280" t="s">
        <v>4419</v>
      </c>
      <c r="D1280" t="s">
        <v>4420</v>
      </c>
      <c r="E1280" t="s">
        <v>4421</v>
      </c>
      <c r="F1280" t="s">
        <v>41</v>
      </c>
      <c r="G1280">
        <v>0</v>
      </c>
      <c r="H1280">
        <f>((0/1000) * G1280)</f>
        <v>0</v>
      </c>
      <c r="I1280">
        <v>0</v>
      </c>
      <c r="J1280">
        <v>0</v>
      </c>
      <c r="K1280" s="5095">
        <v>240619.18</v>
      </c>
      <c r="L1280" s="5096">
        <f>(K1280 * G1280)</f>
        <v>0</v>
      </c>
      <c r="M1280" s="5097">
        <v>336866.85</v>
      </c>
      <c r="N1280" s="5098">
        <f>(G1280 * M1280)</f>
        <v>0</v>
      </c>
      <c r="O1280">
        <v>0</v>
      </c>
      <c r="P1280">
        <v>0</v>
      </c>
      <c r="Q1280">
        <f>IF(O1280&gt;G1280,(O1280-G1280),0)</f>
        <v>0</v>
      </c>
      <c r="R1280">
        <v>1</v>
      </c>
      <c r="S1280">
        <f>IF(Q1280&gt;0,Int(P1280/Q1280),0)</f>
        <v>0</v>
      </c>
      <c r="T1280">
        <f>0</f>
        <v>0</v>
      </c>
      <c r="U1280"/>
      <c r="V1280">
        <v>240619.18</v>
      </c>
      <c r="W1280" t="s">
        <v>301</v>
      </c>
      <c r="X1280"/>
    </row>
    <row r="1281" spans="1:27">
      <c r="A1281" t="s">
        <v>28</v>
      </c>
      <c r="B1281" t="s">
        <v>29</v>
      </c>
      <c r="C1281" t="s">
        <v>4422</v>
      </c>
      <c r="D1281" t="s">
        <v>4423</v>
      </c>
      <c r="E1281" t="s">
        <v>4424</v>
      </c>
      <c r="F1281" t="s">
        <v>33</v>
      </c>
      <c r="G1281">
        <v>0</v>
      </c>
      <c r="H1281">
        <f>((0/1000) * G1281)</f>
        <v>0</v>
      </c>
      <c r="I1281">
        <v>0</v>
      </c>
      <c r="J1281">
        <v>0</v>
      </c>
      <c r="K1281" s="5099">
        <v>96179.47</v>
      </c>
      <c r="L1281" s="5100">
        <f>(K1281 * G1281)</f>
        <v>0</v>
      </c>
      <c r="M1281" s="5101">
        <v>134651.26</v>
      </c>
      <c r="N1281" s="5102">
        <f>(G1281 * M1281)</f>
        <v>0</v>
      </c>
      <c r="O1281">
        <v>0</v>
      </c>
      <c r="P1281">
        <v>0</v>
      </c>
      <c r="Q1281">
        <f>IF(O1281&gt;G1281,(O1281-G1281),0)</f>
        <v>0</v>
      </c>
      <c r="R1281">
        <v>1</v>
      </c>
      <c r="S1281">
        <f>IF(Q1281&gt;0,Int(P1281/Q1281),0)</f>
        <v>0</v>
      </c>
      <c r="T1281">
        <f>0</f>
        <v>0</v>
      </c>
      <c r="U1281"/>
      <c r="V1281">
        <v>96179.47</v>
      </c>
      <c r="W1281" t="s">
        <v>75</v>
      </c>
      <c r="X1281"/>
    </row>
    <row r="1282" spans="1:27">
      <c r="A1282" t="s">
        <v>28</v>
      </c>
      <c r="B1282" t="s">
        <v>29</v>
      </c>
      <c r="C1282" t="s">
        <v>4425</v>
      </c>
      <c r="D1282" t="s">
        <v>4426</v>
      </c>
      <c r="E1282" t="s">
        <v>4427</v>
      </c>
      <c r="F1282" t="s">
        <v>41</v>
      </c>
      <c r="G1282">
        <v>0</v>
      </c>
      <c r="H1282">
        <f>((0/1000) * G1282)</f>
        <v>0</v>
      </c>
      <c r="I1282">
        <v>0</v>
      </c>
      <c r="J1282">
        <v>0</v>
      </c>
      <c r="K1282" s="5103">
        <v>263884.3</v>
      </c>
      <c r="L1282" s="5104">
        <f>(K1282 * G1282)</f>
        <v>0</v>
      </c>
      <c r="M1282" s="5105">
        <v>290272.73</v>
      </c>
      <c r="N1282" s="5106">
        <f>(G1282 * M1282)</f>
        <v>0</v>
      </c>
      <c r="O1282">
        <v>0</v>
      </c>
      <c r="P1282">
        <v>0</v>
      </c>
      <c r="Q1282">
        <f>IF(O1282&gt;G1282,(O1282-G1282),0)</f>
        <v>0</v>
      </c>
      <c r="R1282">
        <v>1</v>
      </c>
      <c r="S1282">
        <f>IF(Q1282&gt;0,Int(P1282/Q1282),0)</f>
        <v>0</v>
      </c>
      <c r="T1282">
        <f>0</f>
        <v>0</v>
      </c>
      <c r="U1282"/>
      <c r="V1282">
        <v>263884.3</v>
      </c>
      <c r="W1282" t="s">
        <v>43</v>
      </c>
      <c r="X1282"/>
    </row>
    <row r="1283" spans="1:27">
      <c r="A1283" t="s">
        <v>28</v>
      </c>
      <c r="B1283" t="s">
        <v>29</v>
      </c>
      <c r="C1283" t="s">
        <v>4428</v>
      </c>
      <c r="D1283" t="s">
        <v>4429</v>
      </c>
      <c r="E1283" t="s">
        <v>4430</v>
      </c>
      <c r="F1283" t="s">
        <v>41</v>
      </c>
      <c r="G1283">
        <v>1</v>
      </c>
      <c r="H1283">
        <f>((0/1000) * G1283)</f>
        <v>0</v>
      </c>
      <c r="I1283">
        <v>0</v>
      </c>
      <c r="J1283">
        <v>1</v>
      </c>
      <c r="K1283" s="5107">
        <v>277468.55</v>
      </c>
      <c r="L1283" s="5108">
        <f>(K1283 * G1283)</f>
        <v>277468.55</v>
      </c>
      <c r="M1283" s="5109">
        <v>388455.98</v>
      </c>
      <c r="N1283" s="5110">
        <f>(G1283 * M1283)</f>
        <v>388455.98</v>
      </c>
      <c r="O1283">
        <v>0</v>
      </c>
      <c r="P1283">
        <v>0</v>
      </c>
      <c r="Q1283">
        <f>IF(O1283&gt;G1283,(O1283-G1283),0)</f>
        <v>0</v>
      </c>
      <c r="R1283">
        <v>1</v>
      </c>
      <c r="S1283">
        <f>IF(Q1283&gt;0,Int(P1283/Q1283),0)</f>
        <v>0</v>
      </c>
      <c r="T1283">
        <f>258216.2</f>
        <v>258216.2</v>
      </c>
      <c r="U1283" t="s">
        <v>4431</v>
      </c>
      <c r="V1283">
        <v>277468.55</v>
      </c>
      <c r="W1283" t="s">
        <v>182</v>
      </c>
      <c r="X1283"/>
    </row>
    <row r="1284" spans="1:27">
      <c r="A1284" t="s">
        <v>28</v>
      </c>
      <c r="B1284" t="s">
        <v>29</v>
      </c>
      <c r="C1284" t="s">
        <v>3340</v>
      </c>
      <c r="D1284" t="s">
        <v>4432</v>
      </c>
      <c r="E1284" t="s">
        <v>4433</v>
      </c>
      <c r="F1284" t="s">
        <v>33</v>
      </c>
      <c r="G1284">
        <v>0</v>
      </c>
      <c r="H1284">
        <f>((0/1000) * G1284)</f>
        <v>0</v>
      </c>
      <c r="I1284">
        <v>0</v>
      </c>
      <c r="J1284">
        <v>0</v>
      </c>
      <c r="K1284" s="5111">
        <v>214440.44</v>
      </c>
      <c r="L1284" s="5112">
        <f>(K1284 * G1284)</f>
        <v>0</v>
      </c>
      <c r="M1284" s="5113">
        <v>300216.62</v>
      </c>
      <c r="N1284" s="5114">
        <f>(G1284 * M1284)</f>
        <v>0</v>
      </c>
      <c r="O1284">
        <v>0</v>
      </c>
      <c r="P1284">
        <v>0</v>
      </c>
      <c r="Q1284">
        <f>IF(O1284&gt;G1284,(O1284-G1284),0)</f>
        <v>0</v>
      </c>
      <c r="R1284">
        <v>0</v>
      </c>
      <c r="S1284">
        <f>IF(Q1284&gt;0,Int(P1284/Q1284),0)</f>
        <v>0</v>
      </c>
      <c r="T1284">
        <f>0</f>
        <v>0</v>
      </c>
      <c r="U1284"/>
      <c r="V1284">
        <v>214440.44</v>
      </c>
      <c r="W1284" t="s">
        <v>75</v>
      </c>
      <c r="X1284"/>
    </row>
    <row r="1285" spans="1:27">
      <c r="A1285" t="s">
        <v>35</v>
      </c>
      <c r="B1285" t="s">
        <v>29</v>
      </c>
      <c r="C1285" t="s">
        <v>4434</v>
      </c>
      <c r="D1285" t="s">
        <v>4435</v>
      </c>
      <c r="E1285" t="s">
        <v>4436</v>
      </c>
      <c r="F1285" t="s">
        <v>33</v>
      </c>
      <c r="G1285">
        <v>2</v>
      </c>
      <c r="H1285">
        <f>((0/1000) * G1285)</f>
        <v>0</v>
      </c>
      <c r="I1285">
        <v>0</v>
      </c>
      <c r="J1285">
        <v>2</v>
      </c>
      <c r="K1285" s="5115">
        <v>228099.18</v>
      </c>
      <c r="L1285" s="5116">
        <f>(K1285 * G1285)</f>
        <v>456198.36</v>
      </c>
      <c r="M1285" s="5117">
        <v>250909.1</v>
      </c>
      <c r="N1285" s="5118">
        <f>(G1285 * M1285)</f>
        <v>501818.2</v>
      </c>
      <c r="O1285">
        <v>0</v>
      </c>
      <c r="P1285">
        <v>0</v>
      </c>
      <c r="Q1285">
        <f>IF(O1285&gt;G1285,(O1285-G1285),0)</f>
        <v>0</v>
      </c>
      <c r="R1285">
        <v>1</v>
      </c>
      <c r="S1285">
        <f>IF(Q1285&gt;0,Int(P1285/Q1285),0)</f>
        <v>0</v>
      </c>
      <c r="T1285">
        <f>228024.04</f>
        <v>228024.04</v>
      </c>
      <c r="U1285" t="s">
        <v>1115</v>
      </c>
      <c r="V1285">
        <v>228099.18</v>
      </c>
      <c r="W1285" t="s">
        <v>577</v>
      </c>
      <c r="X1285" t="s">
        <v>753</v>
      </c>
    </row>
    <row r="1286" spans="1:27">
      <c r="A1286" t="s">
        <v>28</v>
      </c>
      <c r="B1286" t="s">
        <v>29</v>
      </c>
      <c r="C1286" t="s">
        <v>4437</v>
      </c>
      <c r="D1286" t="s">
        <v>4438</v>
      </c>
      <c r="E1286" t="s">
        <v>4439</v>
      </c>
      <c r="F1286" t="s">
        <v>33</v>
      </c>
      <c r="G1286">
        <v>0</v>
      </c>
      <c r="H1286">
        <f>((0/1000) * G1286)</f>
        <v>0</v>
      </c>
      <c r="I1286">
        <v>0</v>
      </c>
      <c r="J1286">
        <v>0</v>
      </c>
      <c r="K1286" s="5119">
        <v>0</v>
      </c>
      <c r="L1286" s="5120">
        <f>(K1286 * G1286)</f>
        <v>0</v>
      </c>
      <c r="M1286" s="5121">
        <v>0</v>
      </c>
      <c r="N1286" s="5122">
        <f>(G1286 * M1286)</f>
        <v>0</v>
      </c>
      <c r="O1286">
        <v>0</v>
      </c>
      <c r="P1286">
        <v>0</v>
      </c>
      <c r="Q1286">
        <f>IF(O1286&gt;G1286,(O1286-G1286),0)</f>
        <v>0</v>
      </c>
      <c r="R1286">
        <v>1</v>
      </c>
      <c r="S1286">
        <f>IF(Q1286&gt;0,Int(P1286/Q1286),0)</f>
        <v>0</v>
      </c>
      <c r="T1286">
        <f>0</f>
        <v>0</v>
      </c>
      <c r="U1286"/>
      <c r="V1286">
        <v>0</v>
      </c>
      <c r="W1286">
        <v>0</v>
      </c>
      <c r="X1286"/>
    </row>
    <row r="1287" spans="1:27">
      <c r="A1287" t="s">
        <v>28</v>
      </c>
      <c r="B1287" t="s">
        <v>29</v>
      </c>
      <c r="C1287" t="s">
        <v>4440</v>
      </c>
      <c r="D1287" t="s">
        <v>4441</v>
      </c>
      <c r="E1287" t="s">
        <v>4442</v>
      </c>
      <c r="F1287" t="s">
        <v>33</v>
      </c>
      <c r="G1287">
        <v>0</v>
      </c>
      <c r="H1287">
        <f>((0/1000) * G1287)</f>
        <v>0</v>
      </c>
      <c r="I1287">
        <v>0</v>
      </c>
      <c r="J1287">
        <v>0</v>
      </c>
      <c r="K1287" s="5123">
        <v>197988.84</v>
      </c>
      <c r="L1287" s="5124">
        <f>(K1287 * G1287)</f>
        <v>0</v>
      </c>
      <c r="M1287" s="5125">
        <v>277184.37</v>
      </c>
      <c r="N1287" s="5126">
        <f>(G1287 * M1287)</f>
        <v>0</v>
      </c>
      <c r="O1287">
        <v>0</v>
      </c>
      <c r="P1287">
        <v>0</v>
      </c>
      <c r="Q1287">
        <f>IF(O1287&gt;G1287,(O1287-G1287),0)</f>
        <v>0</v>
      </c>
      <c r="R1287">
        <v>1</v>
      </c>
      <c r="S1287">
        <f>IF(Q1287&gt;0,Int(P1287/Q1287),0)</f>
        <v>0</v>
      </c>
      <c r="T1287">
        <f>0</f>
        <v>0</v>
      </c>
      <c r="U1287"/>
      <c r="V1287">
        <v>197988.84</v>
      </c>
      <c r="W1287" t="s">
        <v>75</v>
      </c>
      <c r="X1287"/>
    </row>
    <row r="1288" spans="1:27">
      <c r="A1288" t="s">
        <v>28</v>
      </c>
      <c r="B1288" t="s">
        <v>29</v>
      </c>
      <c r="C1288" t="s">
        <v>4443</v>
      </c>
      <c r="D1288" t="s">
        <v>4444</v>
      </c>
      <c r="E1288" t="s">
        <v>4445</v>
      </c>
      <c r="F1288" t="s">
        <v>33</v>
      </c>
      <c r="G1288">
        <v>0</v>
      </c>
      <c r="H1288">
        <f>((0/1000) * G1288)</f>
        <v>0</v>
      </c>
      <c r="I1288">
        <v>0</v>
      </c>
      <c r="J1288">
        <v>0</v>
      </c>
      <c r="K1288" s="5127">
        <v>49046.45</v>
      </c>
      <c r="L1288" s="5128">
        <f>(K1288 * G1288)</f>
        <v>0</v>
      </c>
      <c r="M1288" s="5129">
        <v>68665.03</v>
      </c>
      <c r="N1288" s="5130">
        <f>(G1288 * M1288)</f>
        <v>0</v>
      </c>
      <c r="O1288">
        <v>0</v>
      </c>
      <c r="P1288">
        <v>0</v>
      </c>
      <c r="Q1288">
        <f>IF(O1288&gt;G1288,(O1288-G1288),0)</f>
        <v>0</v>
      </c>
      <c r="R1288">
        <v>1</v>
      </c>
      <c r="S1288">
        <f>IF(Q1288&gt;0,Int(P1288/Q1288),0)</f>
        <v>0</v>
      </c>
      <c r="T1288">
        <f>0</f>
        <v>0</v>
      </c>
      <c r="U1288"/>
      <c r="V1288">
        <v>49046.45</v>
      </c>
      <c r="W1288" t="s">
        <v>75</v>
      </c>
      <c r="X1288"/>
    </row>
    <row r="1289" spans="1:27">
      <c r="A1289" t="s">
        <v>28</v>
      </c>
      <c r="B1289" t="s">
        <v>29</v>
      </c>
      <c r="C1289" t="s">
        <v>4446</v>
      </c>
      <c r="D1289" t="s">
        <v>4447</v>
      </c>
      <c r="E1289" t="s">
        <v>4448</v>
      </c>
      <c r="F1289" t="s">
        <v>33</v>
      </c>
      <c r="G1289">
        <v>0</v>
      </c>
      <c r="H1289">
        <f>((0/1000) * G1289)</f>
        <v>0</v>
      </c>
      <c r="I1289">
        <v>0</v>
      </c>
      <c r="J1289">
        <v>0</v>
      </c>
      <c r="K1289" s="5131">
        <v>266740.72</v>
      </c>
      <c r="L1289" s="5132">
        <f>(K1289 * G1289)</f>
        <v>0</v>
      </c>
      <c r="M1289" s="5133">
        <v>373437</v>
      </c>
      <c r="N1289" s="5134">
        <f>(G1289 * M1289)</f>
        <v>0</v>
      </c>
      <c r="O1289">
        <v>0</v>
      </c>
      <c r="P1289">
        <v>0</v>
      </c>
      <c r="Q1289">
        <f>IF(O1289&gt;G1289,(O1289-G1289),0)</f>
        <v>0</v>
      </c>
      <c r="R1289">
        <v>1</v>
      </c>
      <c r="S1289">
        <f>IF(Q1289&gt;0,Int(P1289/Q1289),0)</f>
        <v>0</v>
      </c>
      <c r="T1289">
        <f>311450.71</f>
        <v>311450.71</v>
      </c>
      <c r="U1289" t="s">
        <v>4449</v>
      </c>
      <c r="V1289">
        <v>266740.72</v>
      </c>
      <c r="W1289" t="s">
        <v>182</v>
      </c>
      <c r="X1289"/>
    </row>
    <row r="1290" spans="1:27">
      <c r="A1290" t="s">
        <v>28</v>
      </c>
      <c r="B1290" t="s">
        <v>29</v>
      </c>
      <c r="C1290" t="s">
        <v>4450</v>
      </c>
      <c r="D1290" t="s">
        <v>4451</v>
      </c>
      <c r="E1290" t="s">
        <v>4452</v>
      </c>
      <c r="F1290" t="s">
        <v>33</v>
      </c>
      <c r="G1290">
        <v>0</v>
      </c>
      <c r="H1290">
        <f>((0/1000) * G1290)</f>
        <v>0</v>
      </c>
      <c r="I1290">
        <v>0</v>
      </c>
      <c r="J1290">
        <v>0</v>
      </c>
      <c r="K1290" s="5135">
        <v>253403.71</v>
      </c>
      <c r="L1290" s="5136">
        <f>(K1290 * G1290)</f>
        <v>0</v>
      </c>
      <c r="M1290" s="5137">
        <v>354765.2</v>
      </c>
      <c r="N1290" s="5138">
        <f>(G1290 * M1290)</f>
        <v>0</v>
      </c>
      <c r="O1290">
        <v>0</v>
      </c>
      <c r="P1290">
        <v>0</v>
      </c>
      <c r="Q1290">
        <f>IF(O1290&gt;G1290,(O1290-G1290),0)</f>
        <v>0</v>
      </c>
      <c r="R1290">
        <v>1</v>
      </c>
      <c r="S1290">
        <f>IF(Q1290&gt;0,Int(P1290/Q1290),0)</f>
        <v>0</v>
      </c>
      <c r="T1290">
        <f>236702.58</f>
        <v>236702.58</v>
      </c>
      <c r="U1290" t="s">
        <v>4453</v>
      </c>
      <c r="V1290">
        <v>253403.71</v>
      </c>
      <c r="W1290" t="s">
        <v>182</v>
      </c>
      <c r="X1290"/>
    </row>
    <row r="1291" spans="1:27">
      <c r="A1291" t="s">
        <v>28</v>
      </c>
      <c r="B1291" t="s">
        <v>29</v>
      </c>
      <c r="C1291" t="s">
        <v>4454</v>
      </c>
      <c r="D1291" t="s">
        <v>4455</v>
      </c>
      <c r="E1291" t="s">
        <v>4456</v>
      </c>
      <c r="F1291" t="s">
        <v>33</v>
      </c>
      <c r="G1291">
        <v>0</v>
      </c>
      <c r="H1291">
        <f>((0/1000) * G1291)</f>
        <v>0</v>
      </c>
      <c r="I1291">
        <v>0</v>
      </c>
      <c r="J1291">
        <v>0</v>
      </c>
      <c r="K1291" s="5139">
        <v>84951.5</v>
      </c>
      <c r="L1291" s="5140">
        <f>(K1291 * G1291)</f>
        <v>0</v>
      </c>
      <c r="M1291" s="5141">
        <v>118932.11</v>
      </c>
      <c r="N1291" s="5142">
        <f>(G1291 * M1291)</f>
        <v>0</v>
      </c>
      <c r="O1291">
        <v>0</v>
      </c>
      <c r="P1291">
        <v>0</v>
      </c>
      <c r="Q1291">
        <f>IF(O1291&gt;G1291,(O1291-G1291),0)</f>
        <v>0</v>
      </c>
      <c r="R1291">
        <v>1</v>
      </c>
      <c r="S1291">
        <f>IF(Q1291&gt;0,Int(P1291/Q1291),0)</f>
        <v>0</v>
      </c>
      <c r="T1291">
        <f>0</f>
        <v>0</v>
      </c>
      <c r="U1291"/>
      <c r="V1291">
        <v>84951.5</v>
      </c>
      <c r="W1291" t="s">
        <v>75</v>
      </c>
      <c r="X1291"/>
    </row>
    <row r="1292" spans="1:27">
      <c r="A1292" t="s">
        <v>28</v>
      </c>
      <c r="B1292" t="s">
        <v>29</v>
      </c>
      <c r="C1292" t="s">
        <v>4457</v>
      </c>
      <c r="D1292" t="s">
        <v>4458</v>
      </c>
      <c r="E1292" t="s">
        <v>4459</v>
      </c>
      <c r="F1292" t="s">
        <v>41</v>
      </c>
      <c r="G1292">
        <v>0</v>
      </c>
      <c r="H1292">
        <f>((0/1000) * G1292)</f>
        <v>0</v>
      </c>
      <c r="I1292">
        <v>0</v>
      </c>
      <c r="J1292">
        <v>0</v>
      </c>
      <c r="K1292" s="5143">
        <v>134454.55</v>
      </c>
      <c r="L1292" s="5144">
        <f>(K1292 * G1292)</f>
        <v>0</v>
      </c>
      <c r="M1292" s="5145">
        <v>188236.37</v>
      </c>
      <c r="N1292" s="5146">
        <f>(G1292 * M1292)</f>
        <v>0</v>
      </c>
      <c r="O1292">
        <v>0</v>
      </c>
      <c r="P1292">
        <v>0</v>
      </c>
      <c r="Q1292">
        <f>IF(O1292&gt;G1292,(O1292-G1292),0)</f>
        <v>0</v>
      </c>
      <c r="R1292">
        <v>1</v>
      </c>
      <c r="S1292">
        <f>IF(Q1292&gt;0,Int(P1292/Q1292),0)</f>
        <v>0</v>
      </c>
      <c r="T1292">
        <f>0</f>
        <v>0</v>
      </c>
      <c r="U1292"/>
      <c r="V1292">
        <v>134454.55</v>
      </c>
      <c r="W1292" t="s">
        <v>75</v>
      </c>
      <c r="X1292"/>
    </row>
    <row r="1293" spans="1:27">
      <c r="A1293" t="s">
        <v>28</v>
      </c>
      <c r="B1293" t="s">
        <v>29</v>
      </c>
      <c r="C1293" t="s">
        <v>4460</v>
      </c>
      <c r="D1293" t="s">
        <v>4461</v>
      </c>
      <c r="E1293" t="s">
        <v>4462</v>
      </c>
      <c r="F1293" t="s">
        <v>33</v>
      </c>
      <c r="G1293">
        <v>0</v>
      </c>
      <c r="H1293">
        <f>((0/1000) * G1293)</f>
        <v>0</v>
      </c>
      <c r="I1293">
        <v>0</v>
      </c>
      <c r="J1293">
        <v>0</v>
      </c>
      <c r="K1293" s="5147">
        <v>211079.79</v>
      </c>
      <c r="L1293" s="5148">
        <f>(K1293 * G1293)</f>
        <v>0</v>
      </c>
      <c r="M1293" s="5149">
        <v>295511.7</v>
      </c>
      <c r="N1293" s="5150">
        <f>(G1293 * M1293)</f>
        <v>0</v>
      </c>
      <c r="O1293">
        <v>0</v>
      </c>
      <c r="P1293">
        <v>0</v>
      </c>
      <c r="Q1293">
        <f>IF(O1293&gt;G1293,(O1293-G1293),0)</f>
        <v>0</v>
      </c>
      <c r="R1293">
        <v>1</v>
      </c>
      <c r="S1293">
        <f>IF(Q1293&gt;0,Int(P1293/Q1293),0)</f>
        <v>0</v>
      </c>
      <c r="T1293">
        <f>0</f>
        <v>0</v>
      </c>
      <c r="U1293"/>
      <c r="V1293">
        <v>211079.79</v>
      </c>
      <c r="W1293" t="s">
        <v>301</v>
      </c>
      <c r="X1293"/>
    </row>
    <row r="1294" spans="1:27">
      <c r="A1294" t="s">
        <v>28</v>
      </c>
      <c r="B1294" t="s">
        <v>29</v>
      </c>
      <c r="C1294" t="s">
        <v>4463</v>
      </c>
      <c r="D1294" t="s">
        <v>4464</v>
      </c>
      <c r="E1294" t="s">
        <v>4465</v>
      </c>
      <c r="F1294" t="s">
        <v>41</v>
      </c>
      <c r="G1294">
        <v>4</v>
      </c>
      <c r="H1294">
        <f>((0/1000) * G1294)</f>
        <v>0</v>
      </c>
      <c r="I1294">
        <v>0</v>
      </c>
      <c r="J1294">
        <v>4</v>
      </c>
      <c r="K1294" s="5151">
        <v>285785.13</v>
      </c>
      <c r="L1294" s="5152">
        <f>(K1294 * G1294)</f>
        <v>1143140.52</v>
      </c>
      <c r="M1294" s="5153">
        <v>314363.63</v>
      </c>
      <c r="N1294" s="5154">
        <f>(G1294 * M1294)</f>
        <v>1257454.52</v>
      </c>
      <c r="O1294">
        <v>0</v>
      </c>
      <c r="P1294">
        <v>0</v>
      </c>
      <c r="Q1294">
        <f>IF(O1294&gt;G1294,(O1294-G1294),0)</f>
        <v>0</v>
      </c>
      <c r="R1294">
        <v>1</v>
      </c>
      <c r="S1294">
        <f>IF(Q1294&gt;0,Int(P1294/Q1294),0)</f>
        <v>0</v>
      </c>
      <c r="T1294">
        <f>259804.66</f>
        <v>259804.66</v>
      </c>
      <c r="U1294" t="s">
        <v>4466</v>
      </c>
      <c r="V1294">
        <v>285785.13</v>
      </c>
      <c r="W1294" t="s">
        <v>43</v>
      </c>
      <c r="X1294" t="s">
        <v>418</v>
      </c>
    </row>
    <row r="1295" spans="1:27">
      <c r="A1295" t="s">
        <v>28</v>
      </c>
      <c r="B1295" t="s">
        <v>29</v>
      </c>
      <c r="C1295" t="s">
        <v>4467</v>
      </c>
      <c r="D1295" t="s">
        <v>4468</v>
      </c>
      <c r="E1295" t="s">
        <v>4469</v>
      </c>
      <c r="F1295" t="s">
        <v>33</v>
      </c>
      <c r="G1295">
        <v>0</v>
      </c>
      <c r="H1295">
        <f>((0/1000) * G1295)</f>
        <v>0</v>
      </c>
      <c r="I1295">
        <v>0</v>
      </c>
      <c r="J1295">
        <v>0</v>
      </c>
      <c r="K1295" s="5155">
        <v>312688.45</v>
      </c>
      <c r="L1295" s="5156">
        <f>(K1295 * G1295)</f>
        <v>0</v>
      </c>
      <c r="M1295" s="5157">
        <v>437763.84</v>
      </c>
      <c r="N1295" s="5158">
        <f>(G1295 * M1295)</f>
        <v>0</v>
      </c>
      <c r="O1295">
        <v>0</v>
      </c>
      <c r="P1295">
        <v>0</v>
      </c>
      <c r="Q1295">
        <f>IF(O1295&gt;G1295,(O1295-G1295),0)</f>
        <v>0</v>
      </c>
      <c r="R1295">
        <v>1</v>
      </c>
      <c r="S1295">
        <f>IF(Q1295&gt;0,Int(P1295/Q1295),0)</f>
        <v>0</v>
      </c>
      <c r="T1295">
        <f>0</f>
        <v>0</v>
      </c>
      <c r="U1295"/>
      <c r="V1295">
        <v>312688.45</v>
      </c>
      <c r="W1295" t="s">
        <v>182</v>
      </c>
      <c r="X1295"/>
    </row>
    <row r="1296" spans="1:27">
      <c r="A1296" t="s">
        <v>35</v>
      </c>
      <c r="B1296" t="s">
        <v>29</v>
      </c>
      <c r="C1296" t="s">
        <v>4470</v>
      </c>
      <c r="D1296" t="s">
        <v>4470</v>
      </c>
      <c r="E1296" t="s">
        <v>4471</v>
      </c>
      <c r="F1296" t="s">
        <v>33</v>
      </c>
      <c r="G1296">
        <v>0</v>
      </c>
      <c r="H1296">
        <f>((1/1000) * G1296)</f>
        <v>0</v>
      </c>
      <c r="I1296">
        <v>0</v>
      </c>
      <c r="J1296">
        <v>0</v>
      </c>
      <c r="K1296" s="5159">
        <v>0</v>
      </c>
      <c r="L1296" s="5160">
        <f>(K1296 * G1296)</f>
        <v>0</v>
      </c>
      <c r="M1296" s="5161">
        <v>0</v>
      </c>
      <c r="N1296" s="5162">
        <f>(G1296 * M1296)</f>
        <v>0</v>
      </c>
      <c r="O1296">
        <v>0</v>
      </c>
      <c r="P1296">
        <v>0</v>
      </c>
      <c r="Q1296">
        <f>IF(O1296&gt;G1296,(O1296-G1296),0)</f>
        <v>0</v>
      </c>
      <c r="R1296">
        <v>0</v>
      </c>
      <c r="S1296">
        <f>IF(Q1296&gt;0,Int(P1296/Q1296),0)</f>
        <v>0</v>
      </c>
      <c r="T1296">
        <f>0</f>
        <v>0</v>
      </c>
      <c r="U1296"/>
      <c r="V1296">
        <v>0</v>
      </c>
      <c r="W1296">
        <v>0</v>
      </c>
      <c r="X1296"/>
    </row>
    <row r="1297" spans="1:27">
      <c r="A1297" t="s">
        <v>35</v>
      </c>
      <c r="B1297" t="s">
        <v>29</v>
      </c>
      <c r="C1297" t="s">
        <v>4472</v>
      </c>
      <c r="D1297" t="s">
        <v>4472</v>
      </c>
      <c r="E1297" t="s">
        <v>4473</v>
      </c>
      <c r="F1297" t="s">
        <v>33</v>
      </c>
      <c r="G1297">
        <v>0</v>
      </c>
      <c r="H1297">
        <f>((1/1000) * G1297)</f>
        <v>0</v>
      </c>
      <c r="I1297">
        <v>0</v>
      </c>
      <c r="J1297">
        <v>0</v>
      </c>
      <c r="K1297" s="5163">
        <v>0</v>
      </c>
      <c r="L1297" s="5164">
        <f>(K1297 * G1297)</f>
        <v>0</v>
      </c>
      <c r="M1297" s="5165">
        <v>0</v>
      </c>
      <c r="N1297" s="5166">
        <f>(G1297 * M1297)</f>
        <v>0</v>
      </c>
      <c r="O1297">
        <v>0</v>
      </c>
      <c r="P1297">
        <v>0</v>
      </c>
      <c r="Q1297">
        <f>IF(O1297&gt;G1297,(O1297-G1297),0)</f>
        <v>0</v>
      </c>
      <c r="R1297">
        <v>0</v>
      </c>
      <c r="S1297">
        <f>IF(Q1297&gt;0,Int(P1297/Q1297),0)</f>
        <v>0</v>
      </c>
      <c r="T1297">
        <f>0</f>
        <v>0</v>
      </c>
      <c r="U1297"/>
      <c r="V1297">
        <v>0</v>
      </c>
      <c r="W1297">
        <v>0</v>
      </c>
      <c r="X1297"/>
    </row>
    <row r="1298" spans="1:27">
      <c r="A1298" t="s">
        <v>35</v>
      </c>
      <c r="B1298" t="s">
        <v>29</v>
      </c>
      <c r="C1298" t="s">
        <v>4474</v>
      </c>
      <c r="D1298" t="s">
        <v>4474</v>
      </c>
      <c r="E1298" t="s">
        <v>4475</v>
      </c>
      <c r="F1298" t="s">
        <v>33</v>
      </c>
      <c r="G1298">
        <v>0</v>
      </c>
      <c r="H1298">
        <f>((1/1000) * G1298)</f>
        <v>0</v>
      </c>
      <c r="I1298">
        <v>0</v>
      </c>
      <c r="J1298">
        <v>0</v>
      </c>
      <c r="K1298" s="5167">
        <v>0</v>
      </c>
      <c r="L1298" s="5168">
        <f>(K1298 * G1298)</f>
        <v>0</v>
      </c>
      <c r="M1298" s="5169">
        <v>0</v>
      </c>
      <c r="N1298" s="5170">
        <f>(G1298 * M1298)</f>
        <v>0</v>
      </c>
      <c r="O1298">
        <v>0</v>
      </c>
      <c r="P1298">
        <v>0</v>
      </c>
      <c r="Q1298">
        <f>IF(O1298&gt;G1298,(O1298-G1298),0)</f>
        <v>0</v>
      </c>
      <c r="R1298">
        <v>0</v>
      </c>
      <c r="S1298">
        <f>IF(Q1298&gt;0,Int(P1298/Q1298),0)</f>
        <v>0</v>
      </c>
      <c r="T1298">
        <f>0</f>
        <v>0</v>
      </c>
      <c r="U1298"/>
      <c r="V1298">
        <v>0</v>
      </c>
      <c r="W1298">
        <v>0</v>
      </c>
      <c r="X1298"/>
    </row>
    <row r="1299" spans="1:27">
      <c r="A1299" t="s">
        <v>35</v>
      </c>
      <c r="B1299" t="s">
        <v>29</v>
      </c>
      <c r="C1299" t="s">
        <v>4476</v>
      </c>
      <c r="D1299" t="s">
        <v>4476</v>
      </c>
      <c r="E1299" t="s">
        <v>4477</v>
      </c>
      <c r="F1299" t="s">
        <v>33</v>
      </c>
      <c r="G1299">
        <v>0</v>
      </c>
      <c r="H1299">
        <f>((1/1000) * G1299)</f>
        <v>0</v>
      </c>
      <c r="I1299">
        <v>0</v>
      </c>
      <c r="J1299">
        <v>0</v>
      </c>
      <c r="K1299" s="5171">
        <v>0</v>
      </c>
      <c r="L1299" s="5172">
        <f>(K1299 * G1299)</f>
        <v>0</v>
      </c>
      <c r="M1299" s="5173">
        <v>0</v>
      </c>
      <c r="N1299" s="5174">
        <f>(G1299 * M1299)</f>
        <v>0</v>
      </c>
      <c r="O1299">
        <v>0</v>
      </c>
      <c r="P1299">
        <v>0</v>
      </c>
      <c r="Q1299">
        <f>IF(O1299&gt;G1299,(O1299-G1299),0)</f>
        <v>0</v>
      </c>
      <c r="R1299">
        <v>0</v>
      </c>
      <c r="S1299">
        <f>IF(Q1299&gt;0,Int(P1299/Q1299),0)</f>
        <v>0</v>
      </c>
      <c r="T1299">
        <f>0</f>
        <v>0</v>
      </c>
      <c r="U1299"/>
      <c r="V1299">
        <v>0</v>
      </c>
      <c r="W1299">
        <v>0</v>
      </c>
      <c r="X1299"/>
    </row>
    <row r="1300" spans="1:27">
      <c r="A1300" t="s">
        <v>35</v>
      </c>
      <c r="B1300" t="s">
        <v>29</v>
      </c>
      <c r="C1300" t="s">
        <v>4478</v>
      </c>
      <c r="D1300" t="s">
        <v>4478</v>
      </c>
      <c r="E1300" t="s">
        <v>4479</v>
      </c>
      <c r="F1300" t="s">
        <v>33</v>
      </c>
      <c r="G1300">
        <v>0</v>
      </c>
      <c r="H1300">
        <f>((1/1000) * G1300)</f>
        <v>0</v>
      </c>
      <c r="I1300">
        <v>0</v>
      </c>
      <c r="J1300">
        <v>0</v>
      </c>
      <c r="K1300" s="5175">
        <v>0</v>
      </c>
      <c r="L1300" s="5176">
        <f>(K1300 * G1300)</f>
        <v>0</v>
      </c>
      <c r="M1300" s="5177">
        <v>0</v>
      </c>
      <c r="N1300" s="5178">
        <f>(G1300 * M1300)</f>
        <v>0</v>
      </c>
      <c r="O1300">
        <v>0</v>
      </c>
      <c r="P1300">
        <v>0</v>
      </c>
      <c r="Q1300">
        <f>IF(O1300&gt;G1300,(O1300-G1300),0)</f>
        <v>0</v>
      </c>
      <c r="R1300">
        <v>0</v>
      </c>
      <c r="S1300">
        <f>IF(Q1300&gt;0,Int(P1300/Q1300),0)</f>
        <v>0</v>
      </c>
      <c r="T1300">
        <f>0</f>
        <v>0</v>
      </c>
      <c r="U1300"/>
      <c r="V1300">
        <v>0</v>
      </c>
      <c r="W1300">
        <v>0</v>
      </c>
      <c r="X1300"/>
    </row>
    <row r="1301" spans="1:27">
      <c r="A1301" t="s">
        <v>28</v>
      </c>
      <c r="B1301" t="s">
        <v>29</v>
      </c>
      <c r="C1301" t="s">
        <v>4480</v>
      </c>
      <c r="D1301" t="s">
        <v>4481</v>
      </c>
      <c r="E1301" t="s">
        <v>4482</v>
      </c>
      <c r="F1301" t="s">
        <v>33</v>
      </c>
      <c r="G1301">
        <v>0</v>
      </c>
      <c r="H1301">
        <f>((0/1000) * G1301)</f>
        <v>0</v>
      </c>
      <c r="I1301">
        <v>0</v>
      </c>
      <c r="J1301">
        <v>0</v>
      </c>
      <c r="K1301" s="5179">
        <v>180909.09</v>
      </c>
      <c r="L1301" s="5180">
        <f>(K1301 * G1301)</f>
        <v>0</v>
      </c>
      <c r="M1301" s="5181">
        <v>199000</v>
      </c>
      <c r="N1301" s="5182">
        <f>(G1301 * M1301)</f>
        <v>0</v>
      </c>
      <c r="O1301">
        <v>0</v>
      </c>
      <c r="P1301">
        <v>0</v>
      </c>
      <c r="Q1301">
        <f>IF(O1301&gt;G1301,(O1301-G1301),0)</f>
        <v>0</v>
      </c>
      <c r="R1301">
        <v>1</v>
      </c>
      <c r="S1301">
        <f>IF(Q1301&gt;0,Int(P1301/Q1301),0)</f>
        <v>0</v>
      </c>
      <c r="T1301">
        <f>122877.54</f>
        <v>122877.54</v>
      </c>
      <c r="U1301" t="s">
        <v>514</v>
      </c>
      <c r="V1301">
        <v>180909.09</v>
      </c>
      <c r="W1301" t="s">
        <v>43</v>
      </c>
      <c r="X1301"/>
    </row>
    <row r="1302" spans="1:27">
      <c r="A1302" t="s">
        <v>28</v>
      </c>
      <c r="B1302" t="s">
        <v>29</v>
      </c>
      <c r="C1302" t="s">
        <v>4483</v>
      </c>
      <c r="D1302" t="s">
        <v>4484</v>
      </c>
      <c r="E1302" t="s">
        <v>4485</v>
      </c>
      <c r="F1302" t="s">
        <v>33</v>
      </c>
      <c r="G1302">
        <v>0</v>
      </c>
      <c r="H1302">
        <f>((0/1000) * G1302)</f>
        <v>0</v>
      </c>
      <c r="I1302">
        <v>0</v>
      </c>
      <c r="J1302">
        <v>0</v>
      </c>
      <c r="K1302" s="5183">
        <v>70514.52</v>
      </c>
      <c r="L1302" s="5184">
        <f>(K1302 * G1302)</f>
        <v>0</v>
      </c>
      <c r="M1302" s="5185">
        <v>98720.33</v>
      </c>
      <c r="N1302" s="5186">
        <f>(G1302 * M1302)</f>
        <v>0</v>
      </c>
      <c r="O1302">
        <v>0</v>
      </c>
      <c r="P1302">
        <v>0</v>
      </c>
      <c r="Q1302">
        <f>IF(O1302&gt;G1302,(O1302-G1302),0)</f>
        <v>0</v>
      </c>
      <c r="R1302">
        <v>1</v>
      </c>
      <c r="S1302">
        <f>IF(Q1302&gt;0,Int(P1302/Q1302),0)</f>
        <v>0</v>
      </c>
      <c r="T1302">
        <f>0</f>
        <v>0</v>
      </c>
      <c r="U1302"/>
      <c r="V1302">
        <v>70514.52</v>
      </c>
      <c r="W1302" t="s">
        <v>75</v>
      </c>
      <c r="X1302"/>
    </row>
    <row r="1303" spans="1:27">
      <c r="A1303" t="s">
        <v>28</v>
      </c>
      <c r="B1303" t="s">
        <v>29</v>
      </c>
      <c r="C1303" t="s">
        <v>4486</v>
      </c>
      <c r="D1303" t="s">
        <v>4487</v>
      </c>
      <c r="E1303" t="s">
        <v>4488</v>
      </c>
      <c r="F1303" t="s">
        <v>41</v>
      </c>
      <c r="G1303">
        <v>0</v>
      </c>
      <c r="H1303">
        <f>((0/1000) * G1303)</f>
        <v>0</v>
      </c>
      <c r="I1303">
        <v>0</v>
      </c>
      <c r="J1303">
        <v>0</v>
      </c>
      <c r="K1303" s="5187">
        <v>316278.66</v>
      </c>
      <c r="L1303" s="5188">
        <f>(K1303 * G1303)</f>
        <v>0</v>
      </c>
      <c r="M1303" s="5189">
        <v>442790.13</v>
      </c>
      <c r="N1303" s="5190">
        <f>(G1303 * M1303)</f>
        <v>0</v>
      </c>
      <c r="O1303">
        <v>0</v>
      </c>
      <c r="P1303">
        <v>0</v>
      </c>
      <c r="Q1303">
        <f>IF(O1303&gt;G1303,(O1303-G1303),0)</f>
        <v>0</v>
      </c>
      <c r="R1303">
        <v>1</v>
      </c>
      <c r="S1303">
        <f>IF(Q1303&gt;0,Int(P1303/Q1303),0)</f>
        <v>0</v>
      </c>
      <c r="T1303">
        <f>188054.09</f>
        <v>188054.09</v>
      </c>
      <c r="U1303" t="s">
        <v>4489</v>
      </c>
      <c r="V1303">
        <v>316278.66</v>
      </c>
      <c r="W1303" t="s">
        <v>182</v>
      </c>
      <c r="X1303"/>
    </row>
    <row r="1304" spans="1:27">
      <c r="A1304" t="s">
        <v>28</v>
      </c>
      <c r="B1304" t="s">
        <v>29</v>
      </c>
      <c r="C1304" t="s">
        <v>4490</v>
      </c>
      <c r="D1304" t="s">
        <v>4491</v>
      </c>
      <c r="E1304" t="s">
        <v>4492</v>
      </c>
      <c r="F1304" t="s">
        <v>41</v>
      </c>
      <c r="G1304">
        <v>0</v>
      </c>
      <c r="H1304">
        <f>((0/1000) * G1304)</f>
        <v>0</v>
      </c>
      <c r="I1304">
        <v>0</v>
      </c>
      <c r="J1304">
        <v>0</v>
      </c>
      <c r="K1304" s="5191">
        <v>302128.9</v>
      </c>
      <c r="L1304" s="5192">
        <f>(K1304 * G1304)</f>
        <v>0</v>
      </c>
      <c r="M1304" s="5193">
        <v>422980.46</v>
      </c>
      <c r="N1304" s="5194">
        <f>(G1304 * M1304)</f>
        <v>0</v>
      </c>
      <c r="O1304">
        <v>0</v>
      </c>
      <c r="P1304">
        <v>0</v>
      </c>
      <c r="Q1304">
        <f>IF(O1304&gt;G1304,(O1304-G1304),0)</f>
        <v>0</v>
      </c>
      <c r="R1304">
        <v>1</v>
      </c>
      <c r="S1304">
        <f>IF(Q1304&gt;0,Int(P1304/Q1304),0)</f>
        <v>0</v>
      </c>
      <c r="T1304">
        <f>240871.53</f>
        <v>240871.53</v>
      </c>
      <c r="U1304" t="s">
        <v>4493</v>
      </c>
      <c r="V1304">
        <v>302128.9</v>
      </c>
      <c r="W1304" t="s">
        <v>75</v>
      </c>
      <c r="X1304"/>
    </row>
    <row r="1305" spans="1:27">
      <c r="A1305" t="s">
        <v>28</v>
      </c>
      <c r="B1305" t="s">
        <v>29</v>
      </c>
      <c r="C1305" t="s">
        <v>4494</v>
      </c>
      <c r="D1305" t="s">
        <v>4495</v>
      </c>
      <c r="E1305" t="s">
        <v>4496</v>
      </c>
      <c r="F1305" t="s">
        <v>33</v>
      </c>
      <c r="G1305">
        <v>0</v>
      </c>
      <c r="H1305">
        <f>((0/1000) * G1305)</f>
        <v>0</v>
      </c>
      <c r="I1305">
        <v>0</v>
      </c>
      <c r="J1305">
        <v>0</v>
      </c>
      <c r="K1305" s="5195">
        <v>273985.76</v>
      </c>
      <c r="L1305" s="5196">
        <f>(K1305 * G1305)</f>
        <v>0</v>
      </c>
      <c r="M1305" s="5197">
        <v>383580.07</v>
      </c>
      <c r="N1305" s="5198">
        <f>(G1305 * M1305)</f>
        <v>0</v>
      </c>
      <c r="O1305">
        <v>0</v>
      </c>
      <c r="P1305">
        <v>0</v>
      </c>
      <c r="Q1305">
        <f>IF(O1305&gt;G1305,(O1305-G1305),0)</f>
        <v>0</v>
      </c>
      <c r="R1305">
        <v>1</v>
      </c>
      <c r="S1305">
        <f>IF(Q1305&gt;0,Int(P1305/Q1305),0)</f>
        <v>0</v>
      </c>
      <c r="T1305">
        <f>261615.43</f>
        <v>261615.43</v>
      </c>
      <c r="U1305" t="s">
        <v>4497</v>
      </c>
      <c r="V1305">
        <v>273985.76</v>
      </c>
      <c r="W1305" t="s">
        <v>182</v>
      </c>
      <c r="X1305"/>
    </row>
    <row r="1306" spans="1:27">
      <c r="A1306" t="s">
        <v>35</v>
      </c>
      <c r="B1306" t="s">
        <v>29</v>
      </c>
      <c r="C1306" t="s">
        <v>4498</v>
      </c>
      <c r="D1306" t="s">
        <v>4499</v>
      </c>
      <c r="E1306" t="s">
        <v>4500</v>
      </c>
      <c r="F1306" t="s">
        <v>33</v>
      </c>
      <c r="G1306">
        <v>0</v>
      </c>
      <c r="H1306">
        <f>((0/1000) * G1306)</f>
        <v>0</v>
      </c>
      <c r="I1306">
        <v>0</v>
      </c>
      <c r="J1306">
        <v>0</v>
      </c>
      <c r="K1306" s="5199">
        <v>47540.21</v>
      </c>
      <c r="L1306" s="5200">
        <f>(K1306 * G1306)</f>
        <v>0</v>
      </c>
      <c r="M1306" s="5201">
        <v>66556.3</v>
      </c>
      <c r="N1306" s="5202">
        <f>(G1306 * M1306)</f>
        <v>0</v>
      </c>
      <c r="O1306">
        <v>0</v>
      </c>
      <c r="P1306">
        <v>0</v>
      </c>
      <c r="Q1306">
        <f>IF(O1306&gt;G1306,(O1306-G1306),0)</f>
        <v>0</v>
      </c>
      <c r="R1306">
        <v>1</v>
      </c>
      <c r="S1306">
        <f>IF(Q1306&gt;0,Int(P1306/Q1306),0)</f>
        <v>0</v>
      </c>
      <c r="T1306">
        <f>0</f>
        <v>0</v>
      </c>
      <c r="U1306"/>
      <c r="V1306">
        <v>47540.21</v>
      </c>
      <c r="W1306" t="s">
        <v>75</v>
      </c>
      <c r="X1306"/>
    </row>
    <row r="1307" spans="1:27">
      <c r="A1307" t="s">
        <v>35</v>
      </c>
      <c r="B1307" t="s">
        <v>29</v>
      </c>
      <c r="C1307" t="s">
        <v>4501</v>
      </c>
      <c r="D1307" t="s">
        <v>4502</v>
      </c>
      <c r="E1307" t="s">
        <v>4503</v>
      </c>
      <c r="F1307" t="s">
        <v>33</v>
      </c>
      <c r="G1307">
        <v>0</v>
      </c>
      <c r="H1307">
        <f>((0/1000) * G1307)</f>
        <v>0</v>
      </c>
      <c r="I1307">
        <v>0</v>
      </c>
      <c r="J1307">
        <v>0</v>
      </c>
      <c r="K1307" s="5203">
        <v>221448.27</v>
      </c>
      <c r="L1307" s="5204">
        <f>(K1307 * G1307)</f>
        <v>0</v>
      </c>
      <c r="M1307" s="5205">
        <v>310027.58</v>
      </c>
      <c r="N1307" s="5206">
        <f>(G1307 * M1307)</f>
        <v>0</v>
      </c>
      <c r="O1307">
        <v>0</v>
      </c>
      <c r="P1307">
        <v>0</v>
      </c>
      <c r="Q1307">
        <f>IF(O1307&gt;G1307,(O1307-G1307),0)</f>
        <v>0</v>
      </c>
      <c r="R1307">
        <v>1</v>
      </c>
      <c r="S1307">
        <f>IF(Q1307&gt;0,Int(P1307/Q1307),0)</f>
        <v>0</v>
      </c>
      <c r="T1307">
        <f>61157.03</f>
        <v>61157.03</v>
      </c>
      <c r="U1307" t="s">
        <v>4504</v>
      </c>
      <c r="V1307">
        <v>221448.27</v>
      </c>
      <c r="W1307" t="s">
        <v>75</v>
      </c>
      <c r="X1307"/>
    </row>
    <row r="1308" spans="1:27">
      <c r="A1308" t="s">
        <v>28</v>
      </c>
      <c r="B1308" t="s">
        <v>29</v>
      </c>
      <c r="C1308" t="s">
        <v>4505</v>
      </c>
      <c r="D1308" t="s">
        <v>4506</v>
      </c>
      <c r="E1308" t="s">
        <v>4507</v>
      </c>
      <c r="F1308" t="s">
        <v>41</v>
      </c>
      <c r="G1308">
        <v>0</v>
      </c>
      <c r="H1308">
        <f>((0/1000) * G1308)</f>
        <v>0</v>
      </c>
      <c r="I1308">
        <v>0</v>
      </c>
      <c r="J1308">
        <v>0</v>
      </c>
      <c r="K1308" s="5207">
        <v>121398.36</v>
      </c>
      <c r="L1308" s="5208">
        <f>(K1308 * G1308)</f>
        <v>0</v>
      </c>
      <c r="M1308" s="5209">
        <v>169957.7</v>
      </c>
      <c r="N1308" s="5210">
        <f>(G1308 * M1308)</f>
        <v>0</v>
      </c>
      <c r="O1308">
        <v>0</v>
      </c>
      <c r="P1308">
        <v>0</v>
      </c>
      <c r="Q1308">
        <f>IF(O1308&gt;G1308,(O1308-G1308),0)</f>
        <v>0</v>
      </c>
      <c r="R1308">
        <v>1</v>
      </c>
      <c r="S1308">
        <f>IF(Q1308&gt;0,Int(P1308/Q1308),0)</f>
        <v>0</v>
      </c>
      <c r="T1308">
        <f>120528.92</f>
        <v>120528.92</v>
      </c>
      <c r="U1308" t="s">
        <v>4508</v>
      </c>
      <c r="V1308">
        <v>121398.36</v>
      </c>
      <c r="W1308" t="s">
        <v>75</v>
      </c>
      <c r="X1308"/>
    </row>
    <row r="1309" spans="1:27">
      <c r="A1309" t="s">
        <v>28</v>
      </c>
      <c r="B1309" t="s">
        <v>29</v>
      </c>
      <c r="C1309" t="s">
        <v>4509</v>
      </c>
      <c r="D1309" t="s">
        <v>4510</v>
      </c>
      <c r="E1309" t="s">
        <v>4511</v>
      </c>
      <c r="F1309" t="s">
        <v>33</v>
      </c>
      <c r="G1309">
        <v>0</v>
      </c>
      <c r="H1309">
        <f>((0/1000) * G1309)</f>
        <v>0</v>
      </c>
      <c r="I1309">
        <v>0</v>
      </c>
      <c r="J1309">
        <v>0</v>
      </c>
      <c r="K1309" s="5211">
        <v>177997.97</v>
      </c>
      <c r="L1309" s="5212">
        <f>(K1309 * G1309)</f>
        <v>0</v>
      </c>
      <c r="M1309" s="5213">
        <v>231397.36</v>
      </c>
      <c r="N1309" s="5214">
        <f>(G1309 * M1309)</f>
        <v>0</v>
      </c>
      <c r="O1309">
        <v>0</v>
      </c>
      <c r="P1309">
        <v>0</v>
      </c>
      <c r="Q1309">
        <f>IF(O1309&gt;G1309,(O1309-G1309),0)</f>
        <v>0</v>
      </c>
      <c r="R1309">
        <v>1</v>
      </c>
      <c r="S1309">
        <f>IF(Q1309&gt;0,Int(P1309/Q1309),0)</f>
        <v>0</v>
      </c>
      <c r="T1309">
        <f>177997.97</f>
        <v>177997.97</v>
      </c>
      <c r="U1309" t="s">
        <v>4512</v>
      </c>
      <c r="V1309">
        <v>177997.97</v>
      </c>
      <c r="W1309" t="s">
        <v>48</v>
      </c>
      <c r="X1309" t="s">
        <v>239</v>
      </c>
    </row>
    <row r="1310" spans="1:27">
      <c r="A1310" t="s">
        <v>28</v>
      </c>
      <c r="B1310" t="s">
        <v>29</v>
      </c>
      <c r="C1310" t="s">
        <v>4513</v>
      </c>
      <c r="D1310" t="s">
        <v>4514</v>
      </c>
      <c r="E1310" t="s">
        <v>4515</v>
      </c>
      <c r="F1310" t="s">
        <v>33</v>
      </c>
      <c r="G1310">
        <v>0</v>
      </c>
      <c r="H1310">
        <f>((0/1000) * G1310)</f>
        <v>0</v>
      </c>
      <c r="I1310">
        <v>0</v>
      </c>
      <c r="J1310">
        <v>0</v>
      </c>
      <c r="K1310" s="5215">
        <v>84141.44</v>
      </c>
      <c r="L1310" s="5216">
        <f>(K1310 * G1310)</f>
        <v>0</v>
      </c>
      <c r="M1310" s="5217">
        <v>117798.02</v>
      </c>
      <c r="N1310" s="5218">
        <f>(G1310 * M1310)</f>
        <v>0</v>
      </c>
      <c r="O1310">
        <v>0</v>
      </c>
      <c r="P1310">
        <v>0</v>
      </c>
      <c r="Q1310">
        <f>IF(O1310&gt;G1310,(O1310-G1310),0)</f>
        <v>0</v>
      </c>
      <c r="R1310">
        <v>1</v>
      </c>
      <c r="S1310">
        <f>IF(Q1310&gt;0,Int(P1310/Q1310),0)</f>
        <v>0</v>
      </c>
      <c r="T1310">
        <f>0</f>
        <v>0</v>
      </c>
      <c r="U1310"/>
      <c r="V1310">
        <v>84141.44</v>
      </c>
      <c r="W1310" t="s">
        <v>75</v>
      </c>
      <c r="X1310"/>
    </row>
    <row r="1311" spans="1:27">
      <c r="A1311" t="s">
        <v>28</v>
      </c>
      <c r="B1311" t="s">
        <v>29</v>
      </c>
      <c r="C1311" t="s">
        <v>4516</v>
      </c>
      <c r="D1311" t="s">
        <v>4517</v>
      </c>
      <c r="E1311" t="s">
        <v>4518</v>
      </c>
      <c r="F1311" t="s">
        <v>33</v>
      </c>
      <c r="G1311">
        <v>0</v>
      </c>
      <c r="H1311">
        <f>((0/1000) * G1311)</f>
        <v>0</v>
      </c>
      <c r="I1311">
        <v>0</v>
      </c>
      <c r="J1311">
        <v>0</v>
      </c>
      <c r="K1311" s="5219">
        <v>249327.6</v>
      </c>
      <c r="L1311" s="5220">
        <f>(K1311 * G1311)</f>
        <v>0</v>
      </c>
      <c r="M1311" s="5221">
        <v>349058.63</v>
      </c>
      <c r="N1311" s="5222">
        <f>(G1311 * M1311)</f>
        <v>0</v>
      </c>
      <c r="O1311">
        <v>0</v>
      </c>
      <c r="P1311">
        <v>0</v>
      </c>
      <c r="Q1311">
        <f>IF(O1311&gt;G1311,(O1311-G1311),0)</f>
        <v>0</v>
      </c>
      <c r="R1311">
        <v>1</v>
      </c>
      <c r="S1311">
        <f>IF(Q1311&gt;0,Int(P1311/Q1311),0)</f>
        <v>0</v>
      </c>
      <c r="T1311">
        <f>44095.75</f>
        <v>44095.75</v>
      </c>
      <c r="U1311" t="s">
        <v>4519</v>
      </c>
      <c r="V1311">
        <v>249327.6</v>
      </c>
      <c r="W1311" t="s">
        <v>75</v>
      </c>
      <c r="X1311"/>
    </row>
    <row r="1312" spans="1:27">
      <c r="A1312" t="s">
        <v>28</v>
      </c>
      <c r="B1312" t="s">
        <v>29</v>
      </c>
      <c r="C1312" t="s">
        <v>4520</v>
      </c>
      <c r="D1312" t="s">
        <v>4521</v>
      </c>
      <c r="E1312" t="s">
        <v>4522</v>
      </c>
      <c r="F1312" t="s">
        <v>33</v>
      </c>
      <c r="G1312">
        <v>0</v>
      </c>
      <c r="H1312">
        <f>((0/1000) * G1312)</f>
        <v>0</v>
      </c>
      <c r="I1312">
        <v>0</v>
      </c>
      <c r="J1312">
        <v>0</v>
      </c>
      <c r="K1312" s="5223">
        <v>243140.5</v>
      </c>
      <c r="L1312" s="5224">
        <f>(K1312 * G1312)</f>
        <v>0</v>
      </c>
      <c r="M1312" s="5225">
        <v>267454.55</v>
      </c>
      <c r="N1312" s="5226">
        <f>(G1312 * M1312)</f>
        <v>0</v>
      </c>
      <c r="O1312">
        <v>0</v>
      </c>
      <c r="P1312">
        <v>0</v>
      </c>
      <c r="Q1312">
        <f>IF(O1312&gt;G1312,(O1312-G1312),0)</f>
        <v>0</v>
      </c>
      <c r="R1312">
        <v>1</v>
      </c>
      <c r="S1312">
        <f>IF(Q1312&gt;0,Int(P1312/Q1312),0)</f>
        <v>0</v>
      </c>
      <c r="T1312">
        <f>234936.14</f>
        <v>234936.14</v>
      </c>
      <c r="U1312" t="s">
        <v>4523</v>
      </c>
      <c r="V1312">
        <v>243140.5</v>
      </c>
      <c r="W1312" t="s">
        <v>43</v>
      </c>
      <c r="X1312"/>
    </row>
    <row r="1313" spans="1:27">
      <c r="A1313" t="s">
        <v>28</v>
      </c>
      <c r="B1313" t="s">
        <v>29</v>
      </c>
      <c r="C1313" t="s">
        <v>4441</v>
      </c>
      <c r="D1313" t="s">
        <v>4524</v>
      </c>
      <c r="E1313" t="s">
        <v>4525</v>
      </c>
      <c r="F1313" t="s">
        <v>33</v>
      </c>
      <c r="G1313">
        <v>0</v>
      </c>
      <c r="H1313">
        <f>((0/1000) * G1313)</f>
        <v>0</v>
      </c>
      <c r="I1313">
        <v>0</v>
      </c>
      <c r="J1313">
        <v>0</v>
      </c>
      <c r="K1313" s="5227">
        <v>162234.29</v>
      </c>
      <c r="L1313" s="5228">
        <f>(K1313 * G1313)</f>
        <v>0</v>
      </c>
      <c r="M1313" s="5229">
        <v>227128</v>
      </c>
      <c r="N1313" s="5230">
        <f>(G1313 * M1313)</f>
        <v>0</v>
      </c>
      <c r="O1313">
        <v>0</v>
      </c>
      <c r="P1313">
        <v>0</v>
      </c>
      <c r="Q1313">
        <f>IF(O1313&gt;G1313,(O1313-G1313),0)</f>
        <v>0</v>
      </c>
      <c r="R1313">
        <v>0</v>
      </c>
      <c r="S1313">
        <f>IF(Q1313&gt;0,Int(P1313/Q1313),0)</f>
        <v>0</v>
      </c>
      <c r="T1313">
        <f>0</f>
        <v>0</v>
      </c>
      <c r="U1313"/>
      <c r="V1313">
        <v>162234.29</v>
      </c>
      <c r="W1313" t="s">
        <v>75</v>
      </c>
      <c r="X1313"/>
    </row>
    <row r="1314" spans="1:27">
      <c r="A1314" t="s">
        <v>28</v>
      </c>
      <c r="B1314" t="s">
        <v>29</v>
      </c>
      <c r="C1314" t="s">
        <v>4526</v>
      </c>
      <c r="D1314" t="s">
        <v>4527</v>
      </c>
      <c r="E1314" t="s">
        <v>4528</v>
      </c>
      <c r="F1314" t="s">
        <v>41</v>
      </c>
      <c r="G1314">
        <v>0</v>
      </c>
      <c r="H1314">
        <f>((0/1000) * G1314)</f>
        <v>0</v>
      </c>
      <c r="I1314">
        <v>0</v>
      </c>
      <c r="J1314">
        <v>0</v>
      </c>
      <c r="K1314" s="5231">
        <v>280991.74</v>
      </c>
      <c r="L1314" s="5232">
        <f>(K1314 * G1314)</f>
        <v>0</v>
      </c>
      <c r="M1314" s="5233">
        <v>309090.91</v>
      </c>
      <c r="N1314" s="5234">
        <f>(G1314 * M1314)</f>
        <v>0</v>
      </c>
      <c r="O1314">
        <v>0</v>
      </c>
      <c r="P1314">
        <v>0</v>
      </c>
      <c r="Q1314">
        <f>IF(O1314&gt;G1314,(O1314-G1314),0)</f>
        <v>0</v>
      </c>
      <c r="R1314">
        <v>1</v>
      </c>
      <c r="S1314">
        <f>IF(Q1314&gt;0,Int(P1314/Q1314),0)</f>
        <v>0</v>
      </c>
      <c r="T1314">
        <f>255447.03</f>
        <v>255447.03</v>
      </c>
      <c r="U1314" t="s">
        <v>4529</v>
      </c>
      <c r="V1314">
        <v>280991.74</v>
      </c>
      <c r="W1314" t="s">
        <v>43</v>
      </c>
      <c r="X1314"/>
    </row>
    <row r="1315" spans="1:27">
      <c r="A1315" t="s">
        <v>28</v>
      </c>
      <c r="B1315" t="s">
        <v>29</v>
      </c>
      <c r="C1315" t="s">
        <v>4530</v>
      </c>
      <c r="D1315" t="s">
        <v>4531</v>
      </c>
      <c r="E1315" t="s">
        <v>4532</v>
      </c>
      <c r="F1315" t="s">
        <v>41</v>
      </c>
      <c r="G1315">
        <v>0</v>
      </c>
      <c r="H1315">
        <f>((0/1000) * G1315)</f>
        <v>0</v>
      </c>
      <c r="I1315">
        <v>0</v>
      </c>
      <c r="J1315">
        <v>0</v>
      </c>
      <c r="K1315" s="5235">
        <v>301217.76</v>
      </c>
      <c r="L1315" s="5236">
        <f>(K1315 * G1315)</f>
        <v>0</v>
      </c>
      <c r="M1315" s="5237">
        <v>421704.86</v>
      </c>
      <c r="N1315" s="5238">
        <f>(G1315 * M1315)</f>
        <v>0</v>
      </c>
      <c r="O1315">
        <v>0</v>
      </c>
      <c r="P1315">
        <v>0</v>
      </c>
      <c r="Q1315">
        <f>IF(O1315&gt;G1315,(O1315-G1315),0)</f>
        <v>0</v>
      </c>
      <c r="R1315">
        <v>1</v>
      </c>
      <c r="S1315">
        <f>IF(Q1315&gt;0,Int(P1315/Q1315),0)</f>
        <v>0</v>
      </c>
      <c r="T1315">
        <f>289613.34</f>
        <v>289613.34</v>
      </c>
      <c r="U1315" t="s">
        <v>4533</v>
      </c>
      <c r="V1315">
        <v>301217.76</v>
      </c>
      <c r="W1315" t="s">
        <v>182</v>
      </c>
      <c r="X1315"/>
    </row>
    <row r="1316" spans="1:27">
      <c r="A1316" t="s">
        <v>28</v>
      </c>
      <c r="B1316" t="s">
        <v>29</v>
      </c>
      <c r="C1316" t="s">
        <v>4534</v>
      </c>
      <c r="D1316" t="s">
        <v>4535</v>
      </c>
      <c r="E1316" t="s">
        <v>4536</v>
      </c>
      <c r="F1316" t="s">
        <v>33</v>
      </c>
      <c r="G1316">
        <v>0</v>
      </c>
      <c r="H1316">
        <f>((0/1000) * G1316)</f>
        <v>0</v>
      </c>
      <c r="I1316">
        <v>0</v>
      </c>
      <c r="J1316">
        <v>0</v>
      </c>
      <c r="K1316" s="5239">
        <v>133744.6</v>
      </c>
      <c r="L1316" s="5240">
        <f>(K1316 * G1316)</f>
        <v>0</v>
      </c>
      <c r="M1316" s="5241">
        <v>187242.44</v>
      </c>
      <c r="N1316" s="5242">
        <f>(G1316 * M1316)</f>
        <v>0</v>
      </c>
      <c r="O1316">
        <v>0</v>
      </c>
      <c r="P1316">
        <v>0</v>
      </c>
      <c r="Q1316">
        <f>IF(O1316&gt;G1316,(O1316-G1316),0)</f>
        <v>0</v>
      </c>
      <c r="R1316">
        <v>1</v>
      </c>
      <c r="S1316">
        <f>IF(Q1316&gt;0,Int(P1316/Q1316),0)</f>
        <v>0</v>
      </c>
      <c r="T1316">
        <f>133744.6</f>
        <v>133744.6</v>
      </c>
      <c r="U1316" t="s">
        <v>4537</v>
      </c>
      <c r="V1316">
        <v>133744.6</v>
      </c>
      <c r="W1316" t="s">
        <v>75</v>
      </c>
      <c r="X1316"/>
    </row>
    <row r="1317" spans="1:27">
      <c r="A1317" t="s">
        <v>28</v>
      </c>
      <c r="B1317" t="s">
        <v>29</v>
      </c>
      <c r="C1317" t="s">
        <v>4538</v>
      </c>
      <c r="D1317" t="s">
        <v>4539</v>
      </c>
      <c r="E1317" t="s">
        <v>4540</v>
      </c>
      <c r="F1317" t="s">
        <v>41</v>
      </c>
      <c r="G1317">
        <v>0</v>
      </c>
      <c r="H1317">
        <f>((0/1000) * G1317)</f>
        <v>0</v>
      </c>
      <c r="I1317">
        <v>0</v>
      </c>
      <c r="J1317">
        <v>0</v>
      </c>
      <c r="K1317" s="5243">
        <v>162809.92</v>
      </c>
      <c r="L1317" s="5244">
        <f>(K1317 * G1317)</f>
        <v>0</v>
      </c>
      <c r="M1317" s="5245">
        <v>179090.91</v>
      </c>
      <c r="N1317" s="5246">
        <f>(G1317 * M1317)</f>
        <v>0</v>
      </c>
      <c r="O1317">
        <v>0</v>
      </c>
      <c r="P1317">
        <v>0</v>
      </c>
      <c r="Q1317">
        <f>IF(O1317&gt;G1317,(O1317-G1317),0)</f>
        <v>0</v>
      </c>
      <c r="R1317">
        <v>1</v>
      </c>
      <c r="S1317">
        <f>IF(Q1317&gt;0,Int(P1317/Q1317),0)</f>
        <v>0</v>
      </c>
      <c r="T1317">
        <f>0</f>
        <v>0</v>
      </c>
      <c r="U1317"/>
      <c r="V1317">
        <v>162809.92</v>
      </c>
      <c r="W1317" t="s">
        <v>43</v>
      </c>
      <c r="X1317"/>
    </row>
    <row r="1318" spans="1:27">
      <c r="A1318" t="s">
        <v>28</v>
      </c>
      <c r="B1318" t="s">
        <v>29</v>
      </c>
      <c r="C1318" t="s">
        <v>4541</v>
      </c>
      <c r="D1318" t="s">
        <v>4542</v>
      </c>
      <c r="E1318" t="s">
        <v>4543</v>
      </c>
      <c r="F1318" t="s">
        <v>41</v>
      </c>
      <c r="G1318">
        <v>6</v>
      </c>
      <c r="H1318">
        <f>((0/1000) * G1318)</f>
        <v>0</v>
      </c>
      <c r="I1318">
        <v>0</v>
      </c>
      <c r="J1318">
        <v>6</v>
      </c>
      <c r="K1318" s="5247">
        <v>202985</v>
      </c>
      <c r="L1318" s="5248">
        <f>(K1318 * G1318)</f>
        <v>1217910</v>
      </c>
      <c r="M1318" s="5249">
        <v>304477.5</v>
      </c>
      <c r="N1318" s="5250">
        <f>(G1318 * M1318)</f>
        <v>1826865</v>
      </c>
      <c r="O1318">
        <v>0</v>
      </c>
      <c r="P1318">
        <v>0</v>
      </c>
      <c r="Q1318">
        <f>IF(O1318&gt;G1318,(O1318-G1318),0)</f>
        <v>0</v>
      </c>
      <c r="R1318">
        <v>1</v>
      </c>
      <c r="S1318">
        <f>IF(Q1318&gt;0,Int(P1318/Q1318),0)</f>
        <v>0</v>
      </c>
      <c r="T1318">
        <f>0</f>
        <v>0</v>
      </c>
      <c r="U1318" t="s">
        <v>164</v>
      </c>
      <c r="V1318">
        <v>202985</v>
      </c>
      <c r="W1318" t="s">
        <v>144</v>
      </c>
      <c r="X1318"/>
    </row>
    <row r="1319" spans="1:27">
      <c r="A1319" t="s">
        <v>28</v>
      </c>
      <c r="B1319" t="s">
        <v>29</v>
      </c>
      <c r="C1319" t="s">
        <v>4544</v>
      </c>
      <c r="D1319" t="s">
        <v>4545</v>
      </c>
      <c r="E1319" t="s">
        <v>4546</v>
      </c>
      <c r="F1319" t="s">
        <v>41</v>
      </c>
      <c r="G1319">
        <v>0</v>
      </c>
      <c r="H1319">
        <f>((0/1000) * G1319)</f>
        <v>0</v>
      </c>
      <c r="I1319">
        <v>0</v>
      </c>
      <c r="J1319">
        <v>0</v>
      </c>
      <c r="K1319" s="5251">
        <v>231404.95</v>
      </c>
      <c r="L1319" s="5252">
        <f>(K1319 * G1319)</f>
        <v>0</v>
      </c>
      <c r="M1319" s="5253">
        <v>254545.45</v>
      </c>
      <c r="N1319" s="5254">
        <f>(G1319 * M1319)</f>
        <v>0</v>
      </c>
      <c r="O1319">
        <v>0</v>
      </c>
      <c r="P1319">
        <v>0</v>
      </c>
      <c r="Q1319">
        <f>IF(O1319&gt;G1319,(O1319-G1319),0)</f>
        <v>0</v>
      </c>
      <c r="R1319">
        <v>1</v>
      </c>
      <c r="S1319">
        <f>IF(Q1319&gt;0,Int(P1319/Q1319),0)</f>
        <v>0</v>
      </c>
      <c r="T1319">
        <f>0</f>
        <v>0</v>
      </c>
      <c r="U1319" t="s">
        <v>4547</v>
      </c>
      <c r="V1319">
        <v>231404.95</v>
      </c>
      <c r="W1319" t="s">
        <v>43</v>
      </c>
      <c r="X1319"/>
    </row>
    <row r="1320" spans="1:27">
      <c r="A1320" t="s">
        <v>35</v>
      </c>
      <c r="B1320" t="s">
        <v>29</v>
      </c>
      <c r="C1320" t="s">
        <v>4548</v>
      </c>
      <c r="D1320" t="s">
        <v>4549</v>
      </c>
      <c r="E1320" t="s">
        <v>4550</v>
      </c>
      <c r="F1320" t="s">
        <v>33</v>
      </c>
      <c r="G1320">
        <v>0</v>
      </c>
      <c r="H1320">
        <f>((0/1000) * G1320)</f>
        <v>0</v>
      </c>
      <c r="I1320">
        <v>0</v>
      </c>
      <c r="J1320">
        <v>0</v>
      </c>
      <c r="K1320" s="5255">
        <v>90770.71</v>
      </c>
      <c r="L1320" s="5256">
        <f>(K1320 * G1320)</f>
        <v>0</v>
      </c>
      <c r="M1320" s="5257">
        <v>127079</v>
      </c>
      <c r="N1320" s="5258">
        <f>(G1320 * M1320)</f>
        <v>0</v>
      </c>
      <c r="O1320">
        <v>0</v>
      </c>
      <c r="P1320">
        <v>0</v>
      </c>
      <c r="Q1320">
        <f>IF(O1320&gt;G1320,(O1320-G1320),0)</f>
        <v>0</v>
      </c>
      <c r="R1320">
        <v>1</v>
      </c>
      <c r="S1320">
        <f>IF(Q1320&gt;0,Int(P1320/Q1320),0)</f>
        <v>0</v>
      </c>
      <c r="T1320">
        <f>0</f>
        <v>0</v>
      </c>
      <c r="U1320"/>
      <c r="V1320">
        <v>90770.71</v>
      </c>
      <c r="W1320" t="s">
        <v>75</v>
      </c>
      <c r="X1320"/>
    </row>
    <row r="1321" spans="1:27">
      <c r="A1321" t="s">
        <v>28</v>
      </c>
      <c r="B1321" t="s">
        <v>29</v>
      </c>
      <c r="C1321" t="s">
        <v>4551</v>
      </c>
      <c r="D1321" t="s">
        <v>4552</v>
      </c>
      <c r="E1321" t="s">
        <v>4553</v>
      </c>
      <c r="F1321" t="s">
        <v>33</v>
      </c>
      <c r="G1321">
        <v>0</v>
      </c>
      <c r="H1321">
        <f>((0/1000) * G1321)</f>
        <v>0</v>
      </c>
      <c r="I1321">
        <v>0</v>
      </c>
      <c r="J1321">
        <v>0</v>
      </c>
      <c r="K1321" s="5259">
        <v>239578.57</v>
      </c>
      <c r="L1321" s="5260">
        <f>(K1321 * G1321)</f>
        <v>0</v>
      </c>
      <c r="M1321" s="5261">
        <v>335410</v>
      </c>
      <c r="N1321" s="5262">
        <f>(G1321 * M1321)</f>
        <v>0</v>
      </c>
      <c r="O1321">
        <v>0</v>
      </c>
      <c r="P1321">
        <v>0</v>
      </c>
      <c r="Q1321">
        <f>IF(O1321&gt;G1321,(O1321-G1321),0)</f>
        <v>0</v>
      </c>
      <c r="R1321">
        <v>0</v>
      </c>
      <c r="S1321">
        <f>IF(Q1321&gt;0,Int(P1321/Q1321),0)</f>
        <v>0</v>
      </c>
      <c r="T1321">
        <f>0</f>
        <v>0</v>
      </c>
      <c r="U1321"/>
      <c r="V1321">
        <v>239578.57</v>
      </c>
      <c r="W1321" t="s">
        <v>148</v>
      </c>
      <c r="X1321"/>
    </row>
    <row r="1322" spans="1:27">
      <c r="A1322" t="s">
        <v>28</v>
      </c>
      <c r="B1322" t="s">
        <v>29</v>
      </c>
      <c r="C1322" t="s">
        <v>4554</v>
      </c>
      <c r="D1322" t="s">
        <v>4555</v>
      </c>
      <c r="E1322" t="s">
        <v>4556</v>
      </c>
      <c r="F1322" t="s">
        <v>33</v>
      </c>
      <c r="G1322">
        <v>0</v>
      </c>
      <c r="H1322">
        <f>((0/1000) * G1322)</f>
        <v>0</v>
      </c>
      <c r="I1322">
        <v>0</v>
      </c>
      <c r="J1322">
        <v>0</v>
      </c>
      <c r="K1322" s="5263">
        <v>0</v>
      </c>
      <c r="L1322" s="5264">
        <f>(K1322 * G1322)</f>
        <v>0</v>
      </c>
      <c r="M1322" s="5265">
        <v>0</v>
      </c>
      <c r="N1322" s="5266">
        <f>(G1322 * M1322)</f>
        <v>0</v>
      </c>
      <c r="O1322">
        <v>0</v>
      </c>
      <c r="P1322">
        <v>0</v>
      </c>
      <c r="Q1322">
        <f>IF(O1322&gt;G1322,(O1322-G1322),0)</f>
        <v>0</v>
      </c>
      <c r="R1322">
        <v>0</v>
      </c>
      <c r="S1322">
        <f>IF(Q1322&gt;0,Int(P1322/Q1322),0)</f>
        <v>0</v>
      </c>
      <c r="T1322">
        <f>0</f>
        <v>0</v>
      </c>
      <c r="U1322" t="s">
        <v>897</v>
      </c>
      <c r="V1322">
        <v>0</v>
      </c>
      <c r="W1322">
        <v>0</v>
      </c>
      <c r="X1322"/>
    </row>
    <row r="1323" spans="1:27">
      <c r="A1323" t="s">
        <v>28</v>
      </c>
      <c r="B1323" t="s">
        <v>29</v>
      </c>
      <c r="C1323" t="s">
        <v>4557</v>
      </c>
      <c r="D1323" t="s">
        <v>4558</v>
      </c>
      <c r="E1323" t="s">
        <v>4559</v>
      </c>
      <c r="F1323" t="s">
        <v>33</v>
      </c>
      <c r="G1323">
        <v>0</v>
      </c>
      <c r="H1323">
        <f>((0/1000) * G1323)</f>
        <v>0</v>
      </c>
      <c r="I1323">
        <v>0</v>
      </c>
      <c r="J1323">
        <v>0</v>
      </c>
      <c r="K1323" s="5267">
        <v>220000</v>
      </c>
      <c r="L1323" s="5268">
        <f>(K1323 * G1323)</f>
        <v>0</v>
      </c>
      <c r="M1323" s="5269">
        <v>308000</v>
      </c>
      <c r="N1323" s="5270">
        <f>(G1323 * M1323)</f>
        <v>0</v>
      </c>
      <c r="O1323">
        <v>0</v>
      </c>
      <c r="P1323">
        <v>0</v>
      </c>
      <c r="Q1323">
        <f>IF(O1323&gt;G1323,(O1323-G1323),0)</f>
        <v>0</v>
      </c>
      <c r="R1323">
        <v>1</v>
      </c>
      <c r="S1323">
        <f>IF(Q1323&gt;0,Int(P1323/Q1323),0)</f>
        <v>0</v>
      </c>
      <c r="T1323">
        <f>200000</f>
        <v>200000</v>
      </c>
      <c r="U1323" t="s">
        <v>4560</v>
      </c>
      <c r="V1323">
        <v>220000</v>
      </c>
      <c r="W1323" t="s">
        <v>75</v>
      </c>
      <c r="X1323"/>
    </row>
    <row r="1324" spans="1:27">
      <c r="A1324" t="s">
        <v>28</v>
      </c>
      <c r="B1324" t="s">
        <v>29</v>
      </c>
      <c r="C1324" t="s">
        <v>4561</v>
      </c>
      <c r="D1324" t="s">
        <v>4562</v>
      </c>
      <c r="E1324" t="s">
        <v>4563</v>
      </c>
      <c r="F1324" t="s">
        <v>33</v>
      </c>
      <c r="G1324">
        <v>0</v>
      </c>
      <c r="H1324">
        <f>((0/1000) * G1324)</f>
        <v>0</v>
      </c>
      <c r="I1324">
        <v>0</v>
      </c>
      <c r="J1324">
        <v>0</v>
      </c>
      <c r="K1324" s="5271">
        <v>190909.08</v>
      </c>
      <c r="L1324" s="5272">
        <f>(K1324 * G1324)</f>
        <v>0</v>
      </c>
      <c r="M1324" s="5273">
        <v>267272.71</v>
      </c>
      <c r="N1324" s="5274">
        <f>(G1324 * M1324)</f>
        <v>0</v>
      </c>
      <c r="O1324">
        <v>0</v>
      </c>
      <c r="P1324">
        <v>0</v>
      </c>
      <c r="Q1324">
        <f>IF(O1324&gt;G1324,(O1324-G1324),0)</f>
        <v>0</v>
      </c>
      <c r="R1324">
        <v>1</v>
      </c>
      <c r="S1324">
        <f>IF(Q1324&gt;0,Int(P1324/Q1324),0)</f>
        <v>0</v>
      </c>
      <c r="T1324">
        <f>0</f>
        <v>0</v>
      </c>
      <c r="U1324"/>
      <c r="V1324">
        <v>190909.08</v>
      </c>
      <c r="W1324" t="s">
        <v>75</v>
      </c>
      <c r="X1324"/>
    </row>
    <row r="1325" spans="1:27">
      <c r="A1325" t="s">
        <v>28</v>
      </c>
      <c r="B1325" t="s">
        <v>29</v>
      </c>
      <c r="C1325" t="s">
        <v>4564</v>
      </c>
      <c r="D1325" t="s">
        <v>4565</v>
      </c>
      <c r="E1325" t="s">
        <v>4566</v>
      </c>
      <c r="F1325" t="s">
        <v>41</v>
      </c>
      <c r="G1325">
        <v>2</v>
      </c>
      <c r="H1325">
        <f>((0/1000) * G1325)</f>
        <v>0</v>
      </c>
      <c r="I1325">
        <v>0</v>
      </c>
      <c r="J1325">
        <v>2</v>
      </c>
      <c r="K1325" s="5275">
        <v>308784.09</v>
      </c>
      <c r="L1325" s="5276">
        <f>(K1325 * G1325)</f>
        <v>617568.18</v>
      </c>
      <c r="M1325" s="5277">
        <v>432297.72</v>
      </c>
      <c r="N1325" s="5278">
        <f>(G1325 * M1325)</f>
        <v>864595.44</v>
      </c>
      <c r="O1325">
        <v>0</v>
      </c>
      <c r="P1325">
        <v>0</v>
      </c>
      <c r="Q1325">
        <f>IF(O1325&gt;G1325,(O1325-G1325),0)</f>
        <v>0</v>
      </c>
      <c r="R1325">
        <v>1</v>
      </c>
      <c r="S1325">
        <f>IF(Q1325&gt;0,Int(P1325/Q1325),0)</f>
        <v>0</v>
      </c>
      <c r="T1325">
        <f>260030.05</f>
        <v>260030.05</v>
      </c>
      <c r="U1325" t="s">
        <v>4567</v>
      </c>
      <c r="V1325">
        <v>308784.09</v>
      </c>
      <c r="W1325" t="s">
        <v>182</v>
      </c>
      <c r="X1325" t="s">
        <v>81</v>
      </c>
    </row>
    <row r="1326" spans="1:27">
      <c r="A1326" t="s">
        <v>35</v>
      </c>
      <c r="B1326" t="s">
        <v>29</v>
      </c>
      <c r="C1326" t="s">
        <v>4568</v>
      </c>
      <c r="D1326" t="s">
        <v>4569</v>
      </c>
      <c r="E1326" t="s">
        <v>4570</v>
      </c>
      <c r="F1326" t="s">
        <v>33</v>
      </c>
      <c r="G1326">
        <v>0</v>
      </c>
      <c r="H1326">
        <f>((0/1000) * G1326)</f>
        <v>0</v>
      </c>
      <c r="I1326">
        <v>0</v>
      </c>
      <c r="J1326">
        <v>0</v>
      </c>
      <c r="K1326" s="5279">
        <v>421161.57</v>
      </c>
      <c r="L1326" s="5280">
        <f>(K1326 * G1326)</f>
        <v>0</v>
      </c>
      <c r="M1326" s="5281">
        <v>589626.2</v>
      </c>
      <c r="N1326" s="5282">
        <f>(G1326 * M1326)</f>
        <v>0</v>
      </c>
      <c r="O1326">
        <v>0</v>
      </c>
      <c r="P1326">
        <v>0</v>
      </c>
      <c r="Q1326">
        <f>IF(O1326&gt;G1326,(O1326-G1326),0)</f>
        <v>0</v>
      </c>
      <c r="R1326">
        <v>1</v>
      </c>
      <c r="S1326">
        <f>IF(Q1326&gt;0,Int(P1326/Q1326),0)</f>
        <v>0</v>
      </c>
      <c r="T1326">
        <f>0</f>
        <v>0</v>
      </c>
      <c r="U1326"/>
      <c r="V1326">
        <v>421161.57</v>
      </c>
      <c r="W1326" t="s">
        <v>182</v>
      </c>
      <c r="X1326"/>
    </row>
    <row r="1327" spans="1:27">
      <c r="A1327" t="s">
        <v>35</v>
      </c>
      <c r="B1327" t="s">
        <v>29</v>
      </c>
      <c r="C1327" t="s">
        <v>4571</v>
      </c>
      <c r="D1327" t="s">
        <v>4572</v>
      </c>
      <c r="E1327" t="s">
        <v>4573</v>
      </c>
      <c r="F1327" t="s">
        <v>33</v>
      </c>
      <c r="G1327">
        <v>0</v>
      </c>
      <c r="H1327">
        <f>((0/1000) * G1327)</f>
        <v>0</v>
      </c>
      <c r="I1327">
        <v>0</v>
      </c>
      <c r="J1327">
        <v>0</v>
      </c>
      <c r="K1327" s="5283">
        <v>110145.3</v>
      </c>
      <c r="L1327" s="5284">
        <f>(K1327 * G1327)</f>
        <v>0</v>
      </c>
      <c r="M1327" s="5285">
        <v>154203.42</v>
      </c>
      <c r="N1327" s="5286">
        <f>(G1327 * M1327)</f>
        <v>0</v>
      </c>
      <c r="O1327">
        <v>0</v>
      </c>
      <c r="P1327">
        <v>0</v>
      </c>
      <c r="Q1327">
        <f>IF(O1327&gt;G1327,(O1327-G1327),0)</f>
        <v>0</v>
      </c>
      <c r="R1327">
        <v>1</v>
      </c>
      <c r="S1327">
        <f>IF(Q1327&gt;0,Int(P1327/Q1327),0)</f>
        <v>0</v>
      </c>
      <c r="T1327">
        <f>0</f>
        <v>0</v>
      </c>
      <c r="U1327"/>
      <c r="V1327">
        <v>110145.3</v>
      </c>
      <c r="W1327" t="s">
        <v>75</v>
      </c>
      <c r="X1327"/>
    </row>
    <row r="1328" spans="1:27">
      <c r="A1328" t="s">
        <v>35</v>
      </c>
      <c r="B1328" t="s">
        <v>29</v>
      </c>
      <c r="C1328" t="s">
        <v>4574</v>
      </c>
      <c r="D1328" t="s">
        <v>4574</v>
      </c>
      <c r="E1328" t="s">
        <v>4575</v>
      </c>
      <c r="F1328" t="s">
        <v>33</v>
      </c>
      <c r="G1328">
        <v>0</v>
      </c>
      <c r="H1328">
        <f>((1/1000) * G1328)</f>
        <v>0</v>
      </c>
      <c r="I1328">
        <v>0</v>
      </c>
      <c r="J1328">
        <v>0</v>
      </c>
      <c r="K1328" s="5287">
        <v>0</v>
      </c>
      <c r="L1328" s="5288">
        <f>(K1328 * G1328)</f>
        <v>0</v>
      </c>
      <c r="M1328" s="5289">
        <v>0</v>
      </c>
      <c r="N1328" s="5290">
        <f>(G1328 * M1328)</f>
        <v>0</v>
      </c>
      <c r="O1328">
        <v>0</v>
      </c>
      <c r="P1328">
        <v>0</v>
      </c>
      <c r="Q1328">
        <f>IF(O1328&gt;G1328,(O1328-G1328),0)</f>
        <v>0</v>
      </c>
      <c r="R1328">
        <v>0</v>
      </c>
      <c r="S1328">
        <f>IF(Q1328&gt;0,Int(P1328/Q1328),0)</f>
        <v>0</v>
      </c>
      <c r="T1328">
        <f>0</f>
        <v>0</v>
      </c>
      <c r="U1328"/>
      <c r="V1328">
        <v>0</v>
      </c>
      <c r="W1328">
        <v>0</v>
      </c>
      <c r="X1328"/>
    </row>
    <row r="1329" spans="1:27">
      <c r="A1329" t="s">
        <v>28</v>
      </c>
      <c r="B1329" t="s">
        <v>29</v>
      </c>
      <c r="C1329" t="s">
        <v>4576</v>
      </c>
      <c r="D1329" t="s">
        <v>4577</v>
      </c>
      <c r="E1329" t="s">
        <v>4578</v>
      </c>
      <c r="F1329" t="s">
        <v>41</v>
      </c>
      <c r="G1329">
        <v>0</v>
      </c>
      <c r="H1329">
        <f>((0/1000) * G1329)</f>
        <v>0</v>
      </c>
      <c r="I1329">
        <v>0</v>
      </c>
      <c r="J1329">
        <v>0</v>
      </c>
      <c r="K1329" s="5291">
        <v>679602.07</v>
      </c>
      <c r="L1329" s="5292">
        <f>(K1329 * G1329)</f>
        <v>0</v>
      </c>
      <c r="M1329" s="5293">
        <v>951442.9</v>
      </c>
      <c r="N1329" s="5294">
        <f>(G1329 * M1329)</f>
        <v>0</v>
      </c>
      <c r="O1329">
        <v>0</v>
      </c>
      <c r="P1329">
        <v>0</v>
      </c>
      <c r="Q1329">
        <f>IF(O1329&gt;G1329,(O1329-G1329),0)</f>
        <v>0</v>
      </c>
      <c r="R1329">
        <v>0</v>
      </c>
      <c r="S1329">
        <f>IF(Q1329&gt;0,Int(P1329/Q1329),0)</f>
        <v>0</v>
      </c>
      <c r="T1329">
        <f>0</f>
        <v>0</v>
      </c>
      <c r="U1329"/>
      <c r="V1329">
        <v>679602.07</v>
      </c>
      <c r="W1329" t="s">
        <v>182</v>
      </c>
      <c r="X1329"/>
    </row>
    <row r="1330" spans="1:27">
      <c r="A1330" t="s">
        <v>35</v>
      </c>
      <c r="B1330" t="s">
        <v>29</v>
      </c>
      <c r="C1330" t="s">
        <v>4579</v>
      </c>
      <c r="D1330" t="s">
        <v>4579</v>
      </c>
      <c r="E1330" t="s">
        <v>4580</v>
      </c>
      <c r="F1330" t="s">
        <v>33</v>
      </c>
      <c r="G1330">
        <v>0</v>
      </c>
      <c r="H1330">
        <f>((1/1000) * G1330)</f>
        <v>0</v>
      </c>
      <c r="I1330">
        <v>0</v>
      </c>
      <c r="J1330">
        <v>0</v>
      </c>
      <c r="K1330" s="5295">
        <v>0</v>
      </c>
      <c r="L1330" s="5296">
        <f>(K1330 * G1330)</f>
        <v>0</v>
      </c>
      <c r="M1330" s="5297">
        <v>0</v>
      </c>
      <c r="N1330" s="5298">
        <f>(G1330 * M1330)</f>
        <v>0</v>
      </c>
      <c r="O1330">
        <v>0</v>
      </c>
      <c r="P1330">
        <v>0</v>
      </c>
      <c r="Q1330">
        <f>IF(O1330&gt;G1330,(O1330-G1330),0)</f>
        <v>0</v>
      </c>
      <c r="R1330">
        <v>0</v>
      </c>
      <c r="S1330">
        <f>IF(Q1330&gt;0,Int(P1330/Q1330),0)</f>
        <v>0</v>
      </c>
      <c r="T1330">
        <f>0</f>
        <v>0</v>
      </c>
      <c r="U1330"/>
      <c r="V1330">
        <v>0</v>
      </c>
      <c r="W1330">
        <v>0</v>
      </c>
      <c r="X1330"/>
    </row>
    <row r="1331" spans="1:27">
      <c r="A1331" t="s">
        <v>28</v>
      </c>
      <c r="B1331" t="s">
        <v>29</v>
      </c>
      <c r="C1331" t="s">
        <v>4581</v>
      </c>
      <c r="D1331" t="s">
        <v>4582</v>
      </c>
      <c r="E1331" t="s">
        <v>4583</v>
      </c>
      <c r="F1331" t="s">
        <v>33</v>
      </c>
      <c r="G1331">
        <v>0</v>
      </c>
      <c r="H1331">
        <f>((0/1000) * G1331)</f>
        <v>0</v>
      </c>
      <c r="I1331">
        <v>0</v>
      </c>
      <c r="J1331">
        <v>0</v>
      </c>
      <c r="K1331" s="5299">
        <v>540989.02</v>
      </c>
      <c r="L1331" s="5300">
        <f>(K1331 * G1331)</f>
        <v>0</v>
      </c>
      <c r="M1331" s="5301">
        <v>757384.63</v>
      </c>
      <c r="N1331" s="5302">
        <f>(G1331 * M1331)</f>
        <v>0</v>
      </c>
      <c r="O1331">
        <v>0</v>
      </c>
      <c r="P1331">
        <v>0</v>
      </c>
      <c r="Q1331">
        <f>IF(O1331&gt;G1331,(O1331-G1331),0)</f>
        <v>0</v>
      </c>
      <c r="R1331">
        <v>1</v>
      </c>
      <c r="S1331">
        <f>IF(Q1331&gt;0,Int(P1331/Q1331),0)</f>
        <v>0</v>
      </c>
      <c r="T1331">
        <f>0</f>
        <v>0</v>
      </c>
      <c r="U1331"/>
      <c r="V1331">
        <v>540989.02</v>
      </c>
      <c r="W1331" t="s">
        <v>182</v>
      </c>
      <c r="X1331"/>
    </row>
    <row r="1332" spans="1:27">
      <c r="A1332" t="s">
        <v>28</v>
      </c>
      <c r="B1332" t="s">
        <v>29</v>
      </c>
      <c r="C1332" t="s">
        <v>4584</v>
      </c>
      <c r="D1332" t="s">
        <v>4585</v>
      </c>
      <c r="E1332" t="s">
        <v>4586</v>
      </c>
      <c r="F1332" t="s">
        <v>41</v>
      </c>
      <c r="G1332">
        <v>0</v>
      </c>
      <c r="H1332">
        <f>((0/1000) * G1332)</f>
        <v>0</v>
      </c>
      <c r="I1332">
        <v>0</v>
      </c>
      <c r="J1332">
        <v>0</v>
      </c>
      <c r="K1332" s="5303">
        <v>595087.94</v>
      </c>
      <c r="L1332" s="5304">
        <f>(K1332 * G1332)</f>
        <v>0</v>
      </c>
      <c r="M1332" s="5305">
        <v>833123.11</v>
      </c>
      <c r="N1332" s="5306">
        <f>(G1332 * M1332)</f>
        <v>0</v>
      </c>
      <c r="O1332">
        <v>0</v>
      </c>
      <c r="P1332">
        <v>0</v>
      </c>
      <c r="Q1332">
        <f>IF(O1332&gt;G1332,(O1332-G1332),0)</f>
        <v>0</v>
      </c>
      <c r="R1332">
        <v>1</v>
      </c>
      <c r="S1332">
        <f>IF(Q1332&gt;0,Int(P1332/Q1332),0)</f>
        <v>0</v>
      </c>
      <c r="T1332">
        <f>172126.22</f>
        <v>172126.22</v>
      </c>
      <c r="U1332" t="s">
        <v>4587</v>
      </c>
      <c r="V1332">
        <v>595087.94</v>
      </c>
      <c r="W1332" t="s">
        <v>182</v>
      </c>
      <c r="X1332"/>
    </row>
    <row r="1333" spans="1:27">
      <c r="A1333" t="s">
        <v>35</v>
      </c>
      <c r="B1333" t="s">
        <v>29</v>
      </c>
      <c r="C1333" t="s">
        <v>4588</v>
      </c>
      <c r="D1333" t="s">
        <v>4589</v>
      </c>
      <c r="E1333" t="s">
        <v>4590</v>
      </c>
      <c r="F1333" t="s">
        <v>33</v>
      </c>
      <c r="G1333">
        <v>0</v>
      </c>
      <c r="H1333">
        <f>((0/1000) * G1333)</f>
        <v>0</v>
      </c>
      <c r="I1333">
        <v>0</v>
      </c>
      <c r="J1333">
        <v>0</v>
      </c>
      <c r="K1333" s="5307">
        <v>328016.53</v>
      </c>
      <c r="L1333" s="5308">
        <f>(K1333 * G1333)</f>
        <v>0</v>
      </c>
      <c r="M1333" s="5309">
        <v>360818.18</v>
      </c>
      <c r="N1333" s="5310">
        <f>(G1333 * M1333)</f>
        <v>0</v>
      </c>
      <c r="O1333">
        <v>0</v>
      </c>
      <c r="P1333">
        <v>0</v>
      </c>
      <c r="Q1333">
        <f>IF(O1333&gt;G1333,(O1333-G1333),0)</f>
        <v>0</v>
      </c>
      <c r="R1333">
        <v>1</v>
      </c>
      <c r="S1333">
        <f>IF(Q1333&gt;0,Int(P1333/Q1333),0)</f>
        <v>0</v>
      </c>
      <c r="T1333">
        <f>333959.43</f>
        <v>333959.43</v>
      </c>
      <c r="U1333" t="s">
        <v>1115</v>
      </c>
      <c r="V1333">
        <v>328016.53</v>
      </c>
      <c r="W1333" t="s">
        <v>43</v>
      </c>
      <c r="X1333"/>
    </row>
    <row r="1334" spans="1:27">
      <c r="A1334" t="s">
        <v>28</v>
      </c>
      <c r="B1334" t="s">
        <v>29</v>
      </c>
      <c r="C1334" t="s">
        <v>4591</v>
      </c>
      <c r="D1334" t="s">
        <v>4591</v>
      </c>
      <c r="E1334" t="s">
        <v>4592</v>
      </c>
      <c r="F1334" t="s">
        <v>41</v>
      </c>
      <c r="G1334">
        <v>0</v>
      </c>
      <c r="H1334">
        <f>((0/1000) * G1334)</f>
        <v>0</v>
      </c>
      <c r="I1334">
        <v>0</v>
      </c>
      <c r="J1334">
        <v>0</v>
      </c>
      <c r="K1334" s="5311">
        <v>147272.4</v>
      </c>
      <c r="L1334" s="5312">
        <f>(K1334 * G1334)</f>
        <v>0</v>
      </c>
      <c r="M1334" s="5313">
        <v>147272.4</v>
      </c>
      <c r="N1334" s="5314">
        <f>(G1334 * M1334)</f>
        <v>0</v>
      </c>
      <c r="O1334">
        <v>0</v>
      </c>
      <c r="P1334">
        <v>0</v>
      </c>
      <c r="Q1334">
        <f>IF(O1334&gt;G1334,(O1334-G1334),0)</f>
        <v>0</v>
      </c>
      <c r="R1334">
        <v>1</v>
      </c>
      <c r="S1334">
        <f>IF(Q1334&gt;0,Int(P1334/Q1334),0)</f>
        <v>0</v>
      </c>
      <c r="T1334">
        <f>0</f>
        <v>0</v>
      </c>
      <c r="U1334"/>
      <c r="V1334">
        <v>147272.4</v>
      </c>
      <c r="W1334" t="s">
        <v>43</v>
      </c>
      <c r="X1334"/>
    </row>
    <row r="1335" spans="1:27">
      <c r="A1335" t="s">
        <v>28</v>
      </c>
      <c r="B1335" t="s">
        <v>29</v>
      </c>
      <c r="C1335" t="s">
        <v>4593</v>
      </c>
      <c r="D1335" t="s">
        <v>4594</v>
      </c>
      <c r="E1335" t="s">
        <v>4595</v>
      </c>
      <c r="F1335" t="s">
        <v>41</v>
      </c>
      <c r="G1335">
        <v>0</v>
      </c>
      <c r="H1335">
        <f>((0/1000) * G1335)</f>
        <v>0</v>
      </c>
      <c r="I1335">
        <v>0</v>
      </c>
      <c r="J1335">
        <v>0</v>
      </c>
      <c r="K1335" s="5315">
        <v>601098.88</v>
      </c>
      <c r="L1335" s="5316">
        <f>(K1335 * G1335)</f>
        <v>0</v>
      </c>
      <c r="M1335" s="5317">
        <v>841538.43</v>
      </c>
      <c r="N1335" s="5318">
        <f>(G1335 * M1335)</f>
        <v>0</v>
      </c>
      <c r="O1335">
        <v>0</v>
      </c>
      <c r="P1335">
        <v>0</v>
      </c>
      <c r="Q1335">
        <f>IF(O1335&gt;G1335,(O1335-G1335),0)</f>
        <v>0</v>
      </c>
      <c r="R1335">
        <v>0</v>
      </c>
      <c r="S1335">
        <f>IF(Q1335&gt;0,Int(P1335/Q1335),0)</f>
        <v>0</v>
      </c>
      <c r="T1335">
        <f>0</f>
        <v>0</v>
      </c>
      <c r="U1335"/>
      <c r="V1335">
        <v>601098.88</v>
      </c>
      <c r="W1335" t="s">
        <v>182</v>
      </c>
      <c r="X1335"/>
    </row>
    <row r="1336" spans="1:27">
      <c r="A1336" t="s">
        <v>35</v>
      </c>
      <c r="B1336" t="s">
        <v>29</v>
      </c>
      <c r="C1336" t="s">
        <v>4596</v>
      </c>
      <c r="D1336" t="s">
        <v>4597</v>
      </c>
      <c r="E1336" t="s">
        <v>4598</v>
      </c>
      <c r="F1336" t="s">
        <v>41</v>
      </c>
      <c r="G1336">
        <v>0</v>
      </c>
      <c r="H1336">
        <f>((1/1000) * G1336)</f>
        <v>0</v>
      </c>
      <c r="I1336">
        <v>0</v>
      </c>
      <c r="J1336">
        <v>0</v>
      </c>
      <c r="K1336" s="5319">
        <v>339416.27</v>
      </c>
      <c r="L1336" s="5320">
        <f>(K1336 * G1336)</f>
        <v>0</v>
      </c>
      <c r="M1336" s="5321">
        <v>373357.9</v>
      </c>
      <c r="N1336" s="5322">
        <f>(G1336 * M1336)</f>
        <v>0</v>
      </c>
      <c r="O1336">
        <v>0</v>
      </c>
      <c r="P1336">
        <v>0</v>
      </c>
      <c r="Q1336">
        <f>IF(O1336&gt;G1336,(O1336-G1336),0)</f>
        <v>0</v>
      </c>
      <c r="R1336">
        <v>1</v>
      </c>
      <c r="S1336">
        <f>IF(Q1336&gt;0,Int(P1336/Q1336),0)</f>
        <v>0</v>
      </c>
      <c r="T1336">
        <f>0</f>
        <v>0</v>
      </c>
      <c r="U1336"/>
      <c r="V1336">
        <v>339416.27</v>
      </c>
      <c r="W1336" t="s">
        <v>43</v>
      </c>
      <c r="X1336"/>
    </row>
    <row r="1337" spans="1:27">
      <c r="A1337" t="s">
        <v>35</v>
      </c>
      <c r="B1337" t="s">
        <v>29</v>
      </c>
      <c r="C1337" t="s">
        <v>4599</v>
      </c>
      <c r="D1337" t="s">
        <v>4600</v>
      </c>
      <c r="E1337" t="s">
        <v>4601</v>
      </c>
      <c r="F1337" t="s">
        <v>33</v>
      </c>
      <c r="G1337">
        <v>0</v>
      </c>
      <c r="H1337">
        <f>((0/1000) * G1337)</f>
        <v>0</v>
      </c>
      <c r="I1337">
        <v>0</v>
      </c>
      <c r="J1337">
        <v>0</v>
      </c>
      <c r="K1337" s="5323">
        <v>292272.71</v>
      </c>
      <c r="L1337" s="5324">
        <f>(K1337 * G1337)</f>
        <v>0</v>
      </c>
      <c r="M1337" s="5325">
        <v>409181.8</v>
      </c>
      <c r="N1337" s="5326">
        <f>(G1337 * M1337)</f>
        <v>0</v>
      </c>
      <c r="O1337">
        <v>0</v>
      </c>
      <c r="P1337">
        <v>0</v>
      </c>
      <c r="Q1337">
        <f>IF(O1337&gt;G1337,(O1337-G1337),0)</f>
        <v>0</v>
      </c>
      <c r="R1337">
        <v>1</v>
      </c>
      <c r="S1337">
        <f>IF(Q1337&gt;0,Int(P1337/Q1337),0)</f>
        <v>0</v>
      </c>
      <c r="T1337">
        <f>292272.72</f>
        <v>292272.72</v>
      </c>
      <c r="U1337" t="s">
        <v>4602</v>
      </c>
      <c r="V1337">
        <v>292272.71</v>
      </c>
      <c r="W1337" t="s">
        <v>75</v>
      </c>
      <c r="X1337"/>
    </row>
    <row r="1338" spans="1:27">
      <c r="A1338" t="s">
        <v>28</v>
      </c>
      <c r="B1338" t="s">
        <v>29</v>
      </c>
      <c r="C1338" t="s">
        <v>4603</v>
      </c>
      <c r="D1338" t="s">
        <v>1205</v>
      </c>
      <c r="E1338" t="s">
        <v>4604</v>
      </c>
      <c r="F1338" t="s">
        <v>33</v>
      </c>
      <c r="G1338">
        <v>0</v>
      </c>
      <c r="H1338">
        <f>((0/1000) * G1338)</f>
        <v>0</v>
      </c>
      <c r="I1338">
        <v>0</v>
      </c>
      <c r="J1338">
        <v>0</v>
      </c>
      <c r="K1338" s="5327">
        <v>239452.08</v>
      </c>
      <c r="L1338" s="5328">
        <f>(K1338 * G1338)</f>
        <v>0</v>
      </c>
      <c r="M1338" s="5329">
        <v>335232.92</v>
      </c>
      <c r="N1338" s="5330">
        <f>(G1338 * M1338)</f>
        <v>0</v>
      </c>
      <c r="O1338">
        <v>0</v>
      </c>
      <c r="P1338">
        <v>0</v>
      </c>
      <c r="Q1338">
        <f>IF(O1338&gt;G1338,(O1338-G1338),0)</f>
        <v>0</v>
      </c>
      <c r="R1338">
        <v>1</v>
      </c>
      <c r="S1338">
        <f>IF(Q1338&gt;0,Int(P1338/Q1338),0)</f>
        <v>0</v>
      </c>
      <c r="T1338">
        <f>239452.08</f>
        <v>239452.08</v>
      </c>
      <c r="U1338" t="s">
        <v>4605</v>
      </c>
      <c r="V1338">
        <v>239452.08</v>
      </c>
      <c r="W1338" t="s">
        <v>75</v>
      </c>
      <c r="X1338"/>
    </row>
    <row r="1339" spans="1:27">
      <c r="A1339" t="s">
        <v>35</v>
      </c>
      <c r="B1339" t="s">
        <v>29</v>
      </c>
      <c r="C1339" t="s">
        <v>4606</v>
      </c>
      <c r="D1339" t="s">
        <v>4607</v>
      </c>
      <c r="E1339" t="s">
        <v>4608</v>
      </c>
      <c r="F1339" t="s">
        <v>33</v>
      </c>
      <c r="G1339">
        <v>0</v>
      </c>
      <c r="H1339">
        <f>((0/1000) * G1339)</f>
        <v>0</v>
      </c>
      <c r="I1339">
        <v>0</v>
      </c>
      <c r="J1339">
        <v>0</v>
      </c>
      <c r="K1339" s="5331">
        <v>205702.48</v>
      </c>
      <c r="L1339" s="5332">
        <f>(K1339 * G1339)</f>
        <v>0</v>
      </c>
      <c r="M1339" s="5333">
        <v>226272.73</v>
      </c>
      <c r="N1339" s="5334">
        <f>(G1339 * M1339)</f>
        <v>0</v>
      </c>
      <c r="O1339">
        <v>0</v>
      </c>
      <c r="P1339">
        <v>0</v>
      </c>
      <c r="Q1339">
        <f>IF(O1339&gt;G1339,(O1339-G1339),0)</f>
        <v>0</v>
      </c>
      <c r="R1339">
        <v>1</v>
      </c>
      <c r="S1339">
        <f>IF(Q1339&gt;0,Int(P1339/Q1339),0)</f>
        <v>0</v>
      </c>
      <c r="T1339">
        <f>141758.08</f>
        <v>141758.08</v>
      </c>
      <c r="U1339" t="s">
        <v>601</v>
      </c>
      <c r="V1339">
        <v>205702.48</v>
      </c>
      <c r="W1339" t="s">
        <v>43</v>
      </c>
      <c r="X1339"/>
    </row>
    <row r="1340" spans="1:27">
      <c r="A1340" t="s">
        <v>35</v>
      </c>
      <c r="B1340" t="s">
        <v>29</v>
      </c>
      <c r="C1340" t="s">
        <v>4609</v>
      </c>
      <c r="D1340" t="s">
        <v>4610</v>
      </c>
      <c r="E1340" t="s">
        <v>4611</v>
      </c>
      <c r="F1340" t="s">
        <v>33</v>
      </c>
      <c r="G1340">
        <v>0</v>
      </c>
      <c r="H1340">
        <f>((1/1000) * G1340)</f>
        <v>0</v>
      </c>
      <c r="I1340">
        <v>0</v>
      </c>
      <c r="J1340">
        <v>0</v>
      </c>
      <c r="K1340" s="5335">
        <v>236500</v>
      </c>
      <c r="L1340" s="5336">
        <f>(K1340 * G1340)</f>
        <v>0</v>
      </c>
      <c r="M1340" s="5337">
        <v>331100</v>
      </c>
      <c r="N1340" s="5338">
        <f>(G1340 * M1340)</f>
        <v>0</v>
      </c>
      <c r="O1340">
        <v>0</v>
      </c>
      <c r="P1340">
        <v>0</v>
      </c>
      <c r="Q1340">
        <f>IF(O1340&gt;G1340,(O1340-G1340),0)</f>
        <v>0</v>
      </c>
      <c r="R1340">
        <v>1</v>
      </c>
      <c r="S1340">
        <f>IF(Q1340&gt;0,Int(P1340/Q1340),0)</f>
        <v>0</v>
      </c>
      <c r="T1340">
        <f>0</f>
        <v>0</v>
      </c>
      <c r="U1340"/>
      <c r="V1340">
        <v>236500</v>
      </c>
      <c r="W1340" t="s">
        <v>75</v>
      </c>
      <c r="X1340"/>
    </row>
    <row r="1341" spans="1:27">
      <c r="A1341" t="s">
        <v>35</v>
      </c>
      <c r="B1341" t="s">
        <v>29</v>
      </c>
      <c r="C1341" t="s">
        <v>4612</v>
      </c>
      <c r="D1341" t="s">
        <v>4612</v>
      </c>
      <c r="E1341" t="s">
        <v>4613</v>
      </c>
      <c r="F1341" t="s">
        <v>33</v>
      </c>
      <c r="G1341">
        <v>0</v>
      </c>
      <c r="H1341">
        <f>((1/1000) * G1341)</f>
        <v>0</v>
      </c>
      <c r="I1341">
        <v>0</v>
      </c>
      <c r="J1341">
        <v>0</v>
      </c>
      <c r="K1341" s="5339">
        <v>0</v>
      </c>
      <c r="L1341" s="5340">
        <f>(K1341 * G1341)</f>
        <v>0</v>
      </c>
      <c r="M1341" s="5341">
        <v>0</v>
      </c>
      <c r="N1341" s="5342">
        <f>(G1341 * M1341)</f>
        <v>0</v>
      </c>
      <c r="O1341">
        <v>0</v>
      </c>
      <c r="P1341">
        <v>0</v>
      </c>
      <c r="Q1341">
        <f>IF(O1341&gt;G1341,(O1341-G1341),0)</f>
        <v>0</v>
      </c>
      <c r="R1341">
        <v>0</v>
      </c>
      <c r="S1341">
        <f>IF(Q1341&gt;0,Int(P1341/Q1341),0)</f>
        <v>0</v>
      </c>
      <c r="T1341">
        <f>0</f>
        <v>0</v>
      </c>
      <c r="U1341"/>
      <c r="V1341">
        <v>0</v>
      </c>
      <c r="W1341">
        <v>0</v>
      </c>
      <c r="X1341"/>
    </row>
    <row r="1342" spans="1:27">
      <c r="A1342" t="s">
        <v>35</v>
      </c>
      <c r="B1342" t="s">
        <v>29</v>
      </c>
      <c r="C1342" t="s">
        <v>4614</v>
      </c>
      <c r="D1342" t="s">
        <v>4614</v>
      </c>
      <c r="E1342" t="s">
        <v>4615</v>
      </c>
      <c r="F1342" t="s">
        <v>33</v>
      </c>
      <c r="G1342">
        <v>0</v>
      </c>
      <c r="H1342">
        <f>((1/1000) * G1342)</f>
        <v>0</v>
      </c>
      <c r="I1342">
        <v>0</v>
      </c>
      <c r="J1342">
        <v>0</v>
      </c>
      <c r="K1342" s="5343">
        <v>0</v>
      </c>
      <c r="L1342" s="5344">
        <f>(K1342 * G1342)</f>
        <v>0</v>
      </c>
      <c r="M1342" s="5345">
        <v>0</v>
      </c>
      <c r="N1342" s="5346">
        <f>(G1342 * M1342)</f>
        <v>0</v>
      </c>
      <c r="O1342">
        <v>0</v>
      </c>
      <c r="P1342">
        <v>0</v>
      </c>
      <c r="Q1342">
        <f>IF(O1342&gt;G1342,(O1342-G1342),0)</f>
        <v>0</v>
      </c>
      <c r="R1342">
        <v>0</v>
      </c>
      <c r="S1342">
        <f>IF(Q1342&gt;0,Int(P1342/Q1342),0)</f>
        <v>0</v>
      </c>
      <c r="T1342">
        <f>0</f>
        <v>0</v>
      </c>
      <c r="U1342"/>
      <c r="V1342">
        <v>0</v>
      </c>
      <c r="W1342">
        <v>0</v>
      </c>
      <c r="X1342"/>
    </row>
    <row r="1343" spans="1:27">
      <c r="A1343" t="s">
        <v>35</v>
      </c>
      <c r="B1343" t="s">
        <v>29</v>
      </c>
      <c r="C1343" t="s">
        <v>4616</v>
      </c>
      <c r="D1343" t="s">
        <v>4616</v>
      </c>
      <c r="E1343" t="s">
        <v>4617</v>
      </c>
      <c r="F1343" t="s">
        <v>33</v>
      </c>
      <c r="G1343">
        <v>0</v>
      </c>
      <c r="H1343">
        <f>((1/1000) * G1343)</f>
        <v>0</v>
      </c>
      <c r="I1343">
        <v>0</v>
      </c>
      <c r="J1343">
        <v>0</v>
      </c>
      <c r="K1343" s="5347">
        <v>0</v>
      </c>
      <c r="L1343" s="5348">
        <f>(K1343 * G1343)</f>
        <v>0</v>
      </c>
      <c r="M1343" s="5349">
        <v>0</v>
      </c>
      <c r="N1343" s="5350">
        <f>(G1343 * M1343)</f>
        <v>0</v>
      </c>
      <c r="O1343">
        <v>0</v>
      </c>
      <c r="P1343">
        <v>0</v>
      </c>
      <c r="Q1343">
        <f>IF(O1343&gt;G1343,(O1343-G1343),0)</f>
        <v>0</v>
      </c>
      <c r="R1343">
        <v>0</v>
      </c>
      <c r="S1343">
        <f>IF(Q1343&gt;0,Int(P1343/Q1343),0)</f>
        <v>0</v>
      </c>
      <c r="T1343">
        <f>0</f>
        <v>0</v>
      </c>
      <c r="U1343"/>
      <c r="V1343">
        <v>0</v>
      </c>
      <c r="W1343">
        <v>0</v>
      </c>
      <c r="X1343"/>
    </row>
    <row r="1344" spans="1:27">
      <c r="A1344" t="s">
        <v>28</v>
      </c>
      <c r="B1344" t="s">
        <v>29</v>
      </c>
      <c r="C1344" t="s">
        <v>4618</v>
      </c>
      <c r="D1344" t="s">
        <v>4618</v>
      </c>
      <c r="E1344" t="s">
        <v>4619</v>
      </c>
      <c r="F1344" t="s">
        <v>41</v>
      </c>
      <c r="G1344">
        <v>4</v>
      </c>
      <c r="H1344">
        <f>((0/1000) * G1344)</f>
        <v>0</v>
      </c>
      <c r="I1344">
        <v>0</v>
      </c>
      <c r="J1344">
        <v>4</v>
      </c>
      <c r="K1344" s="5351">
        <v>115049</v>
      </c>
      <c r="L1344" s="5352">
        <f>(K1344 * G1344)</f>
        <v>460196</v>
      </c>
      <c r="M1344" s="5353">
        <v>172573.5</v>
      </c>
      <c r="N1344" s="5354">
        <f>(G1344 * M1344)</f>
        <v>690294</v>
      </c>
      <c r="O1344">
        <v>0</v>
      </c>
      <c r="P1344">
        <v>0</v>
      </c>
      <c r="Q1344">
        <f>IF(O1344&gt;G1344,(O1344-G1344),0)</f>
        <v>0</v>
      </c>
      <c r="R1344">
        <v>0</v>
      </c>
      <c r="S1344">
        <f>IF(Q1344&gt;0,Int(P1344/Q1344),0)</f>
        <v>0</v>
      </c>
      <c r="T1344">
        <f>139210</f>
        <v>139210</v>
      </c>
      <c r="U1344" t="s">
        <v>3730</v>
      </c>
      <c r="V1344">
        <v>115049</v>
      </c>
      <c r="W1344" t="s">
        <v>48</v>
      </c>
      <c r="X1344" t="s">
        <v>239</v>
      </c>
    </row>
    <row r="1345" spans="1:27">
      <c r="A1345" t="s">
        <v>35</v>
      </c>
      <c r="B1345" t="s">
        <v>29</v>
      </c>
      <c r="C1345" t="s">
        <v>4620</v>
      </c>
      <c r="D1345" t="s">
        <v>4621</v>
      </c>
      <c r="E1345" t="s">
        <v>4622</v>
      </c>
      <c r="F1345" t="s">
        <v>41</v>
      </c>
      <c r="G1345">
        <v>0</v>
      </c>
      <c r="H1345">
        <f>((1/1000) * G1345)</f>
        <v>0</v>
      </c>
      <c r="I1345">
        <v>0</v>
      </c>
      <c r="J1345">
        <v>0</v>
      </c>
      <c r="K1345" s="5355">
        <v>260118.03</v>
      </c>
      <c r="L1345" s="5356">
        <f>(K1345 * G1345)</f>
        <v>0</v>
      </c>
      <c r="M1345" s="5357">
        <v>286129.83</v>
      </c>
      <c r="N1345" s="5358">
        <f>(G1345 * M1345)</f>
        <v>0</v>
      </c>
      <c r="O1345">
        <v>0</v>
      </c>
      <c r="P1345">
        <v>0</v>
      </c>
      <c r="Q1345">
        <f>IF(O1345&gt;G1345,(O1345-G1345),0)</f>
        <v>0</v>
      </c>
      <c r="R1345">
        <v>1</v>
      </c>
      <c r="S1345">
        <f>IF(Q1345&gt;0,Int(P1345/Q1345),0)</f>
        <v>0</v>
      </c>
      <c r="T1345">
        <f>0</f>
        <v>0</v>
      </c>
      <c r="U1345"/>
      <c r="V1345">
        <v>260118.03</v>
      </c>
      <c r="W1345" t="s">
        <v>43</v>
      </c>
      <c r="X1345"/>
    </row>
    <row r="1346" spans="1:27">
      <c r="A1346" t="s">
        <v>35</v>
      </c>
      <c r="B1346" t="s">
        <v>29</v>
      </c>
      <c r="C1346" t="s">
        <v>4623</v>
      </c>
      <c r="D1346" t="s">
        <v>4624</v>
      </c>
      <c r="E1346" t="s">
        <v>4625</v>
      </c>
      <c r="F1346" t="s">
        <v>41</v>
      </c>
      <c r="G1346">
        <v>0</v>
      </c>
      <c r="H1346">
        <f>((1/1000) * G1346)</f>
        <v>0</v>
      </c>
      <c r="I1346">
        <v>0</v>
      </c>
      <c r="J1346">
        <v>0</v>
      </c>
      <c r="K1346" s="5359">
        <v>294188.18</v>
      </c>
      <c r="L1346" s="5360">
        <f>(K1346 * G1346)</f>
        <v>0</v>
      </c>
      <c r="M1346" s="5361">
        <v>294188.18</v>
      </c>
      <c r="N1346" s="5362">
        <f>(G1346 * M1346)</f>
        <v>0</v>
      </c>
      <c r="O1346">
        <v>0</v>
      </c>
      <c r="P1346">
        <v>0</v>
      </c>
      <c r="Q1346">
        <f>IF(O1346&gt;G1346,(O1346-G1346),0)</f>
        <v>0</v>
      </c>
      <c r="R1346">
        <v>1</v>
      </c>
      <c r="S1346">
        <f>IF(Q1346&gt;0,Int(P1346/Q1346),0)</f>
        <v>0</v>
      </c>
      <c r="T1346">
        <f>0</f>
        <v>0</v>
      </c>
      <c r="U1346"/>
      <c r="V1346">
        <v>294188.18</v>
      </c>
      <c r="W1346" t="s">
        <v>43</v>
      </c>
      <c r="X1346"/>
    </row>
    <row r="1347" spans="1:27">
      <c r="A1347" t="s">
        <v>35</v>
      </c>
      <c r="B1347" t="s">
        <v>29</v>
      </c>
      <c r="C1347" t="s">
        <v>4626</v>
      </c>
      <c r="D1347" t="s">
        <v>4627</v>
      </c>
      <c r="E1347" t="s">
        <v>4628</v>
      </c>
      <c r="F1347" t="s">
        <v>41</v>
      </c>
      <c r="G1347">
        <v>0</v>
      </c>
      <c r="H1347">
        <f>((1/1000) * G1347)</f>
        <v>0</v>
      </c>
      <c r="I1347">
        <v>0</v>
      </c>
      <c r="J1347">
        <v>0</v>
      </c>
      <c r="K1347" s="5363">
        <v>279352.31</v>
      </c>
      <c r="L1347" s="5364">
        <f>(K1347 * G1347)</f>
        <v>0</v>
      </c>
      <c r="M1347" s="5365">
        <v>307287.54</v>
      </c>
      <c r="N1347" s="5366">
        <f>(G1347 * M1347)</f>
        <v>0</v>
      </c>
      <c r="O1347">
        <v>0</v>
      </c>
      <c r="P1347">
        <v>0</v>
      </c>
      <c r="Q1347">
        <f>IF(O1347&gt;G1347,(O1347-G1347),0)</f>
        <v>0</v>
      </c>
      <c r="R1347">
        <v>1</v>
      </c>
      <c r="S1347">
        <f>IF(Q1347&gt;0,Int(P1347/Q1347),0)</f>
        <v>0</v>
      </c>
      <c r="T1347">
        <f>0</f>
        <v>0</v>
      </c>
      <c r="U1347"/>
      <c r="V1347">
        <v>279352.31</v>
      </c>
      <c r="W1347" t="s">
        <v>43</v>
      </c>
      <c r="X1347"/>
    </row>
    <row r="1348" spans="1:27">
      <c r="A1348" t="s">
        <v>28</v>
      </c>
      <c r="B1348" t="s">
        <v>29</v>
      </c>
      <c r="C1348" t="s">
        <v>4629</v>
      </c>
      <c r="D1348" t="s">
        <v>4630</v>
      </c>
      <c r="E1348" t="s">
        <v>4631</v>
      </c>
      <c r="F1348" t="s">
        <v>33</v>
      </c>
      <c r="G1348">
        <v>0</v>
      </c>
      <c r="H1348">
        <f>((0/1000) * G1348)</f>
        <v>0</v>
      </c>
      <c r="I1348">
        <v>0</v>
      </c>
      <c r="J1348">
        <v>0</v>
      </c>
      <c r="K1348" s="5367">
        <v>277685.95</v>
      </c>
      <c r="L1348" s="5368">
        <f>(K1348 * G1348)</f>
        <v>0</v>
      </c>
      <c r="M1348" s="5369">
        <v>388760.33</v>
      </c>
      <c r="N1348" s="5370">
        <f>(G1348 * M1348)</f>
        <v>0</v>
      </c>
      <c r="O1348">
        <v>0</v>
      </c>
      <c r="P1348">
        <v>0</v>
      </c>
      <c r="Q1348">
        <f>IF(O1348&gt;G1348,(O1348-G1348),0)</f>
        <v>0</v>
      </c>
      <c r="R1348">
        <v>1</v>
      </c>
      <c r="S1348">
        <f>IF(Q1348&gt;0,Int(P1348/Q1348),0)</f>
        <v>0</v>
      </c>
      <c r="T1348">
        <f>0</f>
        <v>0</v>
      </c>
      <c r="U1348"/>
      <c r="V1348">
        <v>277685.95</v>
      </c>
      <c r="W1348" t="s">
        <v>75</v>
      </c>
      <c r="X1348"/>
    </row>
    <row r="1349" spans="1:27">
      <c r="A1349" t="s">
        <v>28</v>
      </c>
      <c r="B1349" t="s">
        <v>29</v>
      </c>
      <c r="C1349" t="s">
        <v>4632</v>
      </c>
      <c r="D1349" t="s">
        <v>4633</v>
      </c>
      <c r="E1349" t="s">
        <v>4634</v>
      </c>
      <c r="F1349" t="s">
        <v>33</v>
      </c>
      <c r="G1349">
        <v>4</v>
      </c>
      <c r="H1349">
        <f>((0/1000) * G1349)</f>
        <v>0</v>
      </c>
      <c r="I1349">
        <v>0</v>
      </c>
      <c r="J1349">
        <v>4</v>
      </c>
      <c r="K1349" s="5371">
        <v>292343.81</v>
      </c>
      <c r="L1349" s="5372">
        <f>(K1349 * G1349)</f>
        <v>1169375.24</v>
      </c>
      <c r="M1349" s="5373">
        <v>321578.19</v>
      </c>
      <c r="N1349" s="5374">
        <f>(G1349 * M1349)</f>
        <v>1286312.76</v>
      </c>
      <c r="O1349">
        <v>0</v>
      </c>
      <c r="P1349">
        <v>0</v>
      </c>
      <c r="Q1349">
        <f>IF(O1349&gt;G1349,(O1349-G1349),0)</f>
        <v>0</v>
      </c>
      <c r="R1349">
        <v>1</v>
      </c>
      <c r="S1349">
        <f>IF(Q1349&gt;0,Int(P1349/Q1349),0)</f>
        <v>0</v>
      </c>
      <c r="T1349">
        <f>265767.1</f>
        <v>265767.1</v>
      </c>
      <c r="U1349" t="s">
        <v>4635</v>
      </c>
      <c r="V1349">
        <v>292343.81</v>
      </c>
      <c r="W1349" t="s">
        <v>279</v>
      </c>
      <c r="X1349" t="s">
        <v>81</v>
      </c>
    </row>
    <row r="1350" spans="1:27">
      <c r="A1350" t="s">
        <v>35</v>
      </c>
      <c r="B1350" t="s">
        <v>29</v>
      </c>
      <c r="C1350" t="s">
        <v>4636</v>
      </c>
      <c r="D1350" t="s">
        <v>4637</v>
      </c>
      <c r="E1350" t="s">
        <v>4638</v>
      </c>
      <c r="F1350" t="s">
        <v>33</v>
      </c>
      <c r="G1350">
        <v>0</v>
      </c>
      <c r="H1350">
        <f>((0/1000) * G1350)</f>
        <v>0</v>
      </c>
      <c r="I1350">
        <v>0</v>
      </c>
      <c r="J1350">
        <v>0</v>
      </c>
      <c r="K1350" s="5375">
        <v>283801.65</v>
      </c>
      <c r="L1350" s="5376">
        <f>(K1350 * G1350)</f>
        <v>0</v>
      </c>
      <c r="M1350" s="5377">
        <v>312181.82</v>
      </c>
      <c r="N1350" s="5378">
        <f>(G1350 * M1350)</f>
        <v>0</v>
      </c>
      <c r="O1350">
        <v>0</v>
      </c>
      <c r="P1350">
        <v>0</v>
      </c>
      <c r="Q1350">
        <f>IF(O1350&gt;G1350,(O1350-G1350),0)</f>
        <v>0</v>
      </c>
      <c r="R1350">
        <v>1</v>
      </c>
      <c r="S1350">
        <f>IF(Q1350&gt;0,Int(P1350/Q1350),0)</f>
        <v>0</v>
      </c>
      <c r="T1350">
        <f>287978.96</f>
        <v>287978.96</v>
      </c>
      <c r="U1350" t="s">
        <v>3569</v>
      </c>
      <c r="V1350">
        <v>283801.65</v>
      </c>
      <c r="W1350" t="s">
        <v>43</v>
      </c>
      <c r="X1350"/>
    </row>
    <row r="1351" spans="1:27">
      <c r="A1351" t="s">
        <v>28</v>
      </c>
      <c r="B1351" t="s">
        <v>29</v>
      </c>
      <c r="C1351" t="s">
        <v>4639</v>
      </c>
      <c r="D1351" t="s">
        <v>4640</v>
      </c>
      <c r="E1351" t="s">
        <v>4641</v>
      </c>
      <c r="F1351" t="s">
        <v>41</v>
      </c>
      <c r="G1351">
        <v>0</v>
      </c>
      <c r="H1351">
        <f>((0/1000) * G1351)</f>
        <v>0</v>
      </c>
      <c r="I1351">
        <v>0</v>
      </c>
      <c r="J1351">
        <v>0</v>
      </c>
      <c r="K1351" s="5379">
        <v>261157.03</v>
      </c>
      <c r="L1351" s="5380">
        <f>(K1351 * G1351)</f>
        <v>0</v>
      </c>
      <c r="M1351" s="5381">
        <v>287272.73</v>
      </c>
      <c r="N1351" s="5382">
        <f>(G1351 * M1351)</f>
        <v>0</v>
      </c>
      <c r="O1351">
        <v>0</v>
      </c>
      <c r="P1351">
        <v>0</v>
      </c>
      <c r="Q1351">
        <f>IF(O1351&gt;G1351,(O1351-G1351),0)</f>
        <v>0</v>
      </c>
      <c r="R1351">
        <v>1</v>
      </c>
      <c r="S1351">
        <f>IF(Q1351&gt;0,Int(P1351/Q1351),0)</f>
        <v>0</v>
      </c>
      <c r="T1351">
        <f>0</f>
        <v>0</v>
      </c>
      <c r="U1351"/>
      <c r="V1351">
        <v>261157.03</v>
      </c>
      <c r="W1351" t="s">
        <v>43</v>
      </c>
      <c r="X1351"/>
    </row>
    <row r="1352" spans="1:27">
      <c r="A1352" t="s">
        <v>28</v>
      </c>
      <c r="B1352" t="s">
        <v>29</v>
      </c>
      <c r="C1352" t="s">
        <v>4642</v>
      </c>
      <c r="D1352" t="s">
        <v>4643</v>
      </c>
      <c r="E1352" t="s">
        <v>4644</v>
      </c>
      <c r="F1352" t="s">
        <v>41</v>
      </c>
      <c r="G1352">
        <v>0</v>
      </c>
      <c r="H1352">
        <f>((0/1000) * G1352)</f>
        <v>0</v>
      </c>
      <c r="I1352">
        <v>0</v>
      </c>
      <c r="J1352">
        <v>0</v>
      </c>
      <c r="K1352" s="5383">
        <v>281202.81</v>
      </c>
      <c r="L1352" s="5384">
        <f>(K1352 * G1352)</f>
        <v>0</v>
      </c>
      <c r="M1352" s="5385">
        <v>393683.94</v>
      </c>
      <c r="N1352" s="5386">
        <f>(G1352 * M1352)</f>
        <v>0</v>
      </c>
      <c r="O1352">
        <v>0</v>
      </c>
      <c r="P1352">
        <v>0</v>
      </c>
      <c r="Q1352">
        <f>IF(O1352&gt;G1352,(O1352-G1352),0)</f>
        <v>0</v>
      </c>
      <c r="R1352">
        <v>1</v>
      </c>
      <c r="S1352">
        <f>IF(Q1352&gt;0,Int(P1352/Q1352),0)</f>
        <v>0</v>
      </c>
      <c r="T1352">
        <f>265322.72</f>
        <v>265322.72</v>
      </c>
      <c r="U1352" t="s">
        <v>4645</v>
      </c>
      <c r="V1352">
        <v>281202.81</v>
      </c>
      <c r="W1352" t="s">
        <v>182</v>
      </c>
      <c r="X1352"/>
    </row>
    <row r="1353" spans="1:27">
      <c r="A1353" t="s">
        <v>28</v>
      </c>
      <c r="B1353" t="s">
        <v>29</v>
      </c>
      <c r="C1353" t="s">
        <v>4646</v>
      </c>
      <c r="D1353" t="s">
        <v>4647</v>
      </c>
      <c r="E1353" t="s">
        <v>4648</v>
      </c>
      <c r="F1353" t="s">
        <v>33</v>
      </c>
      <c r="G1353">
        <v>0</v>
      </c>
      <c r="H1353">
        <f>((0/1000) * G1353)</f>
        <v>0</v>
      </c>
      <c r="I1353">
        <v>0</v>
      </c>
      <c r="J1353">
        <v>0</v>
      </c>
      <c r="K1353" s="5387">
        <v>281202.81</v>
      </c>
      <c r="L1353" s="5388">
        <f>(K1353 * G1353)</f>
        <v>0</v>
      </c>
      <c r="M1353" s="5389">
        <v>393683.94</v>
      </c>
      <c r="N1353" s="5390">
        <f>(G1353 * M1353)</f>
        <v>0</v>
      </c>
      <c r="O1353">
        <v>0</v>
      </c>
      <c r="P1353">
        <v>0</v>
      </c>
      <c r="Q1353">
        <f>IF(O1353&gt;G1353,(O1353-G1353),0)</f>
        <v>0</v>
      </c>
      <c r="R1353">
        <v>1</v>
      </c>
      <c r="S1353">
        <f>IF(Q1353&gt;0,Int(P1353/Q1353),0)</f>
        <v>0</v>
      </c>
      <c r="T1353">
        <f>255281.98</f>
        <v>255281.98</v>
      </c>
      <c r="U1353" t="s">
        <v>4649</v>
      </c>
      <c r="V1353">
        <v>281202.81</v>
      </c>
      <c r="W1353" t="s">
        <v>182</v>
      </c>
      <c r="X1353"/>
    </row>
    <row r="1354" spans="1:27">
      <c r="A1354" t="s">
        <v>28</v>
      </c>
      <c r="B1354" t="s">
        <v>29</v>
      </c>
      <c r="C1354" t="s">
        <v>4650</v>
      </c>
      <c r="D1354" t="s">
        <v>4651</v>
      </c>
      <c r="E1354" t="s">
        <v>4652</v>
      </c>
      <c r="F1354" t="s">
        <v>41</v>
      </c>
      <c r="G1354">
        <v>0</v>
      </c>
      <c r="H1354">
        <f>((0/1000) * G1354)</f>
        <v>0</v>
      </c>
      <c r="I1354">
        <v>0</v>
      </c>
      <c r="J1354">
        <v>0</v>
      </c>
      <c r="K1354" s="5391">
        <v>323735.36</v>
      </c>
      <c r="L1354" s="5392">
        <f>(K1354 * G1354)</f>
        <v>0</v>
      </c>
      <c r="M1354" s="5393">
        <v>453229.5</v>
      </c>
      <c r="N1354" s="5394">
        <f>(G1354 * M1354)</f>
        <v>0</v>
      </c>
      <c r="O1354">
        <v>0</v>
      </c>
      <c r="P1354">
        <v>0</v>
      </c>
      <c r="Q1354">
        <f>IF(O1354&gt;G1354,(O1354-G1354),0)</f>
        <v>0</v>
      </c>
      <c r="R1354">
        <v>1</v>
      </c>
      <c r="S1354">
        <f>IF(Q1354&gt;0,Int(P1354/Q1354),0)</f>
        <v>0</v>
      </c>
      <c r="T1354">
        <f>125394.44</f>
        <v>125394.44</v>
      </c>
      <c r="U1354" t="s">
        <v>4653</v>
      </c>
      <c r="V1354">
        <v>323735.36</v>
      </c>
      <c r="W1354" t="s">
        <v>75</v>
      </c>
      <c r="X1354"/>
    </row>
    <row r="1355" spans="1:27">
      <c r="A1355" t="s">
        <v>28</v>
      </c>
      <c r="B1355" t="s">
        <v>29</v>
      </c>
      <c r="C1355" t="s">
        <v>4654</v>
      </c>
      <c r="D1355" t="s">
        <v>4655</v>
      </c>
      <c r="E1355" t="s">
        <v>4656</v>
      </c>
      <c r="F1355" t="s">
        <v>33</v>
      </c>
      <c r="G1355">
        <v>0</v>
      </c>
      <c r="H1355">
        <f>((0/1000) * G1355)</f>
        <v>0</v>
      </c>
      <c r="I1355">
        <v>0</v>
      </c>
      <c r="J1355">
        <v>0</v>
      </c>
      <c r="K1355" s="5395">
        <v>244345.28</v>
      </c>
      <c r="L1355" s="5396">
        <f>(K1355 * G1355)</f>
        <v>0</v>
      </c>
      <c r="M1355" s="5397">
        <v>342083.4</v>
      </c>
      <c r="N1355" s="5398">
        <f>(G1355 * M1355)</f>
        <v>0</v>
      </c>
      <c r="O1355">
        <v>0</v>
      </c>
      <c r="P1355">
        <v>0</v>
      </c>
      <c r="Q1355">
        <f>IF(O1355&gt;G1355,(O1355-G1355),0)</f>
        <v>0</v>
      </c>
      <c r="R1355">
        <v>1</v>
      </c>
      <c r="S1355">
        <f>IF(Q1355&gt;0,Int(P1355/Q1355),0)</f>
        <v>0</v>
      </c>
      <c r="T1355">
        <f>218185</f>
        <v>218185</v>
      </c>
      <c r="U1355" t="s">
        <v>4657</v>
      </c>
      <c r="V1355">
        <v>244345.28</v>
      </c>
      <c r="W1355" t="s">
        <v>182</v>
      </c>
      <c r="X1355"/>
    </row>
    <row r="1356" spans="1:27">
      <c r="A1356" t="s">
        <v>28</v>
      </c>
      <c r="B1356" t="s">
        <v>29</v>
      </c>
      <c r="C1356" t="s">
        <v>4658</v>
      </c>
      <c r="D1356" t="s">
        <v>4659</v>
      </c>
      <c r="E1356" t="s">
        <v>4660</v>
      </c>
      <c r="F1356" t="s">
        <v>33</v>
      </c>
      <c r="G1356">
        <v>0</v>
      </c>
      <c r="H1356">
        <f>((0/1000) * G1356)</f>
        <v>0</v>
      </c>
      <c r="I1356">
        <v>0</v>
      </c>
      <c r="J1356">
        <v>0</v>
      </c>
      <c r="K1356" s="5399">
        <v>0</v>
      </c>
      <c r="L1356" s="5400">
        <f>(K1356 * G1356)</f>
        <v>0</v>
      </c>
      <c r="M1356" s="5401">
        <v>0</v>
      </c>
      <c r="N1356" s="5402">
        <f>(G1356 * M1356)</f>
        <v>0</v>
      </c>
      <c r="O1356">
        <v>0</v>
      </c>
      <c r="P1356">
        <v>0</v>
      </c>
      <c r="Q1356">
        <f>IF(O1356&gt;G1356,(O1356-G1356),0)</f>
        <v>0</v>
      </c>
      <c r="R1356">
        <v>0</v>
      </c>
      <c r="S1356">
        <f>IF(Q1356&gt;0,Int(P1356/Q1356),0)</f>
        <v>0</v>
      </c>
      <c r="T1356">
        <f>0</f>
        <v>0</v>
      </c>
      <c r="U1356" t="s">
        <v>4661</v>
      </c>
      <c r="V1356">
        <v>0</v>
      </c>
      <c r="W1356">
        <v>0</v>
      </c>
      <c r="X1356"/>
    </row>
    <row r="1357" spans="1:27">
      <c r="A1357" t="s">
        <v>28</v>
      </c>
      <c r="B1357" t="s">
        <v>29</v>
      </c>
      <c r="C1357" t="s">
        <v>4662</v>
      </c>
      <c r="D1357" t="s">
        <v>4610</v>
      </c>
      <c r="E1357" t="s">
        <v>4663</v>
      </c>
      <c r="F1357" t="s">
        <v>33</v>
      </c>
      <c r="G1357">
        <v>0</v>
      </c>
      <c r="H1357">
        <f>((0/1000) * G1357)</f>
        <v>0</v>
      </c>
      <c r="I1357">
        <v>0</v>
      </c>
      <c r="J1357">
        <v>0</v>
      </c>
      <c r="K1357" s="5403">
        <v>236500</v>
      </c>
      <c r="L1357" s="5404">
        <f>(K1357 * G1357)</f>
        <v>0</v>
      </c>
      <c r="M1357" s="5405">
        <v>331100</v>
      </c>
      <c r="N1357" s="5406">
        <f>(G1357 * M1357)</f>
        <v>0</v>
      </c>
      <c r="O1357">
        <v>0</v>
      </c>
      <c r="P1357">
        <v>0</v>
      </c>
      <c r="Q1357">
        <f>IF(O1357&gt;G1357,(O1357-G1357),0)</f>
        <v>0</v>
      </c>
      <c r="R1357">
        <v>1</v>
      </c>
      <c r="S1357">
        <f>IF(Q1357&gt;0,Int(P1357/Q1357),0)</f>
        <v>0</v>
      </c>
      <c r="T1357">
        <f>0</f>
        <v>0</v>
      </c>
      <c r="U1357"/>
      <c r="V1357">
        <v>236500</v>
      </c>
      <c r="W1357" t="s">
        <v>75</v>
      </c>
      <c r="X1357"/>
    </row>
    <row r="1358" spans="1:27">
      <c r="A1358" t="s">
        <v>28</v>
      </c>
      <c r="B1358" t="s">
        <v>29</v>
      </c>
      <c r="C1358" t="s">
        <v>4664</v>
      </c>
      <c r="D1358" t="s">
        <v>4665</v>
      </c>
      <c r="E1358" t="s">
        <v>4666</v>
      </c>
      <c r="F1358" t="s">
        <v>33</v>
      </c>
      <c r="G1358">
        <v>3</v>
      </c>
      <c r="H1358">
        <f>((0/1000) * G1358)</f>
        <v>0</v>
      </c>
      <c r="I1358">
        <v>0</v>
      </c>
      <c r="J1358">
        <v>3</v>
      </c>
      <c r="K1358" s="5407">
        <v>157022</v>
      </c>
      <c r="L1358" s="5408">
        <f>(K1358 * G1358)</f>
        <v>471066</v>
      </c>
      <c r="M1358" s="5409">
        <v>239669.42</v>
      </c>
      <c r="N1358" s="5410">
        <f>(G1358 * M1358)</f>
        <v>719008.26</v>
      </c>
      <c r="O1358">
        <v>0</v>
      </c>
      <c r="P1358">
        <v>0</v>
      </c>
      <c r="Q1358">
        <f>IF(O1358&gt;G1358,(O1358-G1358),0)</f>
        <v>0</v>
      </c>
      <c r="R1358">
        <v>1</v>
      </c>
      <c r="S1358">
        <f>IF(Q1358&gt;0,Int(P1358/Q1358),0)</f>
        <v>0</v>
      </c>
      <c r="T1358">
        <f>157022</f>
        <v>157022</v>
      </c>
      <c r="U1358" t="s">
        <v>993</v>
      </c>
      <c r="V1358">
        <v>157022</v>
      </c>
      <c r="W1358" t="s">
        <v>3640</v>
      </c>
      <c r="X1358" t="s">
        <v>166</v>
      </c>
    </row>
    <row r="1359" spans="1:27">
      <c r="A1359" t="s">
        <v>28</v>
      </c>
      <c r="B1359" t="s">
        <v>29</v>
      </c>
      <c r="C1359" t="s">
        <v>4667</v>
      </c>
      <c r="D1359" t="s">
        <v>4668</v>
      </c>
      <c r="E1359" t="s">
        <v>4669</v>
      </c>
      <c r="F1359" t="s">
        <v>33</v>
      </c>
      <c r="G1359">
        <v>1</v>
      </c>
      <c r="H1359">
        <f>((0/1000) * G1359)</f>
        <v>0</v>
      </c>
      <c r="I1359">
        <v>0</v>
      </c>
      <c r="J1359">
        <v>1</v>
      </c>
      <c r="K1359" s="5411">
        <v>256562.55</v>
      </c>
      <c r="L1359" s="5412">
        <f>(K1359 * G1359)</f>
        <v>256562.55</v>
      </c>
      <c r="M1359" s="5413">
        <v>359187.57</v>
      </c>
      <c r="N1359" s="5414">
        <f>(G1359 * M1359)</f>
        <v>359187.57</v>
      </c>
      <c r="O1359">
        <v>0</v>
      </c>
      <c r="P1359">
        <v>0</v>
      </c>
      <c r="Q1359">
        <f>IF(O1359&gt;G1359,(O1359-G1359),0)</f>
        <v>0</v>
      </c>
      <c r="R1359">
        <v>1</v>
      </c>
      <c r="S1359">
        <f>IF(Q1359&gt;0,Int(P1359/Q1359),0)</f>
        <v>0</v>
      </c>
      <c r="T1359">
        <f>228083.63</f>
        <v>228083.63</v>
      </c>
      <c r="U1359" t="s">
        <v>4670</v>
      </c>
      <c r="V1359">
        <v>256562.55</v>
      </c>
      <c r="W1359" t="s">
        <v>182</v>
      </c>
      <c r="X1359"/>
    </row>
    <row r="1360" spans="1:27">
      <c r="A1360" t="s">
        <v>35</v>
      </c>
      <c r="B1360" t="s">
        <v>29</v>
      </c>
      <c r="C1360" t="s">
        <v>4671</v>
      </c>
      <c r="D1360" t="s">
        <v>4672</v>
      </c>
      <c r="E1360" t="s">
        <v>4673</v>
      </c>
      <c r="F1360" t="s">
        <v>41</v>
      </c>
      <c r="G1360">
        <v>3</v>
      </c>
      <c r="H1360">
        <f>((0/1000) * G1360)</f>
        <v>0</v>
      </c>
      <c r="I1360">
        <v>0</v>
      </c>
      <c r="J1360">
        <v>3</v>
      </c>
      <c r="K1360" s="5415">
        <v>252271.8</v>
      </c>
      <c r="L1360" s="5416">
        <f>(K1360 * G1360)</f>
        <v>756815.4</v>
      </c>
      <c r="M1360" s="5417">
        <v>327953.34</v>
      </c>
      <c r="N1360" s="5418">
        <f>(G1360 * M1360)</f>
        <v>983860.02</v>
      </c>
      <c r="O1360">
        <v>0</v>
      </c>
      <c r="P1360">
        <v>0</v>
      </c>
      <c r="Q1360">
        <f>IF(O1360&gt;G1360,(O1360-G1360),0)</f>
        <v>0</v>
      </c>
      <c r="R1360">
        <v>1</v>
      </c>
      <c r="S1360">
        <f>IF(Q1360&gt;0,Int(P1360/Q1360),0)</f>
        <v>0</v>
      </c>
      <c r="T1360">
        <f>252271.8</f>
        <v>252271.8</v>
      </c>
      <c r="U1360" t="s">
        <v>135</v>
      </c>
      <c r="V1360">
        <v>252271.8</v>
      </c>
      <c r="W1360" t="s">
        <v>80</v>
      </c>
      <c r="X1360" t="s">
        <v>49</v>
      </c>
    </row>
    <row r="1361" spans="1:27">
      <c r="A1361" t="s">
        <v>28</v>
      </c>
      <c r="B1361" t="s">
        <v>29</v>
      </c>
      <c r="C1361" t="s">
        <v>4674</v>
      </c>
      <c r="D1361" t="s">
        <v>4675</v>
      </c>
      <c r="E1361" t="s">
        <v>4676</v>
      </c>
      <c r="F1361" t="s">
        <v>41</v>
      </c>
      <c r="G1361">
        <v>0</v>
      </c>
      <c r="H1361">
        <f>((0/1000) * G1361)</f>
        <v>0</v>
      </c>
      <c r="I1361">
        <v>0</v>
      </c>
      <c r="J1361">
        <v>0</v>
      </c>
      <c r="K1361" s="5419">
        <v>261983.47</v>
      </c>
      <c r="L1361" s="5420">
        <f>(K1361 * G1361)</f>
        <v>0</v>
      </c>
      <c r="M1361" s="5421">
        <v>288181.82</v>
      </c>
      <c r="N1361" s="5422">
        <f>(G1361 * M1361)</f>
        <v>0</v>
      </c>
      <c r="O1361">
        <v>0</v>
      </c>
      <c r="P1361">
        <v>0</v>
      </c>
      <c r="Q1361">
        <f>IF(O1361&gt;G1361,(O1361-G1361),0)</f>
        <v>0</v>
      </c>
      <c r="R1361">
        <v>1</v>
      </c>
      <c r="S1361">
        <f>IF(Q1361&gt;0,Int(P1361/Q1361),0)</f>
        <v>0</v>
      </c>
      <c r="T1361">
        <f>0</f>
        <v>0</v>
      </c>
      <c r="U1361"/>
      <c r="V1361">
        <v>261983.47</v>
      </c>
      <c r="W1361" t="s">
        <v>43</v>
      </c>
      <c r="X1361"/>
    </row>
    <row r="1362" spans="1:27">
      <c r="A1362" t="s">
        <v>35</v>
      </c>
      <c r="B1362" t="s">
        <v>29</v>
      </c>
      <c r="C1362" t="s">
        <v>4677</v>
      </c>
      <c r="D1362" t="s">
        <v>4677</v>
      </c>
      <c r="E1362" t="s">
        <v>4678</v>
      </c>
      <c r="F1362" t="s">
        <v>33</v>
      </c>
      <c r="G1362">
        <v>0</v>
      </c>
      <c r="H1362">
        <f>((1/1000) * G1362)</f>
        <v>0</v>
      </c>
      <c r="I1362">
        <v>0</v>
      </c>
      <c r="J1362">
        <v>0</v>
      </c>
      <c r="K1362" s="5423">
        <v>0</v>
      </c>
      <c r="L1362" s="5424">
        <f>(K1362 * G1362)</f>
        <v>0</v>
      </c>
      <c r="M1362" s="5425">
        <v>0</v>
      </c>
      <c r="N1362" s="5426">
        <f>(G1362 * M1362)</f>
        <v>0</v>
      </c>
      <c r="O1362">
        <v>0</v>
      </c>
      <c r="P1362">
        <v>0</v>
      </c>
      <c r="Q1362">
        <f>IF(O1362&gt;G1362,(O1362-G1362),0)</f>
        <v>0</v>
      </c>
      <c r="R1362">
        <v>0</v>
      </c>
      <c r="S1362">
        <f>IF(Q1362&gt;0,Int(P1362/Q1362),0)</f>
        <v>0</v>
      </c>
      <c r="T1362">
        <f>0</f>
        <v>0</v>
      </c>
      <c r="U1362"/>
      <c r="V1362">
        <v>0</v>
      </c>
      <c r="W1362">
        <v>0</v>
      </c>
      <c r="X1362"/>
    </row>
    <row r="1363" spans="1:27">
      <c r="A1363" t="s">
        <v>35</v>
      </c>
      <c r="B1363" t="s">
        <v>29</v>
      </c>
      <c r="C1363" t="s">
        <v>4679</v>
      </c>
      <c r="D1363" t="s">
        <v>4679</v>
      </c>
      <c r="E1363" t="s">
        <v>4680</v>
      </c>
      <c r="F1363" t="s">
        <v>33</v>
      </c>
      <c r="G1363">
        <v>0</v>
      </c>
      <c r="H1363">
        <f>((1/1000) * G1363)</f>
        <v>0</v>
      </c>
      <c r="I1363">
        <v>0</v>
      </c>
      <c r="J1363">
        <v>0</v>
      </c>
      <c r="K1363" s="5427">
        <v>0</v>
      </c>
      <c r="L1363" s="5428">
        <f>(K1363 * G1363)</f>
        <v>0</v>
      </c>
      <c r="M1363" s="5429">
        <v>0</v>
      </c>
      <c r="N1363" s="5430">
        <f>(G1363 * M1363)</f>
        <v>0</v>
      </c>
      <c r="O1363">
        <v>0</v>
      </c>
      <c r="P1363">
        <v>0</v>
      </c>
      <c r="Q1363">
        <f>IF(O1363&gt;G1363,(O1363-G1363),0)</f>
        <v>0</v>
      </c>
      <c r="R1363">
        <v>0</v>
      </c>
      <c r="S1363">
        <f>IF(Q1363&gt;0,Int(P1363/Q1363),0)</f>
        <v>0</v>
      </c>
      <c r="T1363">
        <f>0</f>
        <v>0</v>
      </c>
      <c r="U1363"/>
      <c r="V1363">
        <v>0</v>
      </c>
      <c r="W1363">
        <v>0</v>
      </c>
      <c r="X1363"/>
    </row>
    <row r="1364" spans="1:27">
      <c r="A1364" t="s">
        <v>35</v>
      </c>
      <c r="B1364" t="s">
        <v>29</v>
      </c>
      <c r="C1364" t="s">
        <v>4681</v>
      </c>
      <c r="D1364" t="s">
        <v>4681</v>
      </c>
      <c r="E1364" t="s">
        <v>4682</v>
      </c>
      <c r="F1364" t="s">
        <v>33</v>
      </c>
      <c r="G1364">
        <v>0</v>
      </c>
      <c r="H1364">
        <f>((1/1000) * G1364)</f>
        <v>0</v>
      </c>
      <c r="I1364">
        <v>0</v>
      </c>
      <c r="J1364">
        <v>0</v>
      </c>
      <c r="K1364" s="5431">
        <v>0</v>
      </c>
      <c r="L1364" s="5432">
        <f>(K1364 * G1364)</f>
        <v>0</v>
      </c>
      <c r="M1364" s="5433">
        <v>0</v>
      </c>
      <c r="N1364" s="5434">
        <f>(G1364 * M1364)</f>
        <v>0</v>
      </c>
      <c r="O1364">
        <v>0</v>
      </c>
      <c r="P1364">
        <v>0</v>
      </c>
      <c r="Q1364">
        <f>IF(O1364&gt;G1364,(O1364-G1364),0)</f>
        <v>0</v>
      </c>
      <c r="R1364">
        <v>0</v>
      </c>
      <c r="S1364">
        <f>IF(Q1364&gt;0,Int(P1364/Q1364),0)</f>
        <v>0</v>
      </c>
      <c r="T1364">
        <f>0</f>
        <v>0</v>
      </c>
      <c r="U1364"/>
      <c r="V1364">
        <v>0</v>
      </c>
      <c r="W1364">
        <v>0</v>
      </c>
      <c r="X1364"/>
    </row>
    <row r="1365" spans="1:27">
      <c r="A1365" t="s">
        <v>35</v>
      </c>
      <c r="B1365" t="s">
        <v>29</v>
      </c>
      <c r="C1365" t="s">
        <v>4683</v>
      </c>
      <c r="D1365" t="s">
        <v>4683</v>
      </c>
      <c r="E1365" t="s">
        <v>4684</v>
      </c>
      <c r="F1365" t="s">
        <v>33</v>
      </c>
      <c r="G1365">
        <v>0</v>
      </c>
      <c r="H1365">
        <f>((1/1000) * G1365)</f>
        <v>0</v>
      </c>
      <c r="I1365">
        <v>0</v>
      </c>
      <c r="J1365">
        <v>0</v>
      </c>
      <c r="K1365" s="5435">
        <v>0</v>
      </c>
      <c r="L1365" s="5436">
        <f>(K1365 * G1365)</f>
        <v>0</v>
      </c>
      <c r="M1365" s="5437">
        <v>0</v>
      </c>
      <c r="N1365" s="5438">
        <f>(G1365 * M1365)</f>
        <v>0</v>
      </c>
      <c r="O1365">
        <v>0</v>
      </c>
      <c r="P1365">
        <v>0</v>
      </c>
      <c r="Q1365">
        <f>IF(O1365&gt;G1365,(O1365-G1365),0)</f>
        <v>0</v>
      </c>
      <c r="R1365">
        <v>0</v>
      </c>
      <c r="S1365">
        <f>IF(Q1365&gt;0,Int(P1365/Q1365),0)</f>
        <v>0</v>
      </c>
      <c r="T1365">
        <f>0</f>
        <v>0</v>
      </c>
      <c r="U1365"/>
      <c r="V1365">
        <v>0</v>
      </c>
      <c r="W1365">
        <v>0</v>
      </c>
      <c r="X1365"/>
    </row>
    <row r="1366" spans="1:27">
      <c r="A1366" t="s">
        <v>35</v>
      </c>
      <c r="B1366" t="s">
        <v>29</v>
      </c>
      <c r="C1366" t="s">
        <v>4685</v>
      </c>
      <c r="D1366" t="s">
        <v>4685</v>
      </c>
      <c r="E1366" t="s">
        <v>4686</v>
      </c>
      <c r="F1366" t="s">
        <v>33</v>
      </c>
      <c r="G1366">
        <v>0</v>
      </c>
      <c r="H1366">
        <f>((1/1000) * G1366)</f>
        <v>0</v>
      </c>
      <c r="I1366">
        <v>0</v>
      </c>
      <c r="J1366">
        <v>0</v>
      </c>
      <c r="K1366" s="5439">
        <v>0</v>
      </c>
      <c r="L1366" s="5440">
        <f>(K1366 * G1366)</f>
        <v>0</v>
      </c>
      <c r="M1366" s="5441">
        <v>0</v>
      </c>
      <c r="N1366" s="5442">
        <f>(G1366 * M1366)</f>
        <v>0</v>
      </c>
      <c r="O1366">
        <v>0</v>
      </c>
      <c r="P1366">
        <v>0</v>
      </c>
      <c r="Q1366">
        <f>IF(O1366&gt;G1366,(O1366-G1366),0)</f>
        <v>0</v>
      </c>
      <c r="R1366">
        <v>0</v>
      </c>
      <c r="S1366">
        <f>IF(Q1366&gt;0,Int(P1366/Q1366),0)</f>
        <v>0</v>
      </c>
      <c r="T1366">
        <f>0</f>
        <v>0</v>
      </c>
      <c r="U1366"/>
      <c r="V1366">
        <v>0</v>
      </c>
      <c r="W1366">
        <v>0</v>
      </c>
      <c r="X1366"/>
    </row>
    <row r="1367" spans="1:27">
      <c r="A1367" t="s">
        <v>35</v>
      </c>
      <c r="B1367" t="s">
        <v>29</v>
      </c>
      <c r="C1367" t="s">
        <v>4687</v>
      </c>
      <c r="D1367" t="s">
        <v>4687</v>
      </c>
      <c r="E1367" t="s">
        <v>4688</v>
      </c>
      <c r="F1367" t="s">
        <v>33</v>
      </c>
      <c r="G1367">
        <v>0</v>
      </c>
      <c r="H1367">
        <f>((1/1000) * G1367)</f>
        <v>0</v>
      </c>
      <c r="I1367">
        <v>0</v>
      </c>
      <c r="J1367">
        <v>0</v>
      </c>
      <c r="K1367" s="5443">
        <v>0</v>
      </c>
      <c r="L1367" s="5444">
        <f>(K1367 * G1367)</f>
        <v>0</v>
      </c>
      <c r="M1367" s="5445">
        <v>0</v>
      </c>
      <c r="N1367" s="5446">
        <f>(G1367 * M1367)</f>
        <v>0</v>
      </c>
      <c r="O1367">
        <v>0</v>
      </c>
      <c r="P1367">
        <v>0</v>
      </c>
      <c r="Q1367">
        <f>IF(O1367&gt;G1367,(O1367-G1367),0)</f>
        <v>0</v>
      </c>
      <c r="R1367">
        <v>0</v>
      </c>
      <c r="S1367">
        <f>IF(Q1367&gt;0,Int(P1367/Q1367),0)</f>
        <v>0</v>
      </c>
      <c r="T1367">
        <f>0</f>
        <v>0</v>
      </c>
      <c r="U1367"/>
      <c r="V1367">
        <v>0</v>
      </c>
      <c r="W1367">
        <v>0</v>
      </c>
      <c r="X1367"/>
    </row>
    <row r="1368" spans="1:27">
      <c r="A1368" t="s">
        <v>28</v>
      </c>
      <c r="B1368" t="s">
        <v>29</v>
      </c>
      <c r="C1368" t="s">
        <v>4689</v>
      </c>
      <c r="D1368" t="s">
        <v>4690</v>
      </c>
      <c r="E1368" t="s">
        <v>4691</v>
      </c>
      <c r="F1368" t="s">
        <v>33</v>
      </c>
      <c r="G1368">
        <v>1</v>
      </c>
      <c r="H1368">
        <f>((0/1000) * G1368)</f>
        <v>0</v>
      </c>
      <c r="I1368">
        <v>0</v>
      </c>
      <c r="J1368">
        <v>1</v>
      </c>
      <c r="K1368" s="5447">
        <v>140495.87</v>
      </c>
      <c r="L1368" s="5448">
        <f>(K1368 * G1368)</f>
        <v>140495.87</v>
      </c>
      <c r="M1368" s="5449">
        <v>154545.46</v>
      </c>
      <c r="N1368" s="5450">
        <f>(G1368 * M1368)</f>
        <v>154545.46</v>
      </c>
      <c r="O1368">
        <v>0</v>
      </c>
      <c r="P1368">
        <v>0</v>
      </c>
      <c r="Q1368">
        <f>IF(O1368&gt;G1368,(O1368-G1368),0)</f>
        <v>0</v>
      </c>
      <c r="R1368">
        <v>1</v>
      </c>
      <c r="S1368">
        <f>IF(Q1368&gt;0,Int(P1368/Q1368),0)</f>
        <v>0</v>
      </c>
      <c r="T1368">
        <f>0</f>
        <v>0</v>
      </c>
      <c r="U1368" t="s">
        <v>4692</v>
      </c>
      <c r="V1368">
        <v>140495.87</v>
      </c>
      <c r="W1368" t="s">
        <v>43</v>
      </c>
      <c r="X1368"/>
    </row>
    <row r="1369" spans="1:27">
      <c r="A1369" t="s">
        <v>28</v>
      </c>
      <c r="B1369" t="s">
        <v>29</v>
      </c>
      <c r="C1369" t="s">
        <v>4693</v>
      </c>
      <c r="D1369" t="s">
        <v>4694</v>
      </c>
      <c r="E1369" t="s">
        <v>4695</v>
      </c>
      <c r="F1369" t="s">
        <v>33</v>
      </c>
      <c r="G1369">
        <v>0</v>
      </c>
      <c r="H1369">
        <f>((0/1000) * G1369)</f>
        <v>0</v>
      </c>
      <c r="I1369">
        <v>0</v>
      </c>
      <c r="J1369">
        <v>0</v>
      </c>
      <c r="K1369" s="5451">
        <v>177366.37</v>
      </c>
      <c r="L1369" s="5452">
        <f>(K1369 * G1369)</f>
        <v>0</v>
      </c>
      <c r="M1369" s="5453">
        <v>248312.91</v>
      </c>
      <c r="N1369" s="5454">
        <f>(G1369 * M1369)</f>
        <v>0</v>
      </c>
      <c r="O1369">
        <v>0</v>
      </c>
      <c r="P1369">
        <v>0</v>
      </c>
      <c r="Q1369">
        <f>IF(O1369&gt;G1369,(O1369-G1369),0)</f>
        <v>0</v>
      </c>
      <c r="R1369">
        <v>1</v>
      </c>
      <c r="S1369">
        <f>IF(Q1369&gt;0,Int(P1369/Q1369),0)</f>
        <v>0</v>
      </c>
      <c r="T1369">
        <f>0</f>
        <v>0</v>
      </c>
      <c r="U1369"/>
      <c r="V1369">
        <v>177366.37</v>
      </c>
      <c r="W1369" t="s">
        <v>43</v>
      </c>
      <c r="X1369"/>
    </row>
    <row r="1370" spans="1:27">
      <c r="A1370" t="s">
        <v>28</v>
      </c>
      <c r="B1370" t="s">
        <v>29</v>
      </c>
      <c r="C1370" t="s">
        <v>4696</v>
      </c>
      <c r="D1370" t="s">
        <v>4697</v>
      </c>
      <c r="E1370" t="s">
        <v>4698</v>
      </c>
      <c r="F1370" t="s">
        <v>41</v>
      </c>
      <c r="G1370">
        <v>0</v>
      </c>
      <c r="H1370">
        <f>((0/1000) * G1370)</f>
        <v>0</v>
      </c>
      <c r="I1370">
        <v>0</v>
      </c>
      <c r="J1370">
        <v>0</v>
      </c>
      <c r="K1370" s="5455">
        <v>47200</v>
      </c>
      <c r="L1370" s="5456">
        <f>(K1370 * G1370)</f>
        <v>0</v>
      </c>
      <c r="M1370" s="5457">
        <v>66080</v>
      </c>
      <c r="N1370" s="5458">
        <f>(G1370 * M1370)</f>
        <v>0</v>
      </c>
      <c r="O1370">
        <v>0</v>
      </c>
      <c r="P1370">
        <v>0</v>
      </c>
      <c r="Q1370">
        <f>IF(O1370&gt;G1370,(O1370-G1370),0)</f>
        <v>0</v>
      </c>
      <c r="R1370">
        <v>1</v>
      </c>
      <c r="S1370">
        <f>IF(Q1370&gt;0,Int(P1370/Q1370),0)</f>
        <v>0</v>
      </c>
      <c r="T1370">
        <f>0</f>
        <v>0</v>
      </c>
      <c r="U1370" t="s">
        <v>4699</v>
      </c>
      <c r="V1370">
        <v>47200</v>
      </c>
      <c r="W1370" t="s">
        <v>75</v>
      </c>
      <c r="X1370"/>
    </row>
    <row r="1371" spans="1:27">
      <c r="A1371" t="s">
        <v>28</v>
      </c>
      <c r="B1371" t="s">
        <v>29</v>
      </c>
      <c r="C1371" t="s">
        <v>4700</v>
      </c>
      <c r="D1371" t="s">
        <v>4701</v>
      </c>
      <c r="E1371" t="s">
        <v>4702</v>
      </c>
      <c r="F1371" t="s">
        <v>33</v>
      </c>
      <c r="G1371">
        <v>2</v>
      </c>
      <c r="H1371">
        <f>((0/1000) * G1371)</f>
        <v>0</v>
      </c>
      <c r="I1371">
        <v>0</v>
      </c>
      <c r="J1371">
        <v>2</v>
      </c>
      <c r="K1371" s="5459">
        <v>232396.69</v>
      </c>
      <c r="L1371" s="5460">
        <f>(K1371 * G1371)</f>
        <v>464793.38</v>
      </c>
      <c r="M1371" s="5461">
        <v>255636.36</v>
      </c>
      <c r="N1371" s="5462">
        <f>(G1371 * M1371)</f>
        <v>511272.72</v>
      </c>
      <c r="O1371">
        <v>0</v>
      </c>
      <c r="P1371">
        <v>0</v>
      </c>
      <c r="Q1371">
        <f>IF(O1371&gt;G1371,(O1371-G1371),0)</f>
        <v>0</v>
      </c>
      <c r="R1371">
        <v>1</v>
      </c>
      <c r="S1371">
        <f>IF(Q1371&gt;0,Int(P1371/Q1371),0)</f>
        <v>0</v>
      </c>
      <c r="T1371">
        <f>206611.57</f>
        <v>206611.57</v>
      </c>
      <c r="U1371" t="s">
        <v>536</v>
      </c>
      <c r="V1371">
        <v>232396.69</v>
      </c>
      <c r="W1371" t="s">
        <v>577</v>
      </c>
      <c r="X1371" t="s">
        <v>428</v>
      </c>
    </row>
    <row r="1372" spans="1:27">
      <c r="A1372" t="s">
        <v>35</v>
      </c>
      <c r="B1372" t="s">
        <v>29</v>
      </c>
      <c r="C1372" t="s">
        <v>4703</v>
      </c>
      <c r="D1372" t="s">
        <v>4704</v>
      </c>
      <c r="E1372" t="s">
        <v>4705</v>
      </c>
      <c r="F1372" t="s">
        <v>41</v>
      </c>
      <c r="G1372">
        <v>0</v>
      </c>
      <c r="H1372">
        <f>((1/1000) * G1372)</f>
        <v>0</v>
      </c>
      <c r="I1372">
        <v>0</v>
      </c>
      <c r="J1372">
        <v>0</v>
      </c>
      <c r="K1372" s="5463">
        <v>240126.36</v>
      </c>
      <c r="L1372" s="5464">
        <f>(K1372 * G1372)</f>
        <v>0</v>
      </c>
      <c r="M1372" s="5465">
        <v>240126.36</v>
      </c>
      <c r="N1372" s="5466">
        <f>(G1372 * M1372)</f>
        <v>0</v>
      </c>
      <c r="O1372">
        <v>0</v>
      </c>
      <c r="P1372">
        <v>0</v>
      </c>
      <c r="Q1372">
        <f>IF(O1372&gt;G1372,(O1372-G1372),0)</f>
        <v>0</v>
      </c>
      <c r="R1372">
        <v>1</v>
      </c>
      <c r="S1372">
        <f>IF(Q1372&gt;0,Int(P1372/Q1372),0)</f>
        <v>0</v>
      </c>
      <c r="T1372">
        <f>0</f>
        <v>0</v>
      </c>
      <c r="U1372"/>
      <c r="V1372">
        <v>240126.36</v>
      </c>
      <c r="W1372" t="s">
        <v>43</v>
      </c>
      <c r="X1372"/>
    </row>
    <row r="1373" spans="1:27">
      <c r="A1373" t="s">
        <v>28</v>
      </c>
      <c r="B1373" t="s">
        <v>29</v>
      </c>
      <c r="C1373" t="s">
        <v>4706</v>
      </c>
      <c r="D1373" t="s">
        <v>4707</v>
      </c>
      <c r="E1373" t="s">
        <v>4708</v>
      </c>
      <c r="F1373" t="s">
        <v>33</v>
      </c>
      <c r="G1373">
        <v>0</v>
      </c>
      <c r="H1373">
        <f>((0/1000) * G1373)</f>
        <v>0</v>
      </c>
      <c r="I1373">
        <v>0</v>
      </c>
      <c r="J1373">
        <v>0</v>
      </c>
      <c r="K1373" s="5467">
        <v>152552.4</v>
      </c>
      <c r="L1373" s="5468">
        <f>(K1373 * G1373)</f>
        <v>0</v>
      </c>
      <c r="M1373" s="5469">
        <v>213573.36</v>
      </c>
      <c r="N1373" s="5470">
        <f>(G1373 * M1373)</f>
        <v>0</v>
      </c>
      <c r="O1373">
        <v>0</v>
      </c>
      <c r="P1373">
        <v>0</v>
      </c>
      <c r="Q1373">
        <f>IF(O1373&gt;G1373,(O1373-G1373),0)</f>
        <v>0</v>
      </c>
      <c r="R1373">
        <v>1</v>
      </c>
      <c r="S1373">
        <f>IF(Q1373&gt;0,Int(P1373/Q1373),0)</f>
        <v>0</v>
      </c>
      <c r="T1373">
        <f>0</f>
        <v>0</v>
      </c>
      <c r="U1373"/>
      <c r="V1373">
        <v>152552.4</v>
      </c>
      <c r="W1373" t="s">
        <v>75</v>
      </c>
      <c r="X1373"/>
    </row>
    <row r="1374" spans="1:27">
      <c r="A1374" t="s">
        <v>28</v>
      </c>
      <c r="B1374" t="s">
        <v>29</v>
      </c>
      <c r="C1374" t="s">
        <v>4709</v>
      </c>
      <c r="D1374" t="s">
        <v>4710</v>
      </c>
      <c r="E1374" t="s">
        <v>4711</v>
      </c>
      <c r="F1374" t="s">
        <v>41</v>
      </c>
      <c r="G1374">
        <v>0</v>
      </c>
      <c r="H1374">
        <f>((0/1000) * G1374)</f>
        <v>0</v>
      </c>
      <c r="I1374">
        <v>0</v>
      </c>
      <c r="J1374">
        <v>0</v>
      </c>
      <c r="K1374" s="5471">
        <v>237463.73</v>
      </c>
      <c r="L1374" s="5472">
        <f>(K1374 * G1374)</f>
        <v>0</v>
      </c>
      <c r="M1374" s="5473">
        <v>332449.22</v>
      </c>
      <c r="N1374" s="5474">
        <f>(G1374 * M1374)</f>
        <v>0</v>
      </c>
      <c r="O1374">
        <v>0</v>
      </c>
      <c r="P1374">
        <v>0</v>
      </c>
      <c r="Q1374">
        <f>IF(O1374&gt;G1374,(O1374-G1374),0)</f>
        <v>0</v>
      </c>
      <c r="R1374">
        <v>1</v>
      </c>
      <c r="S1374">
        <f>IF(Q1374&gt;0,Int(P1374/Q1374),0)</f>
        <v>0</v>
      </c>
      <c r="T1374">
        <f>237463.73</f>
        <v>237463.73</v>
      </c>
      <c r="U1374" t="s">
        <v>4712</v>
      </c>
      <c r="V1374">
        <v>237463.73</v>
      </c>
      <c r="W1374" t="s">
        <v>182</v>
      </c>
      <c r="X1374"/>
    </row>
    <row r="1375" spans="1:27">
      <c r="A1375" t="s">
        <v>28</v>
      </c>
      <c r="B1375" t="s">
        <v>29</v>
      </c>
      <c r="C1375" t="s">
        <v>4713</v>
      </c>
      <c r="D1375" t="s">
        <v>4714</v>
      </c>
      <c r="E1375" t="s">
        <v>4715</v>
      </c>
      <c r="F1375" t="s">
        <v>33</v>
      </c>
      <c r="G1375">
        <v>1</v>
      </c>
      <c r="H1375">
        <f>((0/1000) * G1375)</f>
        <v>0</v>
      </c>
      <c r="I1375">
        <v>0</v>
      </c>
      <c r="J1375">
        <v>1</v>
      </c>
      <c r="K1375" s="5475">
        <v>172700</v>
      </c>
      <c r="L1375" s="5476">
        <f>(K1375 * G1375)</f>
        <v>172700</v>
      </c>
      <c r="M1375" s="5477">
        <v>256198.35</v>
      </c>
      <c r="N1375" s="5478">
        <f>(G1375 * M1375)</f>
        <v>256198.35</v>
      </c>
      <c r="O1375">
        <v>0</v>
      </c>
      <c r="P1375">
        <v>0</v>
      </c>
      <c r="Q1375">
        <f>IF(O1375&gt;G1375,(O1375-G1375),0)</f>
        <v>0</v>
      </c>
      <c r="R1375">
        <v>1</v>
      </c>
      <c r="S1375">
        <f>IF(Q1375&gt;0,Int(P1375/Q1375),0)</f>
        <v>0</v>
      </c>
      <c r="T1375">
        <f>172700</f>
        <v>172700</v>
      </c>
      <c r="U1375" t="s">
        <v>4716</v>
      </c>
      <c r="V1375">
        <v>172700</v>
      </c>
      <c r="W1375" t="s">
        <v>4717</v>
      </c>
      <c r="X1375" t="s">
        <v>753</v>
      </c>
    </row>
    <row r="1376" spans="1:27">
      <c r="A1376" t="s">
        <v>28</v>
      </c>
      <c r="B1376" t="s">
        <v>29</v>
      </c>
      <c r="C1376" t="s">
        <v>4718</v>
      </c>
      <c r="D1376" t="s">
        <v>4719</v>
      </c>
      <c r="E1376" t="s">
        <v>4720</v>
      </c>
      <c r="F1376" t="s">
        <v>41</v>
      </c>
      <c r="G1376">
        <v>0</v>
      </c>
      <c r="H1376">
        <f>((0/1000) * G1376)</f>
        <v>0</v>
      </c>
      <c r="I1376">
        <v>0</v>
      </c>
      <c r="J1376">
        <v>0</v>
      </c>
      <c r="K1376" s="5479">
        <v>284380.17</v>
      </c>
      <c r="L1376" s="5480">
        <f>(K1376 * G1376)</f>
        <v>0</v>
      </c>
      <c r="M1376" s="5481">
        <v>312818.18</v>
      </c>
      <c r="N1376" s="5482">
        <f>(G1376 * M1376)</f>
        <v>0</v>
      </c>
      <c r="O1376">
        <v>0</v>
      </c>
      <c r="P1376">
        <v>0</v>
      </c>
      <c r="Q1376">
        <f>IF(O1376&gt;G1376,(O1376-G1376),0)</f>
        <v>0</v>
      </c>
      <c r="R1376">
        <v>1</v>
      </c>
      <c r="S1376">
        <f>IF(Q1376&gt;0,Int(P1376/Q1376),0)</f>
        <v>0</v>
      </c>
      <c r="T1376">
        <f>0</f>
        <v>0</v>
      </c>
      <c r="U1376"/>
      <c r="V1376">
        <v>284380.17</v>
      </c>
      <c r="W1376" t="s">
        <v>43</v>
      </c>
      <c r="X1376"/>
    </row>
    <row r="1377" spans="1:27">
      <c r="A1377" t="s">
        <v>28</v>
      </c>
      <c r="B1377" t="s">
        <v>29</v>
      </c>
      <c r="C1377" t="s">
        <v>4721</v>
      </c>
      <c r="D1377" t="s">
        <v>4722</v>
      </c>
      <c r="E1377" t="s">
        <v>4723</v>
      </c>
      <c r="F1377" t="s">
        <v>33</v>
      </c>
      <c r="G1377">
        <v>0</v>
      </c>
      <c r="H1377">
        <f>((0/1000) * G1377)</f>
        <v>0</v>
      </c>
      <c r="I1377">
        <v>0</v>
      </c>
      <c r="J1377">
        <v>0</v>
      </c>
      <c r="K1377" s="5483">
        <v>149495.46</v>
      </c>
      <c r="L1377" s="5484">
        <f>(K1377 * G1377)</f>
        <v>0</v>
      </c>
      <c r="M1377" s="5485">
        <v>209293.64</v>
      </c>
      <c r="N1377" s="5486">
        <f>(G1377 * M1377)</f>
        <v>0</v>
      </c>
      <c r="O1377">
        <v>0</v>
      </c>
      <c r="P1377">
        <v>0</v>
      </c>
      <c r="Q1377">
        <f>IF(O1377&gt;G1377,(O1377-G1377),0)</f>
        <v>0</v>
      </c>
      <c r="R1377">
        <v>1</v>
      </c>
      <c r="S1377">
        <f>IF(Q1377&gt;0,Int(P1377/Q1377),0)</f>
        <v>0</v>
      </c>
      <c r="T1377">
        <f>149495.46</f>
        <v>149495.46</v>
      </c>
      <c r="U1377" t="s">
        <v>4035</v>
      </c>
      <c r="V1377">
        <v>149495.46</v>
      </c>
      <c r="W1377" t="s">
        <v>577</v>
      </c>
      <c r="X1377" t="s">
        <v>753</v>
      </c>
    </row>
    <row r="1378" spans="1:27">
      <c r="A1378" t="s">
        <v>28</v>
      </c>
      <c r="B1378" t="s">
        <v>29</v>
      </c>
      <c r="C1378" t="s">
        <v>4724</v>
      </c>
      <c r="D1378" t="s">
        <v>4725</v>
      </c>
      <c r="E1378" t="s">
        <v>4726</v>
      </c>
      <c r="F1378" t="s">
        <v>33</v>
      </c>
      <c r="G1378">
        <v>0</v>
      </c>
      <c r="H1378">
        <f>((0/1000) * G1378)</f>
        <v>0</v>
      </c>
      <c r="I1378">
        <v>0</v>
      </c>
      <c r="J1378">
        <v>0</v>
      </c>
      <c r="K1378" s="5487">
        <v>173800</v>
      </c>
      <c r="L1378" s="5488">
        <f>(K1378 * G1378)</f>
        <v>0</v>
      </c>
      <c r="M1378" s="5489">
        <v>243320</v>
      </c>
      <c r="N1378" s="5490">
        <f>(G1378 * M1378)</f>
        <v>0</v>
      </c>
      <c r="O1378">
        <v>0</v>
      </c>
      <c r="P1378">
        <v>0</v>
      </c>
      <c r="Q1378">
        <f>IF(O1378&gt;G1378,(O1378-G1378),0)</f>
        <v>0</v>
      </c>
      <c r="R1378">
        <v>1</v>
      </c>
      <c r="S1378">
        <f>IF(Q1378&gt;0,Int(P1378/Q1378),0)</f>
        <v>0</v>
      </c>
      <c r="T1378">
        <f>141462</f>
        <v>141462</v>
      </c>
      <c r="U1378" t="s">
        <v>4727</v>
      </c>
      <c r="V1378">
        <v>173800</v>
      </c>
      <c r="W1378" t="s">
        <v>301</v>
      </c>
      <c r="X1378"/>
    </row>
    <row r="1379" spans="1:27">
      <c r="A1379" t="s">
        <v>28</v>
      </c>
      <c r="B1379" t="s">
        <v>29</v>
      </c>
      <c r="C1379" t="s">
        <v>4728</v>
      </c>
      <c r="D1379" t="s">
        <v>4729</v>
      </c>
      <c r="E1379" t="s">
        <v>4730</v>
      </c>
      <c r="F1379" t="s">
        <v>33</v>
      </c>
      <c r="G1379">
        <v>0</v>
      </c>
      <c r="H1379">
        <f>((0/1000) * G1379)</f>
        <v>0</v>
      </c>
      <c r="I1379">
        <v>0</v>
      </c>
      <c r="J1379">
        <v>0</v>
      </c>
      <c r="K1379" s="5491">
        <v>259410.13</v>
      </c>
      <c r="L1379" s="5492">
        <f>(K1379 * G1379)</f>
        <v>0</v>
      </c>
      <c r="M1379" s="5493">
        <v>363174.18</v>
      </c>
      <c r="N1379" s="5494">
        <f>(G1379 * M1379)</f>
        <v>0</v>
      </c>
      <c r="O1379">
        <v>0</v>
      </c>
      <c r="P1379">
        <v>0</v>
      </c>
      <c r="Q1379">
        <f>IF(O1379&gt;G1379,(O1379-G1379),0)</f>
        <v>0</v>
      </c>
      <c r="R1379">
        <v>1</v>
      </c>
      <c r="S1379">
        <f>IF(Q1379&gt;0,Int(P1379/Q1379),0)</f>
        <v>0</v>
      </c>
      <c r="T1379">
        <f>302891.44</f>
        <v>302891.44</v>
      </c>
      <c r="U1379" t="s">
        <v>4731</v>
      </c>
      <c r="V1379">
        <v>259410.13</v>
      </c>
      <c r="W1379" t="s">
        <v>182</v>
      </c>
      <c r="X1379"/>
    </row>
    <row r="1380" spans="1:27">
      <c r="A1380" t="s">
        <v>28</v>
      </c>
      <c r="B1380" t="s">
        <v>29</v>
      </c>
      <c r="C1380" t="s">
        <v>4732</v>
      </c>
      <c r="D1380" t="s">
        <v>4733</v>
      </c>
      <c r="E1380" t="s">
        <v>4734</v>
      </c>
      <c r="F1380" t="s">
        <v>41</v>
      </c>
      <c r="G1380">
        <v>3</v>
      </c>
      <c r="H1380">
        <f>((0/1000) * G1380)</f>
        <v>0</v>
      </c>
      <c r="I1380">
        <v>0</v>
      </c>
      <c r="J1380">
        <v>3</v>
      </c>
      <c r="K1380" s="5495">
        <v>259410.13</v>
      </c>
      <c r="L1380" s="5496">
        <f>(K1380 * G1380)</f>
        <v>778230.39</v>
      </c>
      <c r="M1380" s="5497">
        <v>363174.18</v>
      </c>
      <c r="N1380" s="5498">
        <f>(G1380 * M1380)</f>
        <v>1089522.54</v>
      </c>
      <c r="O1380">
        <v>0</v>
      </c>
      <c r="P1380">
        <v>0</v>
      </c>
      <c r="Q1380">
        <f>IF(O1380&gt;G1380,(O1380-G1380),0)</f>
        <v>0</v>
      </c>
      <c r="R1380">
        <v>1</v>
      </c>
      <c r="S1380">
        <f>IF(Q1380&gt;0,Int(P1380/Q1380),0)</f>
        <v>0</v>
      </c>
      <c r="T1380">
        <f>221313.71</f>
        <v>221313.71</v>
      </c>
      <c r="U1380" t="s">
        <v>4735</v>
      </c>
      <c r="V1380">
        <v>259410.13</v>
      </c>
      <c r="W1380" t="s">
        <v>182</v>
      </c>
      <c r="X1380"/>
    </row>
    <row r="1381" spans="1:27">
      <c r="A1381" t="s">
        <v>28</v>
      </c>
      <c r="B1381" t="s">
        <v>29</v>
      </c>
      <c r="C1381" t="s">
        <v>4736</v>
      </c>
      <c r="D1381" t="s">
        <v>4737</v>
      </c>
      <c r="E1381" t="s">
        <v>4738</v>
      </c>
      <c r="F1381" t="s">
        <v>41</v>
      </c>
      <c r="G1381">
        <v>1</v>
      </c>
      <c r="H1381">
        <f>((0/1000) * G1381)</f>
        <v>0</v>
      </c>
      <c r="I1381">
        <v>0</v>
      </c>
      <c r="J1381">
        <v>1</v>
      </c>
      <c r="K1381" s="5499">
        <v>303857.27</v>
      </c>
      <c r="L1381" s="5500">
        <f>(K1381 * G1381)</f>
        <v>303857.27</v>
      </c>
      <c r="M1381" s="5501">
        <v>425400.18</v>
      </c>
      <c r="N1381" s="5502">
        <f>(G1381 * M1381)</f>
        <v>425400.18</v>
      </c>
      <c r="O1381">
        <v>0</v>
      </c>
      <c r="P1381">
        <v>0</v>
      </c>
      <c r="Q1381">
        <f>IF(O1381&gt;G1381,(O1381-G1381),0)</f>
        <v>0</v>
      </c>
      <c r="R1381">
        <v>1</v>
      </c>
      <c r="S1381">
        <f>IF(Q1381&gt;0,Int(P1381/Q1381),0)</f>
        <v>0</v>
      </c>
      <c r="T1381">
        <f>167200</f>
        <v>167200</v>
      </c>
      <c r="U1381" t="s">
        <v>4739</v>
      </c>
      <c r="V1381">
        <v>303857.27</v>
      </c>
      <c r="W1381" t="s">
        <v>75</v>
      </c>
      <c r="X1381"/>
    </row>
    <row r="1382" spans="1:27">
      <c r="A1382" t="s">
        <v>28</v>
      </c>
      <c r="B1382" t="s">
        <v>29</v>
      </c>
      <c r="C1382" t="s">
        <v>4740</v>
      </c>
      <c r="D1382" t="s">
        <v>4741</v>
      </c>
      <c r="E1382" t="s">
        <v>4742</v>
      </c>
      <c r="F1382" t="s">
        <v>33</v>
      </c>
      <c r="G1382">
        <v>0</v>
      </c>
      <c r="H1382">
        <f>((0/1000) * G1382)</f>
        <v>0</v>
      </c>
      <c r="I1382">
        <v>0</v>
      </c>
      <c r="J1382">
        <v>0</v>
      </c>
      <c r="K1382" s="5503">
        <v>215876.12</v>
      </c>
      <c r="L1382" s="5504">
        <f>(K1382 * G1382)</f>
        <v>0</v>
      </c>
      <c r="M1382" s="5505">
        <v>302226.57</v>
      </c>
      <c r="N1382" s="5506">
        <f>(G1382 * M1382)</f>
        <v>0</v>
      </c>
      <c r="O1382">
        <v>0</v>
      </c>
      <c r="P1382">
        <v>0</v>
      </c>
      <c r="Q1382">
        <f>IF(O1382&gt;G1382,(O1382-G1382),0)</f>
        <v>0</v>
      </c>
      <c r="R1382">
        <v>1</v>
      </c>
      <c r="S1382">
        <f>IF(Q1382&gt;0,Int(P1382/Q1382),0)</f>
        <v>0</v>
      </c>
      <c r="T1382">
        <f>220987.64</f>
        <v>220987.64</v>
      </c>
      <c r="U1382" t="s">
        <v>4743</v>
      </c>
      <c r="V1382">
        <v>215876.12</v>
      </c>
      <c r="W1382" t="s">
        <v>182</v>
      </c>
      <c r="X1382"/>
    </row>
    <row r="1383" spans="1:27">
      <c r="A1383" t="s">
        <v>28</v>
      </c>
      <c r="B1383" t="s">
        <v>29</v>
      </c>
      <c r="C1383" t="s">
        <v>4744</v>
      </c>
      <c r="D1383" t="s">
        <v>4745</v>
      </c>
      <c r="E1383" t="s">
        <v>4746</v>
      </c>
      <c r="F1383" t="s">
        <v>33</v>
      </c>
      <c r="G1383">
        <v>0</v>
      </c>
      <c r="H1383">
        <f>((0/1000) * G1383)</f>
        <v>0</v>
      </c>
      <c r="I1383">
        <v>0</v>
      </c>
      <c r="J1383">
        <v>0</v>
      </c>
      <c r="K1383" s="5507">
        <v>122476.39</v>
      </c>
      <c r="L1383" s="5508">
        <f>(K1383 * G1383)</f>
        <v>0</v>
      </c>
      <c r="M1383" s="5509">
        <v>171466.94</v>
      </c>
      <c r="N1383" s="5510">
        <f>(G1383 * M1383)</f>
        <v>0</v>
      </c>
      <c r="O1383">
        <v>0</v>
      </c>
      <c r="P1383">
        <v>0</v>
      </c>
      <c r="Q1383">
        <f>IF(O1383&gt;G1383,(O1383-G1383),0)</f>
        <v>0</v>
      </c>
      <c r="R1383">
        <v>0</v>
      </c>
      <c r="S1383">
        <f>IF(Q1383&gt;0,Int(P1383/Q1383),0)</f>
        <v>0</v>
      </c>
      <c r="T1383">
        <f>0</f>
        <v>0</v>
      </c>
      <c r="U1383"/>
      <c r="V1383">
        <v>122476.39</v>
      </c>
      <c r="W1383" t="s">
        <v>529</v>
      </c>
      <c r="X1383"/>
    </row>
    <row r="1384" spans="1:27">
      <c r="A1384" t="s">
        <v>28</v>
      </c>
      <c r="B1384" t="s">
        <v>29</v>
      </c>
      <c r="C1384" t="s">
        <v>3871</v>
      </c>
      <c r="D1384" t="s">
        <v>4747</v>
      </c>
      <c r="E1384" t="s">
        <v>4748</v>
      </c>
      <c r="F1384" t="s">
        <v>33</v>
      </c>
      <c r="G1384">
        <v>4</v>
      </c>
      <c r="H1384">
        <f>((0/1000) * G1384)</f>
        <v>0</v>
      </c>
      <c r="I1384">
        <v>0</v>
      </c>
      <c r="J1384">
        <v>4</v>
      </c>
      <c r="K1384" s="5511">
        <v>148599.63</v>
      </c>
      <c r="L1384" s="5512">
        <f>(K1384 * G1384)</f>
        <v>594398.52</v>
      </c>
      <c r="M1384" s="5513">
        <v>208039.48</v>
      </c>
      <c r="N1384" s="5514">
        <f>(G1384 * M1384)</f>
        <v>832157.92</v>
      </c>
      <c r="O1384">
        <v>0</v>
      </c>
      <c r="P1384">
        <v>0</v>
      </c>
      <c r="Q1384">
        <f>IF(O1384&gt;G1384,(O1384-G1384),0)</f>
        <v>0</v>
      </c>
      <c r="R1384">
        <v>0</v>
      </c>
      <c r="S1384">
        <f>IF(Q1384&gt;0,Int(P1384/Q1384),0)</f>
        <v>0</v>
      </c>
      <c r="T1384">
        <f>148599.63</f>
        <v>148599.63</v>
      </c>
      <c r="U1384" t="s">
        <v>2847</v>
      </c>
      <c r="V1384">
        <v>148599.63</v>
      </c>
      <c r="W1384" t="s">
        <v>75</v>
      </c>
      <c r="X1384"/>
    </row>
    <row r="1385" spans="1:27">
      <c r="A1385" t="s">
        <v>28</v>
      </c>
      <c r="B1385" t="s">
        <v>29</v>
      </c>
      <c r="C1385" t="s">
        <v>4749</v>
      </c>
      <c r="D1385" t="s">
        <v>4750</v>
      </c>
      <c r="E1385" t="s">
        <v>4751</v>
      </c>
      <c r="F1385" t="s">
        <v>41</v>
      </c>
      <c r="G1385">
        <v>0</v>
      </c>
      <c r="H1385">
        <f>((0/1000) * G1385)</f>
        <v>0</v>
      </c>
      <c r="I1385">
        <v>0</v>
      </c>
      <c r="J1385">
        <v>0</v>
      </c>
      <c r="K1385" s="5515">
        <v>285537.19</v>
      </c>
      <c r="L1385" s="5516">
        <f>(K1385 * G1385)</f>
        <v>0</v>
      </c>
      <c r="M1385" s="5517">
        <v>314090.91</v>
      </c>
      <c r="N1385" s="5518">
        <f>(G1385 * M1385)</f>
        <v>0</v>
      </c>
      <c r="O1385">
        <v>0</v>
      </c>
      <c r="P1385">
        <v>0</v>
      </c>
      <c r="Q1385">
        <f>IF(O1385&gt;G1385,(O1385-G1385),0)</f>
        <v>0</v>
      </c>
      <c r="R1385">
        <v>1</v>
      </c>
      <c r="S1385">
        <f>IF(Q1385&gt;0,Int(P1385/Q1385),0)</f>
        <v>0</v>
      </c>
      <c r="T1385">
        <f>0</f>
        <v>0</v>
      </c>
      <c r="U1385"/>
      <c r="V1385">
        <v>285537.19</v>
      </c>
      <c r="W1385" t="s">
        <v>43</v>
      </c>
      <c r="X1385"/>
    </row>
    <row r="1386" spans="1:27">
      <c r="A1386" t="s">
        <v>28</v>
      </c>
      <c r="B1386" t="s">
        <v>29</v>
      </c>
      <c r="C1386" t="s">
        <v>4752</v>
      </c>
      <c r="D1386" t="s">
        <v>4753</v>
      </c>
      <c r="E1386" t="s">
        <v>4754</v>
      </c>
      <c r="F1386" t="s">
        <v>41</v>
      </c>
      <c r="G1386">
        <v>0</v>
      </c>
      <c r="H1386">
        <f>((0/1000) * G1386)</f>
        <v>0</v>
      </c>
      <c r="I1386">
        <v>0</v>
      </c>
      <c r="J1386">
        <v>0</v>
      </c>
      <c r="K1386" s="5519">
        <v>273065.55</v>
      </c>
      <c r="L1386" s="5520">
        <f>(K1386 * G1386)</f>
        <v>0</v>
      </c>
      <c r="M1386" s="5521">
        <v>382291.78</v>
      </c>
      <c r="N1386" s="5522">
        <f>(G1386 * M1386)</f>
        <v>0</v>
      </c>
      <c r="O1386">
        <v>0</v>
      </c>
      <c r="P1386">
        <v>0</v>
      </c>
      <c r="Q1386">
        <f>IF(O1386&gt;G1386,(O1386-G1386),0)</f>
        <v>0</v>
      </c>
      <c r="R1386">
        <v>1</v>
      </c>
      <c r="S1386">
        <f>IF(Q1386&gt;0,Int(P1386/Q1386),0)</f>
        <v>0</v>
      </c>
      <c r="T1386">
        <f>360631.1</f>
        <v>360631.1</v>
      </c>
      <c r="U1386" t="s">
        <v>4755</v>
      </c>
      <c r="V1386">
        <v>273065.55</v>
      </c>
      <c r="W1386" t="s">
        <v>182</v>
      </c>
      <c r="X1386"/>
    </row>
    <row r="1387" spans="1:27">
      <c r="A1387" t="s">
        <v>28</v>
      </c>
      <c r="B1387" t="s">
        <v>29</v>
      </c>
      <c r="C1387" t="s">
        <v>4756</v>
      </c>
      <c r="D1387" t="s">
        <v>4757</v>
      </c>
      <c r="E1387" t="s">
        <v>4758</v>
      </c>
      <c r="F1387" t="s">
        <v>41</v>
      </c>
      <c r="G1387">
        <v>2</v>
      </c>
      <c r="H1387">
        <f>((0/1000) * G1387)</f>
        <v>0</v>
      </c>
      <c r="I1387">
        <v>0</v>
      </c>
      <c r="J1387">
        <v>2</v>
      </c>
      <c r="K1387" s="5523">
        <v>189200</v>
      </c>
      <c r="L1387" s="5524">
        <f>(K1387 * G1387)</f>
        <v>378400</v>
      </c>
      <c r="M1387" s="5525">
        <v>314049.59</v>
      </c>
      <c r="N1387" s="5526">
        <f>(G1387 * M1387)</f>
        <v>628099.18</v>
      </c>
      <c r="O1387">
        <v>0</v>
      </c>
      <c r="P1387">
        <v>0</v>
      </c>
      <c r="Q1387">
        <f>IF(O1387&gt;G1387,(O1387-G1387),0)</f>
        <v>0</v>
      </c>
      <c r="R1387">
        <v>0</v>
      </c>
      <c r="S1387">
        <f>IF(Q1387&gt;0,Int(P1387/Q1387),0)</f>
        <v>0</v>
      </c>
      <c r="T1387">
        <f>189200</f>
        <v>189200</v>
      </c>
      <c r="U1387" t="s">
        <v>993</v>
      </c>
      <c r="V1387">
        <v>189200</v>
      </c>
      <c r="W1387" t="s">
        <v>3640</v>
      </c>
      <c r="X1387"/>
    </row>
    <row r="1388" spans="1:27">
      <c r="A1388" t="s">
        <v>35</v>
      </c>
      <c r="B1388" t="s">
        <v>29</v>
      </c>
      <c r="C1388" t="s">
        <v>4759</v>
      </c>
      <c r="D1388" t="s">
        <v>4760</v>
      </c>
      <c r="E1388" t="s">
        <v>4761</v>
      </c>
      <c r="F1388" t="s">
        <v>41</v>
      </c>
      <c r="G1388">
        <v>0</v>
      </c>
      <c r="H1388">
        <f>((1/1000) * G1388)</f>
        <v>0</v>
      </c>
      <c r="I1388">
        <v>0</v>
      </c>
      <c r="J1388">
        <v>0</v>
      </c>
      <c r="K1388" s="5527">
        <v>0</v>
      </c>
      <c r="L1388" s="5528">
        <f>(K1388 * G1388)</f>
        <v>0</v>
      </c>
      <c r="M1388" s="5529">
        <v>0</v>
      </c>
      <c r="N1388" s="5530">
        <f>(G1388 * M1388)</f>
        <v>0</v>
      </c>
      <c r="O1388">
        <v>0</v>
      </c>
      <c r="P1388">
        <v>0</v>
      </c>
      <c r="Q1388">
        <f>IF(O1388&gt;G1388,(O1388-G1388),0)</f>
        <v>0</v>
      </c>
      <c r="R1388">
        <v>0</v>
      </c>
      <c r="S1388">
        <f>IF(Q1388&gt;0,Int(P1388/Q1388),0)</f>
        <v>0</v>
      </c>
      <c r="T1388">
        <f>0</f>
        <v>0</v>
      </c>
      <c r="U1388"/>
      <c r="V1388">
        <v>0</v>
      </c>
      <c r="W1388">
        <v>0</v>
      </c>
      <c r="X1388"/>
    </row>
    <row r="1389" spans="1:27">
      <c r="A1389" t="s">
        <v>28</v>
      </c>
      <c r="B1389" t="s">
        <v>29</v>
      </c>
      <c r="C1389" t="s">
        <v>4762</v>
      </c>
      <c r="D1389" t="s">
        <v>4763</v>
      </c>
      <c r="E1389" t="s">
        <v>4764</v>
      </c>
      <c r="F1389" t="s">
        <v>41</v>
      </c>
      <c r="G1389">
        <v>0</v>
      </c>
      <c r="H1389">
        <f>((0/1000) * G1389)</f>
        <v>0</v>
      </c>
      <c r="I1389">
        <v>0</v>
      </c>
      <c r="J1389">
        <v>0</v>
      </c>
      <c r="K1389" s="5531">
        <v>279338.84</v>
      </c>
      <c r="L1389" s="5532">
        <f>(K1389 * G1389)</f>
        <v>0</v>
      </c>
      <c r="M1389" s="5533">
        <v>307272.72</v>
      </c>
      <c r="N1389" s="5534">
        <f>(G1389 * M1389)</f>
        <v>0</v>
      </c>
      <c r="O1389">
        <v>0</v>
      </c>
      <c r="P1389">
        <v>0</v>
      </c>
      <c r="Q1389">
        <f>IF(O1389&gt;G1389,(O1389-G1389),0)</f>
        <v>0</v>
      </c>
      <c r="R1389">
        <v>1</v>
      </c>
      <c r="S1389">
        <f>IF(Q1389&gt;0,Int(P1389/Q1389),0)</f>
        <v>0</v>
      </c>
      <c r="T1389">
        <f>0</f>
        <v>0</v>
      </c>
      <c r="U1389"/>
      <c r="V1389">
        <v>279338.84</v>
      </c>
      <c r="W1389" t="s">
        <v>43</v>
      </c>
      <c r="X1389"/>
    </row>
    <row r="1390" spans="1:27">
      <c r="A1390" t="s">
        <v>28</v>
      </c>
      <c r="B1390" t="s">
        <v>29</v>
      </c>
      <c r="C1390" t="s">
        <v>4765</v>
      </c>
      <c r="D1390" t="s">
        <v>4766</v>
      </c>
      <c r="E1390" t="s">
        <v>4767</v>
      </c>
      <c r="F1390" t="s">
        <v>33</v>
      </c>
      <c r="G1390">
        <v>0</v>
      </c>
      <c r="H1390">
        <f>((0/1000) * G1390)</f>
        <v>0</v>
      </c>
      <c r="I1390">
        <v>0</v>
      </c>
      <c r="J1390">
        <v>0</v>
      </c>
      <c r="K1390" s="5535">
        <v>232110.37</v>
      </c>
      <c r="L1390" s="5536">
        <f>(K1390 * G1390)</f>
        <v>0</v>
      </c>
      <c r="M1390" s="5537">
        <v>324954.52</v>
      </c>
      <c r="N1390" s="5538">
        <f>(G1390 * M1390)</f>
        <v>0</v>
      </c>
      <c r="O1390">
        <v>0</v>
      </c>
      <c r="P1390">
        <v>0</v>
      </c>
      <c r="Q1390">
        <f>IF(O1390&gt;G1390,(O1390-G1390),0)</f>
        <v>0</v>
      </c>
      <c r="R1390">
        <v>1</v>
      </c>
      <c r="S1390">
        <f>IF(Q1390&gt;0,Int(P1390/Q1390),0)</f>
        <v>0</v>
      </c>
      <c r="T1390">
        <f>0</f>
        <v>0</v>
      </c>
      <c r="U1390"/>
      <c r="V1390">
        <v>232110.37</v>
      </c>
      <c r="W1390" t="s">
        <v>75</v>
      </c>
      <c r="X1390"/>
    </row>
    <row r="1391" spans="1:27">
      <c r="A1391" t="s">
        <v>28</v>
      </c>
      <c r="B1391" t="s">
        <v>29</v>
      </c>
      <c r="C1391" t="s">
        <v>4768</v>
      </c>
      <c r="D1391" t="s">
        <v>4769</v>
      </c>
      <c r="E1391" t="s">
        <v>4770</v>
      </c>
      <c r="F1391" t="s">
        <v>41</v>
      </c>
      <c r="G1391">
        <v>0</v>
      </c>
      <c r="H1391">
        <f>((0/1000) * G1391)</f>
        <v>0</v>
      </c>
      <c r="I1391">
        <v>0</v>
      </c>
      <c r="J1391">
        <v>0</v>
      </c>
      <c r="K1391" s="5539">
        <v>295262.87</v>
      </c>
      <c r="L1391" s="5540">
        <f>(K1391 * G1391)</f>
        <v>0</v>
      </c>
      <c r="M1391" s="5541">
        <v>413368.02</v>
      </c>
      <c r="N1391" s="5542">
        <f>(G1391 * M1391)</f>
        <v>0</v>
      </c>
      <c r="O1391">
        <v>0</v>
      </c>
      <c r="P1391">
        <v>0</v>
      </c>
      <c r="Q1391">
        <f>IF(O1391&gt;G1391,(O1391-G1391),0)</f>
        <v>0</v>
      </c>
      <c r="R1391">
        <v>0</v>
      </c>
      <c r="S1391">
        <f>IF(Q1391&gt;0,Int(P1391/Q1391),0)</f>
        <v>0</v>
      </c>
      <c r="T1391">
        <f>0</f>
        <v>0</v>
      </c>
      <c r="U1391"/>
      <c r="V1391">
        <v>295262.87</v>
      </c>
      <c r="W1391" t="s">
        <v>182</v>
      </c>
      <c r="X1391"/>
    </row>
    <row r="1392" spans="1:27">
      <c r="A1392" t="s">
        <v>35</v>
      </c>
      <c r="B1392" t="s">
        <v>29</v>
      </c>
      <c r="C1392" t="s">
        <v>4771</v>
      </c>
      <c r="D1392" t="s">
        <v>4771</v>
      </c>
      <c r="E1392" t="s">
        <v>4772</v>
      </c>
      <c r="F1392" t="s">
        <v>33</v>
      </c>
      <c r="G1392">
        <v>0</v>
      </c>
      <c r="H1392">
        <f>((1/1000) * G1392)</f>
        <v>0</v>
      </c>
      <c r="I1392">
        <v>0</v>
      </c>
      <c r="J1392">
        <v>0</v>
      </c>
      <c r="K1392" s="5543">
        <v>0</v>
      </c>
      <c r="L1392" s="5544">
        <f>(K1392 * G1392)</f>
        <v>0</v>
      </c>
      <c r="M1392" s="5545">
        <v>0</v>
      </c>
      <c r="N1392" s="5546">
        <f>(G1392 * M1392)</f>
        <v>0</v>
      </c>
      <c r="O1392">
        <v>0</v>
      </c>
      <c r="P1392">
        <v>0</v>
      </c>
      <c r="Q1392">
        <f>IF(O1392&gt;G1392,(O1392-G1392),0)</f>
        <v>0</v>
      </c>
      <c r="R1392">
        <v>0</v>
      </c>
      <c r="S1392">
        <f>IF(Q1392&gt;0,Int(P1392/Q1392),0)</f>
        <v>0</v>
      </c>
      <c r="T1392">
        <f>0</f>
        <v>0</v>
      </c>
      <c r="U1392"/>
      <c r="V1392">
        <v>0</v>
      </c>
      <c r="W1392">
        <v>0</v>
      </c>
      <c r="X1392"/>
    </row>
    <row r="1393" spans="1:27">
      <c r="A1393" t="s">
        <v>35</v>
      </c>
      <c r="B1393" t="s">
        <v>29</v>
      </c>
      <c r="C1393" t="s">
        <v>4773</v>
      </c>
      <c r="D1393" t="s">
        <v>4774</v>
      </c>
      <c r="E1393" t="s">
        <v>4775</v>
      </c>
      <c r="F1393" t="s">
        <v>33</v>
      </c>
      <c r="G1393">
        <v>0</v>
      </c>
      <c r="H1393">
        <f>((0/1000) * G1393)</f>
        <v>0</v>
      </c>
      <c r="I1393">
        <v>0</v>
      </c>
      <c r="J1393">
        <v>0</v>
      </c>
      <c r="K1393" s="5547">
        <v>0</v>
      </c>
      <c r="L1393" s="5548">
        <f>(K1393 * G1393)</f>
        <v>0</v>
      </c>
      <c r="M1393" s="5549">
        <v>0</v>
      </c>
      <c r="N1393" s="5550">
        <f>(G1393 * M1393)</f>
        <v>0</v>
      </c>
      <c r="O1393">
        <v>0</v>
      </c>
      <c r="P1393">
        <v>0</v>
      </c>
      <c r="Q1393">
        <f>IF(O1393&gt;G1393,(O1393-G1393),0)</f>
        <v>0</v>
      </c>
      <c r="R1393">
        <v>1</v>
      </c>
      <c r="S1393">
        <f>IF(Q1393&gt;0,Int(P1393/Q1393),0)</f>
        <v>0</v>
      </c>
      <c r="T1393">
        <f>145371.9</f>
        <v>145371.9</v>
      </c>
      <c r="U1393" t="s">
        <v>514</v>
      </c>
      <c r="V1393">
        <v>0</v>
      </c>
      <c r="W1393">
        <v>0</v>
      </c>
      <c r="X1393"/>
    </row>
    <row r="1394" spans="1:27">
      <c r="A1394" t="s">
        <v>28</v>
      </c>
      <c r="B1394" t="s">
        <v>29</v>
      </c>
      <c r="C1394" t="s">
        <v>4776</v>
      </c>
      <c r="D1394" t="s">
        <v>4777</v>
      </c>
      <c r="E1394" t="s">
        <v>4778</v>
      </c>
      <c r="F1394" t="s">
        <v>33</v>
      </c>
      <c r="G1394">
        <v>0</v>
      </c>
      <c r="H1394">
        <f>((0/1000) * G1394)</f>
        <v>0</v>
      </c>
      <c r="I1394">
        <v>0</v>
      </c>
      <c r="J1394">
        <v>0</v>
      </c>
      <c r="K1394" s="5551">
        <v>199375</v>
      </c>
      <c r="L1394" s="5552">
        <f>(K1394 * G1394)</f>
        <v>0</v>
      </c>
      <c r="M1394" s="5553">
        <v>279125</v>
      </c>
      <c r="N1394" s="5554">
        <f>(G1394 * M1394)</f>
        <v>0</v>
      </c>
      <c r="O1394">
        <v>0</v>
      </c>
      <c r="P1394">
        <v>0</v>
      </c>
      <c r="Q1394">
        <f>IF(O1394&gt;G1394,(O1394-G1394),0)</f>
        <v>0</v>
      </c>
      <c r="R1394">
        <v>1</v>
      </c>
      <c r="S1394">
        <f>IF(Q1394&gt;0,Int(P1394/Q1394),0)</f>
        <v>0</v>
      </c>
      <c r="T1394">
        <f>215625.12</f>
        <v>215625.12</v>
      </c>
      <c r="U1394" t="s">
        <v>4779</v>
      </c>
      <c r="V1394">
        <v>199375</v>
      </c>
      <c r="W1394" t="s">
        <v>301</v>
      </c>
      <c r="X1394"/>
    </row>
    <row r="1395" spans="1:27">
      <c r="A1395" t="s">
        <v>28</v>
      </c>
      <c r="B1395" t="s">
        <v>29</v>
      </c>
      <c r="C1395" t="s">
        <v>3527</v>
      </c>
      <c r="D1395" t="s">
        <v>4780</v>
      </c>
      <c r="E1395" t="s">
        <v>4781</v>
      </c>
      <c r="F1395" t="s">
        <v>33</v>
      </c>
      <c r="G1395">
        <v>0</v>
      </c>
      <c r="H1395">
        <f>((0/1000) * G1395)</f>
        <v>0</v>
      </c>
      <c r="I1395">
        <v>0</v>
      </c>
      <c r="J1395">
        <v>0</v>
      </c>
      <c r="K1395" s="5555">
        <v>212340.61</v>
      </c>
      <c r="L1395" s="5556">
        <f>(K1395 * G1395)</f>
        <v>0</v>
      </c>
      <c r="M1395" s="5557">
        <v>297276.86</v>
      </c>
      <c r="N1395" s="5558">
        <f>(G1395 * M1395)</f>
        <v>0</v>
      </c>
      <c r="O1395">
        <v>0</v>
      </c>
      <c r="P1395">
        <v>0</v>
      </c>
      <c r="Q1395">
        <f>IF(O1395&gt;G1395,(O1395-G1395),0)</f>
        <v>0</v>
      </c>
      <c r="R1395">
        <v>0</v>
      </c>
      <c r="S1395">
        <f>IF(Q1395&gt;0,Int(P1395/Q1395),0)</f>
        <v>0</v>
      </c>
      <c r="T1395">
        <f>0</f>
        <v>0</v>
      </c>
      <c r="U1395"/>
      <c r="V1395">
        <v>212340.61</v>
      </c>
      <c r="W1395" t="s">
        <v>529</v>
      </c>
      <c r="X1395"/>
    </row>
    <row r="1396" spans="1:27">
      <c r="A1396" t="s">
        <v>28</v>
      </c>
      <c r="B1396" t="s">
        <v>29</v>
      </c>
      <c r="C1396" t="s">
        <v>4782</v>
      </c>
      <c r="D1396" t="s">
        <v>4783</v>
      </c>
      <c r="E1396" t="s">
        <v>4784</v>
      </c>
      <c r="F1396" t="s">
        <v>33</v>
      </c>
      <c r="G1396">
        <v>3</v>
      </c>
      <c r="H1396">
        <f>((0/1000) * G1396)</f>
        <v>0</v>
      </c>
      <c r="I1396">
        <v>0</v>
      </c>
      <c r="J1396">
        <v>3</v>
      </c>
      <c r="K1396" s="5559">
        <v>158777.3</v>
      </c>
      <c r="L1396" s="5560">
        <f>(K1396 * G1396)</f>
        <v>476331.9</v>
      </c>
      <c r="M1396" s="5561">
        <v>245454.55</v>
      </c>
      <c r="N1396" s="5562">
        <f>(G1396 * M1396)</f>
        <v>736363.65</v>
      </c>
      <c r="O1396">
        <v>0</v>
      </c>
      <c r="P1396">
        <v>0</v>
      </c>
      <c r="Q1396">
        <f>IF(O1396&gt;G1396,(O1396-G1396),0)</f>
        <v>0</v>
      </c>
      <c r="R1396">
        <v>1</v>
      </c>
      <c r="S1396">
        <f>IF(Q1396&gt;0,Int(P1396/Q1396),0)</f>
        <v>0</v>
      </c>
      <c r="T1396">
        <f>158777.3</f>
        <v>158777.3</v>
      </c>
      <c r="U1396" t="s">
        <v>4785</v>
      </c>
      <c r="V1396">
        <v>158777.3</v>
      </c>
      <c r="W1396" t="s">
        <v>292</v>
      </c>
      <c r="X1396" t="s">
        <v>166</v>
      </c>
    </row>
    <row r="1397" spans="1:27">
      <c r="A1397" t="s">
        <v>28</v>
      </c>
      <c r="B1397" t="s">
        <v>29</v>
      </c>
      <c r="C1397" t="s">
        <v>4786</v>
      </c>
      <c r="D1397" t="s">
        <v>4786</v>
      </c>
      <c r="E1397" t="s">
        <v>4787</v>
      </c>
      <c r="F1397" t="s">
        <v>41</v>
      </c>
      <c r="G1397">
        <v>9</v>
      </c>
      <c r="H1397">
        <f>((0/1000) * G1397)</f>
        <v>0</v>
      </c>
      <c r="I1397">
        <v>0</v>
      </c>
      <c r="J1397">
        <v>9</v>
      </c>
      <c r="K1397" s="5563">
        <v>130000</v>
      </c>
      <c r="L1397" s="5564">
        <f>(K1397 * G1397)</f>
        <v>1170000</v>
      </c>
      <c r="M1397" s="5565">
        <v>195000</v>
      </c>
      <c r="N1397" s="5566">
        <f>(G1397 * M1397)</f>
        <v>1755000</v>
      </c>
      <c r="O1397">
        <v>0</v>
      </c>
      <c r="P1397">
        <v>0</v>
      </c>
      <c r="Q1397">
        <f>IF(O1397&gt;G1397,(O1397-G1397),0)</f>
        <v>0</v>
      </c>
      <c r="R1397">
        <v>0</v>
      </c>
      <c r="S1397">
        <f>IF(Q1397&gt;0,Int(P1397/Q1397),0)</f>
        <v>0</v>
      </c>
      <c r="T1397">
        <f>160205</f>
        <v>160205</v>
      </c>
      <c r="U1397" t="s">
        <v>3730</v>
      </c>
      <c r="V1397">
        <v>130000</v>
      </c>
      <c r="W1397" t="s">
        <v>80</v>
      </c>
      <c r="X1397" t="s">
        <v>280</v>
      </c>
    </row>
    <row r="1398" spans="1:27">
      <c r="A1398" t="s">
        <v>28</v>
      </c>
      <c r="B1398" t="s">
        <v>29</v>
      </c>
      <c r="C1398" t="s">
        <v>4788</v>
      </c>
      <c r="D1398" t="s">
        <v>4789</v>
      </c>
      <c r="E1398" t="s">
        <v>4790</v>
      </c>
      <c r="F1398" t="s">
        <v>41</v>
      </c>
      <c r="G1398">
        <v>0</v>
      </c>
      <c r="H1398">
        <f>((0/1000) * G1398)</f>
        <v>0</v>
      </c>
      <c r="I1398">
        <v>0</v>
      </c>
      <c r="J1398">
        <v>0</v>
      </c>
      <c r="K1398" s="5567">
        <v>238430.68</v>
      </c>
      <c r="L1398" s="5568">
        <f>(K1398 * G1398)</f>
        <v>0</v>
      </c>
      <c r="M1398" s="5569">
        <v>262273.75</v>
      </c>
      <c r="N1398" s="5570">
        <f>(G1398 * M1398)</f>
        <v>0</v>
      </c>
      <c r="O1398">
        <v>0</v>
      </c>
      <c r="P1398">
        <v>0</v>
      </c>
      <c r="Q1398">
        <f>IF(O1398&gt;G1398,(O1398-G1398),0)</f>
        <v>0</v>
      </c>
      <c r="R1398">
        <v>1</v>
      </c>
      <c r="S1398">
        <f>IF(Q1398&gt;0,Int(P1398/Q1398),0)</f>
        <v>0</v>
      </c>
      <c r="T1398">
        <f>216755.16</f>
        <v>216755.16</v>
      </c>
      <c r="U1398" t="s">
        <v>4791</v>
      </c>
      <c r="V1398">
        <v>238430.68</v>
      </c>
      <c r="W1398" t="s">
        <v>43</v>
      </c>
      <c r="X1398"/>
    </row>
    <row r="1399" spans="1:27">
      <c r="A1399" t="s">
        <v>28</v>
      </c>
      <c r="B1399" t="s">
        <v>29</v>
      </c>
      <c r="C1399" t="s">
        <v>4766</v>
      </c>
      <c r="D1399" t="s">
        <v>4792</v>
      </c>
      <c r="E1399" t="s">
        <v>4793</v>
      </c>
      <c r="F1399" t="s">
        <v>33</v>
      </c>
      <c r="G1399">
        <v>0</v>
      </c>
      <c r="H1399">
        <f>((0/1000) * G1399)</f>
        <v>0</v>
      </c>
      <c r="I1399">
        <v>0</v>
      </c>
      <c r="J1399">
        <v>0</v>
      </c>
      <c r="K1399" s="5571">
        <v>156655.87</v>
      </c>
      <c r="L1399" s="5572">
        <f>(K1399 * G1399)</f>
        <v>0</v>
      </c>
      <c r="M1399" s="5573">
        <v>219318.22</v>
      </c>
      <c r="N1399" s="5574">
        <f>(G1399 * M1399)</f>
        <v>0</v>
      </c>
      <c r="O1399">
        <v>0</v>
      </c>
      <c r="P1399">
        <v>0</v>
      </c>
      <c r="Q1399">
        <f>IF(O1399&gt;G1399,(O1399-G1399),0)</f>
        <v>0</v>
      </c>
      <c r="R1399">
        <v>0</v>
      </c>
      <c r="S1399">
        <f>IF(Q1399&gt;0,Int(P1399/Q1399),0)</f>
        <v>0</v>
      </c>
      <c r="T1399">
        <f>0</f>
        <v>0</v>
      </c>
      <c r="U1399"/>
      <c r="V1399">
        <v>156655.87</v>
      </c>
      <c r="W1399" t="s">
        <v>75</v>
      </c>
      <c r="X1399"/>
    </row>
    <row r="1400" spans="1:27">
      <c r="A1400" t="s">
        <v>28</v>
      </c>
      <c r="B1400" t="s">
        <v>29</v>
      </c>
      <c r="C1400" t="s">
        <v>4794</v>
      </c>
      <c r="D1400" t="s">
        <v>4795</v>
      </c>
      <c r="E1400" t="s">
        <v>4796</v>
      </c>
      <c r="F1400" t="s">
        <v>33</v>
      </c>
      <c r="G1400">
        <v>0</v>
      </c>
      <c r="H1400">
        <f>((0/1000) * G1400)</f>
        <v>0</v>
      </c>
      <c r="I1400">
        <v>0</v>
      </c>
      <c r="J1400">
        <v>0</v>
      </c>
      <c r="K1400" s="5575">
        <v>268925.62</v>
      </c>
      <c r="L1400" s="5576">
        <f>(K1400 * G1400)</f>
        <v>0</v>
      </c>
      <c r="M1400" s="5577">
        <v>295818.18</v>
      </c>
      <c r="N1400" s="5578">
        <f>(G1400 * M1400)</f>
        <v>0</v>
      </c>
      <c r="O1400">
        <v>0</v>
      </c>
      <c r="P1400">
        <v>0</v>
      </c>
      <c r="Q1400">
        <f>IF(O1400&gt;G1400,(O1400-G1400),0)</f>
        <v>0</v>
      </c>
      <c r="R1400">
        <v>1</v>
      </c>
      <c r="S1400">
        <f>IF(Q1400&gt;0,Int(P1400/Q1400),0)</f>
        <v>0</v>
      </c>
      <c r="T1400">
        <f>175281.74</f>
        <v>175281.74</v>
      </c>
      <c r="U1400" t="s">
        <v>4797</v>
      </c>
      <c r="V1400">
        <v>268925.62</v>
      </c>
      <c r="W1400" t="s">
        <v>43</v>
      </c>
      <c r="X1400"/>
    </row>
    <row r="1401" spans="1:27">
      <c r="A1401" t="s">
        <v>35</v>
      </c>
      <c r="B1401" t="s">
        <v>29</v>
      </c>
      <c r="C1401" t="s">
        <v>4798</v>
      </c>
      <c r="D1401" t="s">
        <v>4799</v>
      </c>
      <c r="E1401" t="s">
        <v>4800</v>
      </c>
      <c r="F1401" t="s">
        <v>41</v>
      </c>
      <c r="G1401">
        <v>0</v>
      </c>
      <c r="H1401">
        <f>((1/1000) * G1401)</f>
        <v>0</v>
      </c>
      <c r="I1401">
        <v>0</v>
      </c>
      <c r="J1401">
        <v>0</v>
      </c>
      <c r="K1401" s="5579">
        <v>305442.72</v>
      </c>
      <c r="L1401" s="5580">
        <f>(K1401 * G1401)</f>
        <v>0</v>
      </c>
      <c r="M1401" s="5581">
        <v>305442.72</v>
      </c>
      <c r="N1401" s="5582">
        <f>(G1401 * M1401)</f>
        <v>0</v>
      </c>
      <c r="O1401">
        <v>0</v>
      </c>
      <c r="P1401">
        <v>0</v>
      </c>
      <c r="Q1401">
        <f>IF(O1401&gt;G1401,(O1401-G1401),0)</f>
        <v>0</v>
      </c>
      <c r="R1401">
        <v>1</v>
      </c>
      <c r="S1401">
        <f>IF(Q1401&gt;0,Int(P1401/Q1401),0)</f>
        <v>0</v>
      </c>
      <c r="T1401">
        <f>239551.42</f>
        <v>239551.42</v>
      </c>
      <c r="U1401" t="s">
        <v>4801</v>
      </c>
      <c r="V1401">
        <v>305442.72</v>
      </c>
      <c r="W1401" t="s">
        <v>43</v>
      </c>
      <c r="X1401"/>
    </row>
    <row r="1402" spans="1:27">
      <c r="A1402" t="s">
        <v>28</v>
      </c>
      <c r="B1402" t="s">
        <v>29</v>
      </c>
      <c r="C1402" t="s">
        <v>4802</v>
      </c>
      <c r="D1402" t="s">
        <v>4803</v>
      </c>
      <c r="E1402" t="s">
        <v>4804</v>
      </c>
      <c r="F1402" t="s">
        <v>41</v>
      </c>
      <c r="G1402">
        <v>0</v>
      </c>
      <c r="H1402">
        <f>((0/1000) * G1402)</f>
        <v>0</v>
      </c>
      <c r="I1402">
        <v>0</v>
      </c>
      <c r="J1402">
        <v>0</v>
      </c>
      <c r="K1402" s="5583">
        <v>316737.22</v>
      </c>
      <c r="L1402" s="5584">
        <f>(K1402 * G1402)</f>
        <v>0</v>
      </c>
      <c r="M1402" s="5585">
        <v>443432.1</v>
      </c>
      <c r="N1402" s="5586">
        <f>(G1402 * M1402)</f>
        <v>0</v>
      </c>
      <c r="O1402">
        <v>0</v>
      </c>
      <c r="P1402">
        <v>0</v>
      </c>
      <c r="Q1402">
        <f>IF(O1402&gt;G1402,(O1402-G1402),0)</f>
        <v>0</v>
      </c>
      <c r="R1402">
        <v>1</v>
      </c>
      <c r="S1402">
        <f>IF(Q1402&gt;0,Int(P1402/Q1402),0)</f>
        <v>0</v>
      </c>
      <c r="T1402">
        <f>256979.83</f>
        <v>256979.83</v>
      </c>
      <c r="U1402" t="s">
        <v>4805</v>
      </c>
      <c r="V1402">
        <v>316737.22</v>
      </c>
      <c r="W1402" t="s">
        <v>182</v>
      </c>
      <c r="X1402"/>
    </row>
    <row r="1403" spans="1:27">
      <c r="A1403" t="s">
        <v>28</v>
      </c>
      <c r="B1403" t="s">
        <v>29</v>
      </c>
      <c r="C1403" t="s">
        <v>4806</v>
      </c>
      <c r="D1403" t="s">
        <v>4807</v>
      </c>
      <c r="E1403" t="s">
        <v>4808</v>
      </c>
      <c r="F1403" t="s">
        <v>33</v>
      </c>
      <c r="G1403">
        <v>0</v>
      </c>
      <c r="H1403">
        <f>((0/1000) * G1403)</f>
        <v>0</v>
      </c>
      <c r="I1403">
        <v>0</v>
      </c>
      <c r="J1403">
        <v>0</v>
      </c>
      <c r="K1403" s="5587">
        <v>287394.26</v>
      </c>
      <c r="L1403" s="5588">
        <f>(K1403 * G1403)</f>
        <v>0</v>
      </c>
      <c r="M1403" s="5589">
        <v>402351.97</v>
      </c>
      <c r="N1403" s="5590">
        <f>(G1403 * M1403)</f>
        <v>0</v>
      </c>
      <c r="O1403">
        <v>0</v>
      </c>
      <c r="P1403">
        <v>0</v>
      </c>
      <c r="Q1403">
        <f>IF(O1403&gt;G1403,(O1403-G1403),0)</f>
        <v>0</v>
      </c>
      <c r="R1403">
        <v>1</v>
      </c>
      <c r="S1403">
        <f>IF(Q1403&gt;0,Int(P1403/Q1403),0)</f>
        <v>0</v>
      </c>
      <c r="T1403">
        <f>270663.27</f>
        <v>270663.27</v>
      </c>
      <c r="U1403" t="s">
        <v>4809</v>
      </c>
      <c r="V1403">
        <v>287394.26</v>
      </c>
      <c r="W1403" t="s">
        <v>182</v>
      </c>
      <c r="X1403"/>
    </row>
    <row r="1404" spans="1:27">
      <c r="A1404" t="s">
        <v>28</v>
      </c>
      <c r="B1404" t="s">
        <v>29</v>
      </c>
      <c r="C1404" t="s">
        <v>4810</v>
      </c>
      <c r="D1404" t="s">
        <v>4811</v>
      </c>
      <c r="E1404" t="s">
        <v>4812</v>
      </c>
      <c r="F1404" t="s">
        <v>33</v>
      </c>
      <c r="G1404">
        <v>0</v>
      </c>
      <c r="H1404">
        <f>((0/1000) * G1404)</f>
        <v>0</v>
      </c>
      <c r="I1404">
        <v>0</v>
      </c>
      <c r="J1404">
        <v>0</v>
      </c>
      <c r="K1404" s="5591">
        <v>244628.1</v>
      </c>
      <c r="L1404" s="5592">
        <f>(K1404 * G1404)</f>
        <v>0</v>
      </c>
      <c r="M1404" s="5593">
        <v>269090.91</v>
      </c>
      <c r="N1404" s="5594">
        <f>(G1404 * M1404)</f>
        <v>0</v>
      </c>
      <c r="O1404">
        <v>0</v>
      </c>
      <c r="P1404">
        <v>0</v>
      </c>
      <c r="Q1404">
        <f>IF(O1404&gt;G1404,(O1404-G1404),0)</f>
        <v>0</v>
      </c>
      <c r="R1404">
        <v>1</v>
      </c>
      <c r="S1404">
        <f>IF(Q1404&gt;0,Int(P1404/Q1404),0)</f>
        <v>0</v>
      </c>
      <c r="T1404">
        <f>222389.18</f>
        <v>222389.18</v>
      </c>
      <c r="U1404" t="s">
        <v>4813</v>
      </c>
      <c r="V1404">
        <v>244628.1</v>
      </c>
      <c r="W1404" t="s">
        <v>43</v>
      </c>
      <c r="X1404" t="s">
        <v>4814</v>
      </c>
    </row>
    <row r="1405" spans="1:27">
      <c r="A1405" t="s">
        <v>28</v>
      </c>
      <c r="B1405" t="s">
        <v>29</v>
      </c>
      <c r="C1405" t="s">
        <v>4815</v>
      </c>
      <c r="D1405" t="s">
        <v>4816</v>
      </c>
      <c r="E1405" t="s">
        <v>4817</v>
      </c>
      <c r="F1405" t="s">
        <v>33</v>
      </c>
      <c r="G1405">
        <v>0</v>
      </c>
      <c r="H1405">
        <f>((0/1000) * G1405)</f>
        <v>0</v>
      </c>
      <c r="I1405">
        <v>0</v>
      </c>
      <c r="J1405">
        <v>0</v>
      </c>
      <c r="K1405" s="5595">
        <v>188356.9</v>
      </c>
      <c r="L1405" s="5596">
        <f>(K1405 * G1405)</f>
        <v>0</v>
      </c>
      <c r="M1405" s="5597">
        <v>263699.65</v>
      </c>
      <c r="N1405" s="5598">
        <f>(G1405 * M1405)</f>
        <v>0</v>
      </c>
      <c r="O1405">
        <v>0</v>
      </c>
      <c r="P1405">
        <v>0</v>
      </c>
      <c r="Q1405">
        <f>IF(O1405&gt;G1405,(O1405-G1405),0)</f>
        <v>0</v>
      </c>
      <c r="R1405">
        <v>1</v>
      </c>
      <c r="S1405">
        <f>IF(Q1405&gt;0,Int(P1405/Q1405),0)</f>
        <v>0</v>
      </c>
      <c r="T1405">
        <f>0</f>
        <v>0</v>
      </c>
      <c r="U1405"/>
      <c r="V1405">
        <v>188356.9</v>
      </c>
      <c r="W1405" t="s">
        <v>75</v>
      </c>
      <c r="X1405"/>
    </row>
    <row r="1406" spans="1:27">
      <c r="A1406" t="s">
        <v>28</v>
      </c>
      <c r="B1406" t="s">
        <v>29</v>
      </c>
      <c r="C1406" t="s">
        <v>4818</v>
      </c>
      <c r="D1406" t="s">
        <v>4819</v>
      </c>
      <c r="E1406" t="s">
        <v>4820</v>
      </c>
      <c r="F1406" t="s">
        <v>33</v>
      </c>
      <c r="G1406">
        <v>0</v>
      </c>
      <c r="H1406">
        <f>((0/1000) * G1406)</f>
        <v>0</v>
      </c>
      <c r="I1406">
        <v>0</v>
      </c>
      <c r="J1406">
        <v>0</v>
      </c>
      <c r="K1406" s="5599">
        <v>0</v>
      </c>
      <c r="L1406" s="5600">
        <f>(K1406 * G1406)</f>
        <v>0</v>
      </c>
      <c r="M1406" s="5601">
        <v>0</v>
      </c>
      <c r="N1406" s="5602">
        <f>(G1406 * M1406)</f>
        <v>0</v>
      </c>
      <c r="O1406">
        <v>0</v>
      </c>
      <c r="P1406">
        <v>0</v>
      </c>
      <c r="Q1406">
        <f>IF(O1406&gt;G1406,(O1406-G1406),0)</f>
        <v>0</v>
      </c>
      <c r="R1406">
        <v>1</v>
      </c>
      <c r="S1406">
        <f>IF(Q1406&gt;0,Int(P1406/Q1406),0)</f>
        <v>0</v>
      </c>
      <c r="T1406">
        <f>0</f>
        <v>0</v>
      </c>
      <c r="U1406"/>
      <c r="V1406">
        <v>0</v>
      </c>
      <c r="W1406">
        <v>0</v>
      </c>
      <c r="X1406"/>
    </row>
    <row r="1407" spans="1:27">
      <c r="A1407" t="s">
        <v>28</v>
      </c>
      <c r="B1407" t="s">
        <v>29</v>
      </c>
      <c r="C1407" t="s">
        <v>4821</v>
      </c>
      <c r="D1407" t="s">
        <v>4822</v>
      </c>
      <c r="E1407" t="s">
        <v>4823</v>
      </c>
      <c r="F1407" t="s">
        <v>33</v>
      </c>
      <c r="G1407">
        <v>0</v>
      </c>
      <c r="H1407">
        <f>((0/1000) * G1407)</f>
        <v>0</v>
      </c>
      <c r="I1407">
        <v>0</v>
      </c>
      <c r="J1407">
        <v>0</v>
      </c>
      <c r="K1407" s="5603">
        <v>150090.91</v>
      </c>
      <c r="L1407" s="5604">
        <f>(K1407 * G1407)</f>
        <v>0</v>
      </c>
      <c r="M1407" s="5605">
        <v>210127.27</v>
      </c>
      <c r="N1407" s="5606">
        <f>(G1407 * M1407)</f>
        <v>0</v>
      </c>
      <c r="O1407">
        <v>0</v>
      </c>
      <c r="P1407">
        <v>0</v>
      </c>
      <c r="Q1407">
        <f>IF(O1407&gt;G1407,(O1407-G1407),0)</f>
        <v>0</v>
      </c>
      <c r="R1407">
        <v>1</v>
      </c>
      <c r="S1407">
        <f>IF(Q1407&gt;0,Int(P1407/Q1407),0)</f>
        <v>0</v>
      </c>
      <c r="T1407">
        <f>0</f>
        <v>0</v>
      </c>
      <c r="U1407"/>
      <c r="V1407">
        <v>150090.91</v>
      </c>
      <c r="W1407" t="s">
        <v>75</v>
      </c>
      <c r="X1407"/>
    </row>
    <row r="1408" spans="1:27">
      <c r="A1408" t="s">
        <v>28</v>
      </c>
      <c r="B1408" t="s">
        <v>29</v>
      </c>
      <c r="C1408" t="s">
        <v>4824</v>
      </c>
      <c r="D1408" t="s">
        <v>4825</v>
      </c>
      <c r="E1408" t="s">
        <v>4826</v>
      </c>
      <c r="F1408" t="s">
        <v>33</v>
      </c>
      <c r="G1408">
        <v>0</v>
      </c>
      <c r="H1408">
        <f>((0/1000) * G1408)</f>
        <v>0</v>
      </c>
      <c r="I1408">
        <v>0</v>
      </c>
      <c r="J1408">
        <v>0</v>
      </c>
      <c r="K1408" s="5607">
        <v>317768.59</v>
      </c>
      <c r="L1408" s="5608">
        <f>(K1408 * G1408)</f>
        <v>0</v>
      </c>
      <c r="M1408" s="5609">
        <v>349545.45</v>
      </c>
      <c r="N1408" s="5610">
        <f>(G1408 * M1408)</f>
        <v>0</v>
      </c>
      <c r="O1408">
        <v>0</v>
      </c>
      <c r="P1408">
        <v>0</v>
      </c>
      <c r="Q1408">
        <f>IF(O1408&gt;G1408,(O1408-G1408),0)</f>
        <v>0</v>
      </c>
      <c r="R1408">
        <v>1</v>
      </c>
      <c r="S1408">
        <f>IF(Q1408&gt;0,Int(P1408/Q1408),0)</f>
        <v>0</v>
      </c>
      <c r="T1408">
        <f>228024.04</f>
        <v>228024.04</v>
      </c>
      <c r="U1408" t="s">
        <v>3997</v>
      </c>
      <c r="V1408">
        <v>317768.59</v>
      </c>
      <c r="W1408" t="s">
        <v>43</v>
      </c>
      <c r="X1408"/>
    </row>
    <row r="1409" spans="1:27">
      <c r="A1409" t="s">
        <v>28</v>
      </c>
      <c r="B1409" t="s">
        <v>29</v>
      </c>
      <c r="C1409" t="s">
        <v>4827</v>
      </c>
      <c r="D1409" t="s">
        <v>4828</v>
      </c>
      <c r="E1409" t="s">
        <v>4829</v>
      </c>
      <c r="F1409" t="s">
        <v>41</v>
      </c>
      <c r="G1409">
        <v>0</v>
      </c>
      <c r="H1409">
        <f>((0/1000) * G1409)</f>
        <v>0</v>
      </c>
      <c r="I1409">
        <v>0</v>
      </c>
      <c r="J1409">
        <v>0</v>
      </c>
      <c r="K1409" s="5611">
        <v>329912.46</v>
      </c>
      <c r="L1409" s="5612">
        <f>(K1409 * G1409)</f>
        <v>0</v>
      </c>
      <c r="M1409" s="5613">
        <v>461877.44</v>
      </c>
      <c r="N1409" s="5614">
        <f>(G1409 * M1409)</f>
        <v>0</v>
      </c>
      <c r="O1409">
        <v>0</v>
      </c>
      <c r="P1409">
        <v>0</v>
      </c>
      <c r="Q1409">
        <f>IF(O1409&gt;G1409,(O1409-G1409),0)</f>
        <v>0</v>
      </c>
      <c r="R1409">
        <v>1</v>
      </c>
      <c r="S1409">
        <f>IF(Q1409&gt;0,Int(P1409/Q1409),0)</f>
        <v>0</v>
      </c>
      <c r="T1409">
        <f>337723.64</f>
        <v>337723.64</v>
      </c>
      <c r="U1409" t="s">
        <v>4830</v>
      </c>
      <c r="V1409">
        <v>329912.46</v>
      </c>
      <c r="W1409" t="s">
        <v>182</v>
      </c>
      <c r="X1409"/>
    </row>
    <row r="1410" spans="1:27">
      <c r="A1410" t="s">
        <v>28</v>
      </c>
      <c r="B1410" t="s">
        <v>29</v>
      </c>
      <c r="C1410" t="s">
        <v>4831</v>
      </c>
      <c r="D1410" t="s">
        <v>4832</v>
      </c>
      <c r="E1410" t="s">
        <v>4833</v>
      </c>
      <c r="F1410" t="s">
        <v>41</v>
      </c>
      <c r="G1410">
        <v>8</v>
      </c>
      <c r="H1410">
        <f>((0/1000) * G1410)</f>
        <v>0</v>
      </c>
      <c r="I1410">
        <v>0</v>
      </c>
      <c r="J1410">
        <v>8</v>
      </c>
      <c r="K1410" s="5615">
        <v>256267</v>
      </c>
      <c r="L1410" s="5616">
        <f>(K1410 * G1410)</f>
        <v>2050136</v>
      </c>
      <c r="M1410" s="5617">
        <v>358773.8</v>
      </c>
      <c r="N1410" s="5618">
        <f>(G1410 * M1410)</f>
        <v>2870190.4</v>
      </c>
      <c r="O1410">
        <v>0</v>
      </c>
      <c r="P1410">
        <v>0</v>
      </c>
      <c r="Q1410">
        <f>IF(O1410&gt;G1410,(O1410-G1410),0)</f>
        <v>0</v>
      </c>
      <c r="R1410">
        <v>0</v>
      </c>
      <c r="S1410">
        <f>IF(Q1410&gt;0,Int(P1410/Q1410),0)</f>
        <v>0</v>
      </c>
      <c r="T1410">
        <f>256267</f>
        <v>256267</v>
      </c>
      <c r="U1410" t="s">
        <v>4078</v>
      </c>
      <c r="V1410">
        <v>256267</v>
      </c>
      <c r="W1410" t="s">
        <v>1467</v>
      </c>
      <c r="X1410"/>
    </row>
    <row r="1411" spans="1:27">
      <c r="A1411" t="s">
        <v>28</v>
      </c>
      <c r="B1411" t="s">
        <v>29</v>
      </c>
      <c r="C1411" t="s">
        <v>4834</v>
      </c>
      <c r="D1411" t="s">
        <v>4835</v>
      </c>
      <c r="E1411" t="s">
        <v>4836</v>
      </c>
      <c r="F1411" t="s">
        <v>41</v>
      </c>
      <c r="G1411">
        <v>1</v>
      </c>
      <c r="H1411">
        <f>((0/1000) * G1411)</f>
        <v>0</v>
      </c>
      <c r="I1411">
        <v>0</v>
      </c>
      <c r="J1411">
        <v>1</v>
      </c>
      <c r="K1411" s="5619">
        <v>365831.48</v>
      </c>
      <c r="L1411" s="5620">
        <f>(K1411 * G1411)</f>
        <v>365831.48</v>
      </c>
      <c r="M1411" s="5621">
        <v>512164.07</v>
      </c>
      <c r="N1411" s="5622">
        <f>(G1411 * M1411)</f>
        <v>512164.07</v>
      </c>
      <c r="O1411">
        <v>0</v>
      </c>
      <c r="P1411">
        <v>0</v>
      </c>
      <c r="Q1411">
        <f>IF(O1411&gt;G1411,(O1411-G1411),0)</f>
        <v>0</v>
      </c>
      <c r="R1411">
        <v>1</v>
      </c>
      <c r="S1411">
        <f>IF(Q1411&gt;0,Int(P1411/Q1411),0)</f>
        <v>0</v>
      </c>
      <c r="T1411">
        <f>0</f>
        <v>0</v>
      </c>
      <c r="U1411"/>
      <c r="V1411">
        <v>365831.48</v>
      </c>
      <c r="W1411" t="s">
        <v>182</v>
      </c>
      <c r="X1411" t="s">
        <v>687</v>
      </c>
    </row>
    <row r="1412" spans="1:27">
      <c r="A1412" t="s">
        <v>35</v>
      </c>
      <c r="B1412" t="s">
        <v>29</v>
      </c>
      <c r="C1412" t="s">
        <v>4837</v>
      </c>
      <c r="D1412" t="s">
        <v>4838</v>
      </c>
      <c r="E1412" t="s">
        <v>4839</v>
      </c>
      <c r="F1412" t="s">
        <v>41</v>
      </c>
      <c r="G1412">
        <v>0</v>
      </c>
      <c r="H1412">
        <f>((1/1000) * G1412)</f>
        <v>0</v>
      </c>
      <c r="I1412">
        <v>0</v>
      </c>
      <c r="J1412">
        <v>0</v>
      </c>
      <c r="K1412" s="5623">
        <v>323403.63</v>
      </c>
      <c r="L1412" s="5624">
        <f>(K1412 * G1412)</f>
        <v>0</v>
      </c>
      <c r="M1412" s="5625">
        <v>323403.63</v>
      </c>
      <c r="N1412" s="5626">
        <f>(G1412 * M1412)</f>
        <v>0</v>
      </c>
      <c r="O1412">
        <v>0</v>
      </c>
      <c r="P1412">
        <v>0</v>
      </c>
      <c r="Q1412">
        <f>IF(O1412&gt;G1412,(O1412-G1412),0)</f>
        <v>0</v>
      </c>
      <c r="R1412">
        <v>1</v>
      </c>
      <c r="S1412">
        <f>IF(Q1412&gt;0,Int(P1412/Q1412),0)</f>
        <v>0</v>
      </c>
      <c r="T1412">
        <f>318441.11</f>
        <v>318441.11</v>
      </c>
      <c r="U1412" t="s">
        <v>4840</v>
      </c>
      <c r="V1412">
        <v>323403.63</v>
      </c>
      <c r="W1412" t="s">
        <v>43</v>
      </c>
      <c r="X1412"/>
    </row>
    <row r="1413" spans="1:27">
      <c r="A1413" t="s">
        <v>28</v>
      </c>
      <c r="B1413" t="s">
        <v>29</v>
      </c>
      <c r="C1413" t="s">
        <v>4841</v>
      </c>
      <c r="D1413" t="s">
        <v>4842</v>
      </c>
      <c r="E1413" t="s">
        <v>4843</v>
      </c>
      <c r="F1413" t="s">
        <v>33</v>
      </c>
      <c r="G1413">
        <v>0</v>
      </c>
      <c r="H1413">
        <f>((0/1000) * G1413)</f>
        <v>0</v>
      </c>
      <c r="I1413">
        <v>0</v>
      </c>
      <c r="J1413">
        <v>0</v>
      </c>
      <c r="K1413" s="5627">
        <v>316525.39</v>
      </c>
      <c r="L1413" s="5628">
        <f>(K1413 * G1413)</f>
        <v>0</v>
      </c>
      <c r="M1413" s="5629">
        <v>443135.54</v>
      </c>
      <c r="N1413" s="5630">
        <f>(G1413 * M1413)</f>
        <v>0</v>
      </c>
      <c r="O1413">
        <v>0</v>
      </c>
      <c r="P1413">
        <v>0</v>
      </c>
      <c r="Q1413">
        <f>IF(O1413&gt;G1413,(O1413-G1413),0)</f>
        <v>0</v>
      </c>
      <c r="R1413">
        <v>1</v>
      </c>
      <c r="S1413">
        <f>IF(Q1413&gt;0,Int(P1413/Q1413),0)</f>
        <v>0</v>
      </c>
      <c r="T1413">
        <f>110142.75</f>
        <v>110142.75</v>
      </c>
      <c r="U1413" t="s">
        <v>4844</v>
      </c>
      <c r="V1413">
        <v>316525.39</v>
      </c>
      <c r="W1413" t="s">
        <v>182</v>
      </c>
      <c r="X1413"/>
    </row>
    <row r="1414" spans="1:27">
      <c r="A1414" t="s">
        <v>28</v>
      </c>
      <c r="B1414" t="s">
        <v>29</v>
      </c>
      <c r="C1414" t="s">
        <v>4845</v>
      </c>
      <c r="D1414" t="s">
        <v>4846</v>
      </c>
      <c r="E1414" t="s">
        <v>4847</v>
      </c>
      <c r="F1414" t="s">
        <v>33</v>
      </c>
      <c r="G1414">
        <v>0</v>
      </c>
      <c r="H1414">
        <f>((0/1000) * G1414)</f>
        <v>0</v>
      </c>
      <c r="I1414">
        <v>0</v>
      </c>
      <c r="J1414">
        <v>0</v>
      </c>
      <c r="K1414" s="5631">
        <v>247363.64</v>
      </c>
      <c r="L1414" s="5632">
        <f>(K1414 * G1414)</f>
        <v>0</v>
      </c>
      <c r="M1414" s="5633">
        <v>272100</v>
      </c>
      <c r="N1414" s="5634">
        <f>(G1414 * M1414)</f>
        <v>0</v>
      </c>
      <c r="O1414">
        <v>0</v>
      </c>
      <c r="P1414">
        <v>0</v>
      </c>
      <c r="Q1414">
        <f>IF(O1414&gt;G1414,(O1414-G1414),0)</f>
        <v>0</v>
      </c>
      <c r="R1414">
        <v>1</v>
      </c>
      <c r="S1414">
        <f>IF(Q1414&gt;0,Int(P1414/Q1414),0)</f>
        <v>0</v>
      </c>
      <c r="T1414">
        <f>204432.76</f>
        <v>204432.76</v>
      </c>
      <c r="U1414" t="s">
        <v>4848</v>
      </c>
      <c r="V1414">
        <v>247363.64</v>
      </c>
      <c r="W1414" t="s">
        <v>43</v>
      </c>
      <c r="X1414"/>
    </row>
    <row r="1415" spans="1:27">
      <c r="A1415" t="s">
        <v>28</v>
      </c>
      <c r="B1415" t="s">
        <v>29</v>
      </c>
      <c r="C1415" t="s">
        <v>4849</v>
      </c>
      <c r="D1415" t="s">
        <v>4850</v>
      </c>
      <c r="E1415" t="s">
        <v>4851</v>
      </c>
      <c r="F1415" t="s">
        <v>41</v>
      </c>
      <c r="G1415">
        <v>0</v>
      </c>
      <c r="H1415">
        <f>((0/1000) * G1415)</f>
        <v>0</v>
      </c>
      <c r="I1415">
        <v>0</v>
      </c>
      <c r="J1415">
        <v>0</v>
      </c>
      <c r="K1415" s="5635">
        <v>348410.94</v>
      </c>
      <c r="L1415" s="5636">
        <f>(K1415 * G1415)</f>
        <v>0</v>
      </c>
      <c r="M1415" s="5637">
        <v>487775.31</v>
      </c>
      <c r="N1415" s="5638">
        <f>(G1415 * M1415)</f>
        <v>0</v>
      </c>
      <c r="O1415">
        <v>0</v>
      </c>
      <c r="P1415">
        <v>0</v>
      </c>
      <c r="Q1415">
        <f>IF(O1415&gt;G1415,(O1415-G1415),0)</f>
        <v>0</v>
      </c>
      <c r="R1415">
        <v>1</v>
      </c>
      <c r="S1415">
        <f>IF(Q1415&gt;0,Int(P1415/Q1415),0)</f>
        <v>0</v>
      </c>
      <c r="T1415">
        <f>103906.84</f>
        <v>103906.84</v>
      </c>
      <c r="U1415" t="s">
        <v>4852</v>
      </c>
      <c r="V1415">
        <v>348410.94</v>
      </c>
      <c r="W1415" t="s">
        <v>182</v>
      </c>
      <c r="X1415"/>
    </row>
    <row r="1416" spans="1:27">
      <c r="A1416" t="s">
        <v>28</v>
      </c>
      <c r="B1416" t="s">
        <v>29</v>
      </c>
      <c r="C1416" t="s">
        <v>371</v>
      </c>
      <c r="D1416" t="s">
        <v>4853</v>
      </c>
      <c r="E1416" t="s">
        <v>4854</v>
      </c>
      <c r="F1416" t="s">
        <v>41</v>
      </c>
      <c r="G1416">
        <v>0</v>
      </c>
      <c r="H1416">
        <f>((0/1000) * G1416)</f>
        <v>0</v>
      </c>
      <c r="I1416">
        <v>0</v>
      </c>
      <c r="J1416">
        <v>0</v>
      </c>
      <c r="K1416" s="5639">
        <v>175207</v>
      </c>
      <c r="L1416" s="5640">
        <f>(K1416 * G1416)</f>
        <v>0</v>
      </c>
      <c r="M1416" s="5641">
        <v>271074.38</v>
      </c>
      <c r="N1416" s="5642">
        <f>(G1416 * M1416)</f>
        <v>0</v>
      </c>
      <c r="O1416">
        <v>0</v>
      </c>
      <c r="P1416">
        <v>0</v>
      </c>
      <c r="Q1416">
        <f>IF(O1416&gt;G1416,(O1416-G1416),0)</f>
        <v>0</v>
      </c>
      <c r="R1416">
        <v>0</v>
      </c>
      <c r="S1416">
        <f>IF(Q1416&gt;0,Int(P1416/Q1416),0)</f>
        <v>0</v>
      </c>
      <c r="T1416">
        <f>142359</f>
        <v>142359</v>
      </c>
      <c r="U1416" t="s">
        <v>53</v>
      </c>
      <c r="V1416">
        <v>175207</v>
      </c>
      <c r="W1416" t="s">
        <v>3640</v>
      </c>
      <c r="X1416"/>
    </row>
    <row r="1417" spans="1:27">
      <c r="A1417" t="s">
        <v>28</v>
      </c>
      <c r="B1417" t="s">
        <v>29</v>
      </c>
      <c r="C1417" t="s">
        <v>4855</v>
      </c>
      <c r="D1417" t="s">
        <v>4856</v>
      </c>
      <c r="E1417" t="s">
        <v>4857</v>
      </c>
      <c r="F1417" t="s">
        <v>33</v>
      </c>
      <c r="G1417">
        <v>0</v>
      </c>
      <c r="H1417">
        <f>((0/1000) * G1417)</f>
        <v>0</v>
      </c>
      <c r="I1417">
        <v>0</v>
      </c>
      <c r="J1417">
        <v>0</v>
      </c>
      <c r="K1417" s="5643">
        <v>251436.21</v>
      </c>
      <c r="L1417" s="5644">
        <f>(K1417 * G1417)</f>
        <v>0</v>
      </c>
      <c r="M1417" s="5645">
        <v>314295.26</v>
      </c>
      <c r="N1417" s="5646">
        <f>(G1417 * M1417)</f>
        <v>0</v>
      </c>
      <c r="O1417">
        <v>0</v>
      </c>
      <c r="P1417">
        <v>0</v>
      </c>
      <c r="Q1417">
        <f>IF(O1417&gt;G1417,(O1417-G1417),0)</f>
        <v>0</v>
      </c>
      <c r="R1417">
        <v>1</v>
      </c>
      <c r="S1417">
        <f>IF(Q1417&gt;0,Int(P1417/Q1417),0)</f>
        <v>0</v>
      </c>
      <c r="T1417">
        <f>0</f>
        <v>0</v>
      </c>
      <c r="U1417"/>
      <c r="V1417">
        <v>251436.21</v>
      </c>
      <c r="W1417" t="s">
        <v>43</v>
      </c>
      <c r="X1417"/>
    </row>
    <row r="1418" spans="1:27">
      <c r="A1418" t="s">
        <v>35</v>
      </c>
      <c r="B1418" t="s">
        <v>29</v>
      </c>
      <c r="C1418" t="s">
        <v>4858</v>
      </c>
      <c r="D1418" t="s">
        <v>4858</v>
      </c>
      <c r="E1418" t="s">
        <v>4859</v>
      </c>
      <c r="F1418" t="s">
        <v>33</v>
      </c>
      <c r="G1418">
        <v>0</v>
      </c>
      <c r="H1418">
        <f>((1/1000) * G1418)</f>
        <v>0</v>
      </c>
      <c r="I1418">
        <v>0</v>
      </c>
      <c r="J1418">
        <v>0</v>
      </c>
      <c r="K1418" s="5647">
        <v>0</v>
      </c>
      <c r="L1418" s="5648">
        <f>(K1418 * G1418)</f>
        <v>0</v>
      </c>
      <c r="M1418" s="5649">
        <v>0</v>
      </c>
      <c r="N1418" s="5650">
        <f>(G1418 * M1418)</f>
        <v>0</v>
      </c>
      <c r="O1418">
        <v>0</v>
      </c>
      <c r="P1418">
        <v>0</v>
      </c>
      <c r="Q1418">
        <f>IF(O1418&gt;G1418,(O1418-G1418),0)</f>
        <v>0</v>
      </c>
      <c r="R1418">
        <v>0</v>
      </c>
      <c r="S1418">
        <f>IF(Q1418&gt;0,Int(P1418/Q1418),0)</f>
        <v>0</v>
      </c>
      <c r="T1418">
        <f>0</f>
        <v>0</v>
      </c>
      <c r="U1418"/>
      <c r="V1418">
        <v>0</v>
      </c>
      <c r="W1418">
        <v>0</v>
      </c>
      <c r="X1418"/>
    </row>
    <row r="1419" spans="1:27">
      <c r="A1419" t="s">
        <v>35</v>
      </c>
      <c r="B1419" t="s">
        <v>29</v>
      </c>
      <c r="C1419" t="s">
        <v>4860</v>
      </c>
      <c r="D1419" t="s">
        <v>4861</v>
      </c>
      <c r="E1419" t="s">
        <v>4862</v>
      </c>
      <c r="F1419" t="s">
        <v>33</v>
      </c>
      <c r="G1419">
        <v>0</v>
      </c>
      <c r="H1419">
        <f>((0/1000) * G1419)</f>
        <v>0</v>
      </c>
      <c r="I1419">
        <v>0</v>
      </c>
      <c r="J1419">
        <v>0</v>
      </c>
      <c r="K1419" s="5651">
        <v>112433.59</v>
      </c>
      <c r="L1419" s="5652">
        <f>(K1419 * G1419)</f>
        <v>0</v>
      </c>
      <c r="M1419" s="5653">
        <v>157407.02</v>
      </c>
      <c r="N1419" s="5654">
        <f>(G1419 * M1419)</f>
        <v>0</v>
      </c>
      <c r="O1419">
        <v>0</v>
      </c>
      <c r="P1419">
        <v>0</v>
      </c>
      <c r="Q1419">
        <f>IF(O1419&gt;G1419,(O1419-G1419),0)</f>
        <v>0</v>
      </c>
      <c r="R1419">
        <v>1</v>
      </c>
      <c r="S1419">
        <f>IF(Q1419&gt;0,Int(P1419/Q1419),0)</f>
        <v>0</v>
      </c>
      <c r="T1419">
        <f>0</f>
        <v>0</v>
      </c>
      <c r="U1419"/>
      <c r="V1419">
        <v>112433.59</v>
      </c>
      <c r="W1419" t="s">
        <v>75</v>
      </c>
      <c r="X1419"/>
    </row>
    <row r="1420" spans="1:27">
      <c r="A1420" t="s">
        <v>35</v>
      </c>
      <c r="B1420" t="s">
        <v>29</v>
      </c>
      <c r="C1420" t="s">
        <v>4863</v>
      </c>
      <c r="D1420" t="s">
        <v>4863</v>
      </c>
      <c r="E1420" t="s">
        <v>4864</v>
      </c>
      <c r="F1420" t="s">
        <v>33</v>
      </c>
      <c r="G1420">
        <v>0</v>
      </c>
      <c r="H1420">
        <f>((1/1000) * G1420)</f>
        <v>0</v>
      </c>
      <c r="I1420">
        <v>0</v>
      </c>
      <c r="J1420">
        <v>0</v>
      </c>
      <c r="K1420" s="5655">
        <v>0</v>
      </c>
      <c r="L1420" s="5656">
        <f>(K1420 * G1420)</f>
        <v>0</v>
      </c>
      <c r="M1420" s="5657">
        <v>0</v>
      </c>
      <c r="N1420" s="5658">
        <f>(G1420 * M1420)</f>
        <v>0</v>
      </c>
      <c r="O1420">
        <v>0</v>
      </c>
      <c r="P1420">
        <v>0</v>
      </c>
      <c r="Q1420">
        <f>IF(O1420&gt;G1420,(O1420-G1420),0)</f>
        <v>0</v>
      </c>
      <c r="R1420">
        <v>0</v>
      </c>
      <c r="S1420">
        <f>IF(Q1420&gt;0,Int(P1420/Q1420),0)</f>
        <v>0</v>
      </c>
      <c r="T1420">
        <f>0</f>
        <v>0</v>
      </c>
      <c r="U1420"/>
      <c r="V1420">
        <v>0</v>
      </c>
      <c r="W1420">
        <v>0</v>
      </c>
      <c r="X1420"/>
    </row>
    <row r="1421" spans="1:27">
      <c r="A1421" t="s">
        <v>35</v>
      </c>
      <c r="B1421" t="s">
        <v>29</v>
      </c>
      <c r="C1421" t="s">
        <v>4865</v>
      </c>
      <c r="D1421" t="s">
        <v>4866</v>
      </c>
      <c r="E1421" t="s">
        <v>4867</v>
      </c>
      <c r="F1421" t="s">
        <v>33</v>
      </c>
      <c r="G1421">
        <v>0</v>
      </c>
      <c r="H1421">
        <f>((0/1000) * G1421)</f>
        <v>0</v>
      </c>
      <c r="I1421">
        <v>0</v>
      </c>
      <c r="J1421">
        <v>0</v>
      </c>
      <c r="K1421" s="5659">
        <v>125054.01</v>
      </c>
      <c r="L1421" s="5660">
        <f>(K1421 * G1421)</f>
        <v>0</v>
      </c>
      <c r="M1421" s="5661">
        <v>175075.61</v>
      </c>
      <c r="N1421" s="5662">
        <f>(G1421 * M1421)</f>
        <v>0</v>
      </c>
      <c r="O1421">
        <v>0</v>
      </c>
      <c r="P1421">
        <v>0</v>
      </c>
      <c r="Q1421">
        <f>IF(O1421&gt;G1421,(O1421-G1421),0)</f>
        <v>0</v>
      </c>
      <c r="R1421">
        <v>1</v>
      </c>
      <c r="S1421">
        <f>IF(Q1421&gt;0,Int(P1421/Q1421),0)</f>
        <v>0</v>
      </c>
      <c r="T1421">
        <f>0</f>
        <v>0</v>
      </c>
      <c r="U1421"/>
      <c r="V1421">
        <v>125054.01</v>
      </c>
      <c r="W1421" t="s">
        <v>75</v>
      </c>
      <c r="X1421"/>
    </row>
    <row r="1422" spans="1:27">
      <c r="A1422" t="s">
        <v>35</v>
      </c>
      <c r="B1422" t="s">
        <v>29</v>
      </c>
      <c r="C1422" t="s">
        <v>4868</v>
      </c>
      <c r="D1422" t="s">
        <v>4869</v>
      </c>
      <c r="E1422" t="s">
        <v>4870</v>
      </c>
      <c r="F1422" t="s">
        <v>41</v>
      </c>
      <c r="G1422">
        <v>0</v>
      </c>
      <c r="H1422">
        <f>((0/1000) * G1422)</f>
        <v>0</v>
      </c>
      <c r="I1422">
        <v>0</v>
      </c>
      <c r="J1422">
        <v>0</v>
      </c>
      <c r="K1422" s="5663">
        <v>683231.68</v>
      </c>
      <c r="L1422" s="5664">
        <f>(K1422 * G1422)</f>
        <v>0</v>
      </c>
      <c r="M1422" s="5665">
        <v>956524.35</v>
      </c>
      <c r="N1422" s="5666">
        <f>(G1422 * M1422)</f>
        <v>0</v>
      </c>
      <c r="O1422">
        <v>0</v>
      </c>
      <c r="P1422">
        <v>0</v>
      </c>
      <c r="Q1422">
        <f>IF(O1422&gt;G1422,(O1422-G1422),0)</f>
        <v>0</v>
      </c>
      <c r="R1422">
        <v>0</v>
      </c>
      <c r="S1422">
        <f>IF(Q1422&gt;0,Int(P1422/Q1422),0)</f>
        <v>0</v>
      </c>
      <c r="T1422">
        <f>0</f>
        <v>0</v>
      </c>
      <c r="U1422"/>
      <c r="V1422">
        <v>683231.68</v>
      </c>
      <c r="W1422" t="s">
        <v>182</v>
      </c>
      <c r="X1422"/>
    </row>
    <row r="1423" spans="1:27">
      <c r="A1423" t="s">
        <v>35</v>
      </c>
      <c r="B1423" t="s">
        <v>29</v>
      </c>
      <c r="C1423" t="s">
        <v>4871</v>
      </c>
      <c r="D1423" t="s">
        <v>4872</v>
      </c>
      <c r="E1423" t="s">
        <v>4873</v>
      </c>
      <c r="F1423" t="s">
        <v>33</v>
      </c>
      <c r="G1423">
        <v>0</v>
      </c>
      <c r="H1423">
        <f>((0/1000) * G1423)</f>
        <v>0</v>
      </c>
      <c r="I1423">
        <v>0</v>
      </c>
      <c r="J1423">
        <v>0</v>
      </c>
      <c r="K1423" s="5667">
        <v>117625.37</v>
      </c>
      <c r="L1423" s="5668">
        <f>(K1423 * G1423)</f>
        <v>0</v>
      </c>
      <c r="M1423" s="5669">
        <v>164675.52</v>
      </c>
      <c r="N1423" s="5670">
        <f>(G1423 * M1423)</f>
        <v>0</v>
      </c>
      <c r="O1423">
        <v>0</v>
      </c>
      <c r="P1423">
        <v>0</v>
      </c>
      <c r="Q1423">
        <f>IF(O1423&gt;G1423,(O1423-G1423),0)</f>
        <v>0</v>
      </c>
      <c r="R1423">
        <v>1</v>
      </c>
      <c r="S1423">
        <f>IF(Q1423&gt;0,Int(P1423/Q1423),0)</f>
        <v>0</v>
      </c>
      <c r="T1423">
        <f>0</f>
        <v>0</v>
      </c>
      <c r="U1423"/>
      <c r="V1423">
        <v>117625.37</v>
      </c>
      <c r="W1423" t="s">
        <v>75</v>
      </c>
      <c r="X1423"/>
    </row>
    <row r="1424" spans="1:27">
      <c r="A1424" t="s">
        <v>35</v>
      </c>
      <c r="B1424" t="s">
        <v>29</v>
      </c>
      <c r="C1424" t="s">
        <v>4874</v>
      </c>
      <c r="D1424" t="s">
        <v>4875</v>
      </c>
      <c r="E1424" t="s">
        <v>4876</v>
      </c>
      <c r="F1424" t="s">
        <v>41</v>
      </c>
      <c r="G1424">
        <v>0</v>
      </c>
      <c r="H1424">
        <f>((0/1000) * G1424)</f>
        <v>0</v>
      </c>
      <c r="I1424">
        <v>0</v>
      </c>
      <c r="J1424">
        <v>0</v>
      </c>
      <c r="K1424" s="5671">
        <v>625701.82</v>
      </c>
      <c r="L1424" s="5672">
        <f>(K1424 * G1424)</f>
        <v>0</v>
      </c>
      <c r="M1424" s="5673">
        <v>875982.55</v>
      </c>
      <c r="N1424" s="5674">
        <f>(G1424 * M1424)</f>
        <v>0</v>
      </c>
      <c r="O1424">
        <v>0</v>
      </c>
      <c r="P1424">
        <v>0</v>
      </c>
      <c r="Q1424">
        <f>IF(O1424&gt;G1424,(O1424-G1424),0)</f>
        <v>0</v>
      </c>
      <c r="R1424">
        <v>1</v>
      </c>
      <c r="S1424">
        <f>IF(Q1424&gt;0,Int(P1424/Q1424),0)</f>
        <v>0</v>
      </c>
      <c r="T1424">
        <f>723952.52</f>
        <v>723952.52</v>
      </c>
      <c r="U1424" t="s">
        <v>4877</v>
      </c>
      <c r="V1424">
        <v>625701.82</v>
      </c>
      <c r="W1424" t="s">
        <v>75</v>
      </c>
      <c r="X1424"/>
    </row>
    <row r="1425" spans="1:27">
      <c r="A1425" t="s">
        <v>35</v>
      </c>
      <c r="B1425" t="s">
        <v>29</v>
      </c>
      <c r="C1425" t="s">
        <v>4878</v>
      </c>
      <c r="D1425" t="s">
        <v>4879</v>
      </c>
      <c r="E1425" t="s">
        <v>4880</v>
      </c>
      <c r="F1425" t="s">
        <v>33</v>
      </c>
      <c r="G1425">
        <v>0</v>
      </c>
      <c r="H1425">
        <f>((0/1000) * G1425)</f>
        <v>0</v>
      </c>
      <c r="I1425">
        <v>0</v>
      </c>
      <c r="J1425">
        <v>0</v>
      </c>
      <c r="K1425" s="5675">
        <v>105947.83</v>
      </c>
      <c r="L1425" s="5676">
        <f>(K1425 * G1425)</f>
        <v>0</v>
      </c>
      <c r="M1425" s="5677">
        <v>148326.96</v>
      </c>
      <c r="N1425" s="5678">
        <f>(G1425 * M1425)</f>
        <v>0</v>
      </c>
      <c r="O1425">
        <v>0</v>
      </c>
      <c r="P1425">
        <v>0</v>
      </c>
      <c r="Q1425">
        <f>IF(O1425&gt;G1425,(O1425-G1425),0)</f>
        <v>0</v>
      </c>
      <c r="R1425">
        <v>1</v>
      </c>
      <c r="S1425">
        <f>IF(Q1425&gt;0,Int(P1425/Q1425),0)</f>
        <v>0</v>
      </c>
      <c r="T1425">
        <f>0</f>
        <v>0</v>
      </c>
      <c r="U1425"/>
      <c r="V1425">
        <v>105947.83</v>
      </c>
      <c r="W1425" t="s">
        <v>75</v>
      </c>
      <c r="X1425"/>
    </row>
    <row r="1426" spans="1:27">
      <c r="A1426" t="s">
        <v>35</v>
      </c>
      <c r="B1426" t="s">
        <v>29</v>
      </c>
      <c r="C1426" t="s">
        <v>4881</v>
      </c>
      <c r="D1426" t="s">
        <v>4882</v>
      </c>
      <c r="E1426" t="s">
        <v>4883</v>
      </c>
      <c r="F1426" t="s">
        <v>41</v>
      </c>
      <c r="G1426">
        <v>0</v>
      </c>
      <c r="H1426">
        <f>((0/1000) * G1426)</f>
        <v>0</v>
      </c>
      <c r="I1426">
        <v>0</v>
      </c>
      <c r="J1426">
        <v>0</v>
      </c>
      <c r="K1426" s="5679">
        <v>638702.9</v>
      </c>
      <c r="L1426" s="5680">
        <f>(K1426 * G1426)</f>
        <v>0</v>
      </c>
      <c r="M1426" s="5681">
        <v>894184.06</v>
      </c>
      <c r="N1426" s="5682">
        <f>(G1426 * M1426)</f>
        <v>0</v>
      </c>
      <c r="O1426">
        <v>0</v>
      </c>
      <c r="P1426">
        <v>0</v>
      </c>
      <c r="Q1426">
        <f>IF(O1426&gt;G1426,(O1426-G1426),0)</f>
        <v>0</v>
      </c>
      <c r="R1426">
        <v>0</v>
      </c>
      <c r="S1426">
        <f>IF(Q1426&gt;0,Int(P1426/Q1426),0)</f>
        <v>0</v>
      </c>
      <c r="T1426">
        <f>0</f>
        <v>0</v>
      </c>
      <c r="U1426"/>
      <c r="V1426">
        <v>638702.9</v>
      </c>
      <c r="W1426" t="s">
        <v>182</v>
      </c>
      <c r="X1426"/>
    </row>
    <row r="1427" spans="1:27">
      <c r="A1427" t="s">
        <v>35</v>
      </c>
      <c r="B1427" t="s">
        <v>29</v>
      </c>
      <c r="C1427" t="s">
        <v>4884</v>
      </c>
      <c r="D1427" t="s">
        <v>4885</v>
      </c>
      <c r="E1427" t="s">
        <v>4886</v>
      </c>
      <c r="F1427" t="s">
        <v>33</v>
      </c>
      <c r="G1427">
        <v>0</v>
      </c>
      <c r="H1427">
        <f>((0/1000) * G1427)</f>
        <v>0</v>
      </c>
      <c r="I1427">
        <v>0</v>
      </c>
      <c r="J1427">
        <v>0</v>
      </c>
      <c r="K1427" s="5683">
        <v>113229.24</v>
      </c>
      <c r="L1427" s="5684">
        <f>(K1427 * G1427)</f>
        <v>0</v>
      </c>
      <c r="M1427" s="5685">
        <v>158520.94</v>
      </c>
      <c r="N1427" s="5686">
        <f>(G1427 * M1427)</f>
        <v>0</v>
      </c>
      <c r="O1427">
        <v>0</v>
      </c>
      <c r="P1427">
        <v>0</v>
      </c>
      <c r="Q1427">
        <f>IF(O1427&gt;G1427,(O1427-G1427),0)</f>
        <v>0</v>
      </c>
      <c r="R1427">
        <v>1</v>
      </c>
      <c r="S1427">
        <f>IF(Q1427&gt;0,Int(P1427/Q1427),0)</f>
        <v>0</v>
      </c>
      <c r="T1427">
        <f>0</f>
        <v>0</v>
      </c>
      <c r="U1427"/>
      <c r="V1427">
        <v>113229.24</v>
      </c>
      <c r="W1427" t="s">
        <v>75</v>
      </c>
      <c r="X1427"/>
    </row>
    <row r="1428" spans="1:27">
      <c r="A1428" t="s">
        <v>28</v>
      </c>
      <c r="B1428" t="s">
        <v>29</v>
      </c>
      <c r="C1428" t="s">
        <v>4887</v>
      </c>
      <c r="D1428" t="s">
        <v>4888</v>
      </c>
      <c r="E1428" t="s">
        <v>4889</v>
      </c>
      <c r="F1428" t="s">
        <v>33</v>
      </c>
      <c r="G1428">
        <v>0</v>
      </c>
      <c r="H1428">
        <f>((0/1000) * G1428)</f>
        <v>0</v>
      </c>
      <c r="I1428">
        <v>0</v>
      </c>
      <c r="J1428">
        <v>0</v>
      </c>
      <c r="K1428" s="5687">
        <v>638702.9</v>
      </c>
      <c r="L1428" s="5688">
        <f>(K1428 * G1428)</f>
        <v>0</v>
      </c>
      <c r="M1428" s="5689">
        <v>894184.06</v>
      </c>
      <c r="N1428" s="5690">
        <f>(G1428 * M1428)</f>
        <v>0</v>
      </c>
      <c r="O1428">
        <v>0</v>
      </c>
      <c r="P1428">
        <v>0</v>
      </c>
      <c r="Q1428">
        <f>IF(O1428&gt;G1428,(O1428-G1428),0)</f>
        <v>0</v>
      </c>
      <c r="R1428">
        <v>1</v>
      </c>
      <c r="S1428">
        <f>IF(Q1428&gt;0,Int(P1428/Q1428),0)</f>
        <v>0</v>
      </c>
      <c r="T1428">
        <f>0</f>
        <v>0</v>
      </c>
      <c r="U1428"/>
      <c r="V1428">
        <v>638702.9</v>
      </c>
      <c r="W1428" t="s">
        <v>182</v>
      </c>
      <c r="X1428"/>
    </row>
    <row r="1429" spans="1:27">
      <c r="A1429" t="s">
        <v>35</v>
      </c>
      <c r="B1429" t="s">
        <v>29</v>
      </c>
      <c r="C1429" t="s">
        <v>4890</v>
      </c>
      <c r="D1429" t="s">
        <v>4890</v>
      </c>
      <c r="E1429" t="s">
        <v>4891</v>
      </c>
      <c r="F1429" t="s">
        <v>33</v>
      </c>
      <c r="G1429">
        <v>0</v>
      </c>
      <c r="H1429">
        <f>((1/1000) * G1429)</f>
        <v>0</v>
      </c>
      <c r="I1429">
        <v>0</v>
      </c>
      <c r="J1429">
        <v>0</v>
      </c>
      <c r="K1429" s="5691">
        <v>0</v>
      </c>
      <c r="L1429" s="5692">
        <f>(K1429 * G1429)</f>
        <v>0</v>
      </c>
      <c r="M1429" s="5693">
        <v>0</v>
      </c>
      <c r="N1429" s="5694">
        <f>(G1429 * M1429)</f>
        <v>0</v>
      </c>
      <c r="O1429">
        <v>0</v>
      </c>
      <c r="P1429">
        <v>0</v>
      </c>
      <c r="Q1429">
        <f>IF(O1429&gt;G1429,(O1429-G1429),0)</f>
        <v>0</v>
      </c>
      <c r="R1429">
        <v>0</v>
      </c>
      <c r="S1429">
        <f>IF(Q1429&gt;0,Int(P1429/Q1429),0)</f>
        <v>0</v>
      </c>
      <c r="T1429">
        <f>0</f>
        <v>0</v>
      </c>
      <c r="U1429"/>
      <c r="V1429">
        <v>0</v>
      </c>
      <c r="W1429">
        <v>0</v>
      </c>
      <c r="X1429"/>
    </row>
    <row r="1430" spans="1:27">
      <c r="A1430" t="s">
        <v>35</v>
      </c>
      <c r="B1430" t="s">
        <v>29</v>
      </c>
      <c r="C1430" t="s">
        <v>4892</v>
      </c>
      <c r="D1430" t="s">
        <v>4893</v>
      </c>
      <c r="E1430" t="s">
        <v>4894</v>
      </c>
      <c r="F1430" t="s">
        <v>33</v>
      </c>
      <c r="G1430">
        <v>0</v>
      </c>
      <c r="H1430">
        <f>((0/1000) * G1430)</f>
        <v>0</v>
      </c>
      <c r="I1430">
        <v>0</v>
      </c>
      <c r="J1430">
        <v>0</v>
      </c>
      <c r="K1430" s="5695">
        <v>109197.26</v>
      </c>
      <c r="L1430" s="5696">
        <f>(K1430 * G1430)</f>
        <v>0</v>
      </c>
      <c r="M1430" s="5697">
        <v>152876.16</v>
      </c>
      <c r="N1430" s="5698">
        <f>(G1430 * M1430)</f>
        <v>0</v>
      </c>
      <c r="O1430">
        <v>0</v>
      </c>
      <c r="P1430">
        <v>0</v>
      </c>
      <c r="Q1430">
        <f>IF(O1430&gt;G1430,(O1430-G1430),0)</f>
        <v>0</v>
      </c>
      <c r="R1430">
        <v>1</v>
      </c>
      <c r="S1430">
        <f>IF(Q1430&gt;0,Int(P1430/Q1430),0)</f>
        <v>0</v>
      </c>
      <c r="T1430">
        <f>0</f>
        <v>0</v>
      </c>
      <c r="U1430"/>
      <c r="V1430">
        <v>109197.26</v>
      </c>
      <c r="W1430" t="s">
        <v>75</v>
      </c>
      <c r="X1430"/>
    </row>
    <row r="1431" spans="1:27">
      <c r="A1431" t="s">
        <v>35</v>
      </c>
      <c r="B1431" t="s">
        <v>29</v>
      </c>
      <c r="C1431" t="s">
        <v>4895</v>
      </c>
      <c r="D1431" t="s">
        <v>4896</v>
      </c>
      <c r="E1431" t="s">
        <v>4897</v>
      </c>
      <c r="F1431" t="s">
        <v>41</v>
      </c>
      <c r="G1431">
        <v>0</v>
      </c>
      <c r="H1431">
        <f>((0/1000) * G1431)</f>
        <v>0</v>
      </c>
      <c r="I1431">
        <v>0</v>
      </c>
      <c r="J1431">
        <v>0</v>
      </c>
      <c r="K1431" s="5699">
        <v>219999.78</v>
      </c>
      <c r="L1431" s="5700">
        <f>(K1431 * G1431)</f>
        <v>0</v>
      </c>
      <c r="M1431" s="5701">
        <v>307999.69</v>
      </c>
      <c r="N1431" s="5702">
        <f>(G1431 * M1431)</f>
        <v>0</v>
      </c>
      <c r="O1431">
        <v>0</v>
      </c>
      <c r="P1431">
        <v>0</v>
      </c>
      <c r="Q1431">
        <f>IF(O1431&gt;G1431,(O1431-G1431),0)</f>
        <v>0</v>
      </c>
      <c r="R1431">
        <v>1</v>
      </c>
      <c r="S1431">
        <f>IF(Q1431&gt;0,Int(P1431/Q1431),0)</f>
        <v>0</v>
      </c>
      <c r="T1431">
        <f>127047.33</f>
        <v>127047.33</v>
      </c>
      <c r="U1431" t="s">
        <v>4898</v>
      </c>
      <c r="V1431">
        <v>219999.78</v>
      </c>
      <c r="W1431" t="s">
        <v>75</v>
      </c>
      <c r="X1431"/>
    </row>
    <row r="1432" spans="1:27">
      <c r="A1432" t="s">
        <v>35</v>
      </c>
      <c r="B1432" t="s">
        <v>29</v>
      </c>
      <c r="C1432" t="s">
        <v>4899</v>
      </c>
      <c r="D1432" t="s">
        <v>4900</v>
      </c>
      <c r="E1432" t="s">
        <v>4901</v>
      </c>
      <c r="F1432" t="s">
        <v>41</v>
      </c>
      <c r="G1432">
        <v>0</v>
      </c>
      <c r="H1432">
        <f>((0/1000) * G1432)</f>
        <v>0</v>
      </c>
      <c r="I1432">
        <v>0</v>
      </c>
      <c r="J1432">
        <v>0</v>
      </c>
      <c r="K1432" s="5703">
        <v>483680.55</v>
      </c>
      <c r="L1432" s="5704">
        <f>(K1432 * G1432)</f>
        <v>0</v>
      </c>
      <c r="M1432" s="5705">
        <v>677152.76</v>
      </c>
      <c r="N1432" s="5706">
        <f>(G1432 * M1432)</f>
        <v>0</v>
      </c>
      <c r="O1432">
        <v>0</v>
      </c>
      <c r="P1432">
        <v>0</v>
      </c>
      <c r="Q1432">
        <f>IF(O1432&gt;G1432,(O1432-G1432),0)</f>
        <v>0</v>
      </c>
      <c r="R1432">
        <v>1</v>
      </c>
      <c r="S1432">
        <f>IF(Q1432&gt;0,Int(P1432/Q1432),0)</f>
        <v>0</v>
      </c>
      <c r="T1432">
        <f>106864</f>
        <v>106864</v>
      </c>
      <c r="U1432" t="s">
        <v>4902</v>
      </c>
      <c r="V1432">
        <v>483680.55</v>
      </c>
      <c r="W1432" t="s">
        <v>182</v>
      </c>
      <c r="X1432"/>
    </row>
    <row r="1433" spans="1:27">
      <c r="A1433" t="s">
        <v>35</v>
      </c>
      <c r="B1433" t="s">
        <v>29</v>
      </c>
      <c r="C1433" t="s">
        <v>4903</v>
      </c>
      <c r="D1433" t="s">
        <v>4904</v>
      </c>
      <c r="E1433" t="s">
        <v>4905</v>
      </c>
      <c r="F1433" t="s">
        <v>33</v>
      </c>
      <c r="G1433">
        <v>0</v>
      </c>
      <c r="H1433">
        <f>((0/1000) * G1433)</f>
        <v>0</v>
      </c>
      <c r="I1433">
        <v>0</v>
      </c>
      <c r="J1433">
        <v>0</v>
      </c>
      <c r="K1433" s="5707">
        <v>106607.09</v>
      </c>
      <c r="L1433" s="5708">
        <f>(K1433 * G1433)</f>
        <v>0</v>
      </c>
      <c r="M1433" s="5709">
        <v>149249.92</v>
      </c>
      <c r="N1433" s="5710">
        <f>(G1433 * M1433)</f>
        <v>0</v>
      </c>
      <c r="O1433">
        <v>0</v>
      </c>
      <c r="P1433">
        <v>0</v>
      </c>
      <c r="Q1433">
        <f>IF(O1433&gt;G1433,(O1433-G1433),0)</f>
        <v>0</v>
      </c>
      <c r="R1433">
        <v>1</v>
      </c>
      <c r="S1433">
        <f>IF(Q1433&gt;0,Int(P1433/Q1433),0)</f>
        <v>0</v>
      </c>
      <c r="T1433">
        <f>0</f>
        <v>0</v>
      </c>
      <c r="U1433"/>
      <c r="V1433">
        <v>106607.09</v>
      </c>
      <c r="W1433" t="s">
        <v>75</v>
      </c>
      <c r="X1433"/>
    </row>
    <row r="1434" spans="1:27">
      <c r="A1434" t="s">
        <v>35</v>
      </c>
      <c r="B1434" t="s">
        <v>29</v>
      </c>
      <c r="C1434" t="s">
        <v>4906</v>
      </c>
      <c r="D1434" t="s">
        <v>4907</v>
      </c>
      <c r="E1434" t="s">
        <v>4908</v>
      </c>
      <c r="F1434" t="s">
        <v>41</v>
      </c>
      <c r="G1434">
        <v>0</v>
      </c>
      <c r="H1434">
        <f>((0/1000) * G1434)</f>
        <v>0</v>
      </c>
      <c r="I1434">
        <v>0</v>
      </c>
      <c r="J1434">
        <v>0</v>
      </c>
      <c r="K1434" s="5711">
        <v>836727.28</v>
      </c>
      <c r="L1434" s="5712">
        <f>(K1434 * G1434)</f>
        <v>0</v>
      </c>
      <c r="M1434" s="5713">
        <v>1171418.19</v>
      </c>
      <c r="N1434" s="5714">
        <f>(G1434 * M1434)</f>
        <v>0</v>
      </c>
      <c r="O1434">
        <v>0</v>
      </c>
      <c r="P1434">
        <v>0</v>
      </c>
      <c r="Q1434">
        <f>IF(O1434&gt;G1434,(O1434-G1434),0)</f>
        <v>0</v>
      </c>
      <c r="R1434">
        <v>1</v>
      </c>
      <c r="S1434">
        <f>IF(Q1434&gt;0,Int(P1434/Q1434),0)</f>
        <v>0</v>
      </c>
      <c r="T1434">
        <f>108986.9</f>
        <v>108986.9</v>
      </c>
      <c r="U1434" t="s">
        <v>4909</v>
      </c>
      <c r="V1434">
        <v>836727.28</v>
      </c>
      <c r="W1434" t="s">
        <v>75</v>
      </c>
      <c r="X1434"/>
    </row>
    <row r="1435" spans="1:27">
      <c r="A1435" t="s">
        <v>35</v>
      </c>
      <c r="B1435" t="s">
        <v>29</v>
      </c>
      <c r="C1435" t="s">
        <v>4910</v>
      </c>
      <c r="D1435" t="s">
        <v>4911</v>
      </c>
      <c r="E1435" t="s">
        <v>4912</v>
      </c>
      <c r="F1435" t="s">
        <v>41</v>
      </c>
      <c r="G1435">
        <v>0</v>
      </c>
      <c r="H1435">
        <f>((0/1000) * G1435)</f>
        <v>0</v>
      </c>
      <c r="I1435">
        <v>0</v>
      </c>
      <c r="J1435">
        <v>0</v>
      </c>
      <c r="K1435" s="5715">
        <v>528448.74</v>
      </c>
      <c r="L1435" s="5716">
        <f>(K1435 * G1435)</f>
        <v>0</v>
      </c>
      <c r="M1435" s="5717">
        <v>739828.24</v>
      </c>
      <c r="N1435" s="5718">
        <f>(G1435 * M1435)</f>
        <v>0</v>
      </c>
      <c r="O1435">
        <v>0</v>
      </c>
      <c r="P1435">
        <v>0</v>
      </c>
      <c r="Q1435">
        <f>IF(O1435&gt;G1435,(O1435-G1435),0)</f>
        <v>0</v>
      </c>
      <c r="R1435">
        <v>1</v>
      </c>
      <c r="S1435">
        <f>IF(Q1435&gt;0,Int(P1435/Q1435),0)</f>
        <v>0</v>
      </c>
      <c r="T1435">
        <f>567334.34</f>
        <v>567334.34</v>
      </c>
      <c r="U1435" t="s">
        <v>4913</v>
      </c>
      <c r="V1435">
        <v>528448.74</v>
      </c>
      <c r="W1435" t="s">
        <v>182</v>
      </c>
      <c r="X1435"/>
    </row>
    <row r="1436" spans="1:27">
      <c r="A1436" t="s">
        <v>35</v>
      </c>
      <c r="B1436" t="s">
        <v>29</v>
      </c>
      <c r="C1436" t="s">
        <v>4914</v>
      </c>
      <c r="D1436" t="s">
        <v>4915</v>
      </c>
      <c r="E1436" t="s">
        <v>4916</v>
      </c>
      <c r="F1436" t="s">
        <v>33</v>
      </c>
      <c r="G1436">
        <v>0</v>
      </c>
      <c r="H1436">
        <f>((0/1000) * G1436)</f>
        <v>0</v>
      </c>
      <c r="I1436">
        <v>0</v>
      </c>
      <c r="J1436">
        <v>0</v>
      </c>
      <c r="K1436" s="5719">
        <v>99919.45</v>
      </c>
      <c r="L1436" s="5720">
        <f>(K1436 * G1436)</f>
        <v>0</v>
      </c>
      <c r="M1436" s="5721">
        <v>139887.23</v>
      </c>
      <c r="N1436" s="5722">
        <f>(G1436 * M1436)</f>
        <v>0</v>
      </c>
      <c r="O1436">
        <v>0</v>
      </c>
      <c r="P1436">
        <v>0</v>
      </c>
      <c r="Q1436">
        <f>IF(O1436&gt;G1436,(O1436-G1436),0)</f>
        <v>0</v>
      </c>
      <c r="R1436">
        <v>1</v>
      </c>
      <c r="S1436">
        <f>IF(Q1436&gt;0,Int(P1436/Q1436),0)</f>
        <v>0</v>
      </c>
      <c r="T1436">
        <f>0</f>
        <v>0</v>
      </c>
      <c r="U1436"/>
      <c r="V1436">
        <v>99919.45</v>
      </c>
      <c r="W1436" t="s">
        <v>75</v>
      </c>
      <c r="X1436"/>
    </row>
    <row r="1437" spans="1:27">
      <c r="A1437" t="s">
        <v>28</v>
      </c>
      <c r="B1437" t="s">
        <v>29</v>
      </c>
      <c r="C1437" t="s">
        <v>4917</v>
      </c>
      <c r="D1437" t="s">
        <v>4918</v>
      </c>
      <c r="E1437" t="s">
        <v>4919</v>
      </c>
      <c r="F1437" t="s">
        <v>33</v>
      </c>
      <c r="G1437">
        <v>0</v>
      </c>
      <c r="H1437">
        <f>((0/1000) * G1437)</f>
        <v>0</v>
      </c>
      <c r="I1437">
        <v>0</v>
      </c>
      <c r="J1437">
        <v>0</v>
      </c>
      <c r="K1437" s="5723">
        <v>352892.56</v>
      </c>
      <c r="L1437" s="5724">
        <f>(K1437 * G1437)</f>
        <v>0</v>
      </c>
      <c r="M1437" s="5725">
        <v>388181.82</v>
      </c>
      <c r="N1437" s="5726">
        <f>(G1437 * M1437)</f>
        <v>0</v>
      </c>
      <c r="O1437">
        <v>0</v>
      </c>
      <c r="P1437">
        <v>0</v>
      </c>
      <c r="Q1437">
        <f>IF(O1437&gt;G1437,(O1437-G1437),0)</f>
        <v>0</v>
      </c>
      <c r="R1437">
        <v>1</v>
      </c>
      <c r="S1437">
        <f>IF(Q1437&gt;0,Int(P1437/Q1437),0)</f>
        <v>0</v>
      </c>
      <c r="T1437">
        <f>436288.5</f>
        <v>436288.5</v>
      </c>
      <c r="U1437" t="s">
        <v>721</v>
      </c>
      <c r="V1437">
        <v>352892.56</v>
      </c>
      <c r="W1437" t="s">
        <v>43</v>
      </c>
      <c r="X1437"/>
    </row>
    <row r="1438" spans="1:27">
      <c r="A1438" t="s">
        <v>35</v>
      </c>
      <c r="B1438" t="s">
        <v>29</v>
      </c>
      <c r="C1438" t="s">
        <v>4920</v>
      </c>
      <c r="D1438" t="s">
        <v>4921</v>
      </c>
      <c r="E1438" t="s">
        <v>4922</v>
      </c>
      <c r="F1438" t="s">
        <v>33</v>
      </c>
      <c r="G1438">
        <v>0</v>
      </c>
      <c r="H1438">
        <f>((0/1000) * G1438)</f>
        <v>0</v>
      </c>
      <c r="I1438">
        <v>0</v>
      </c>
      <c r="J1438">
        <v>0</v>
      </c>
      <c r="K1438" s="5727">
        <v>112279.36</v>
      </c>
      <c r="L1438" s="5728">
        <f>(K1438 * G1438)</f>
        <v>0</v>
      </c>
      <c r="M1438" s="5729">
        <v>157191.1</v>
      </c>
      <c r="N1438" s="5730">
        <f>(G1438 * M1438)</f>
        <v>0</v>
      </c>
      <c r="O1438">
        <v>0</v>
      </c>
      <c r="P1438">
        <v>0</v>
      </c>
      <c r="Q1438">
        <f>IF(O1438&gt;G1438,(O1438-G1438),0)</f>
        <v>0</v>
      </c>
      <c r="R1438">
        <v>1</v>
      </c>
      <c r="S1438">
        <f>IF(Q1438&gt;0,Int(P1438/Q1438),0)</f>
        <v>0</v>
      </c>
      <c r="T1438">
        <f>0</f>
        <v>0</v>
      </c>
      <c r="U1438"/>
      <c r="V1438">
        <v>112279.36</v>
      </c>
      <c r="W1438" t="s">
        <v>75</v>
      </c>
      <c r="X1438"/>
    </row>
    <row r="1439" spans="1:27">
      <c r="A1439" t="s">
        <v>35</v>
      </c>
      <c r="B1439" t="s">
        <v>29</v>
      </c>
      <c r="C1439" t="s">
        <v>4923</v>
      </c>
      <c r="D1439" t="s">
        <v>4924</v>
      </c>
      <c r="E1439" t="s">
        <v>4925</v>
      </c>
      <c r="F1439" t="s">
        <v>33</v>
      </c>
      <c r="G1439">
        <v>0</v>
      </c>
      <c r="H1439">
        <f>((0/1000) * G1439)</f>
        <v>0</v>
      </c>
      <c r="I1439">
        <v>0</v>
      </c>
      <c r="J1439">
        <v>0</v>
      </c>
      <c r="K1439" s="5731">
        <v>1335714.28</v>
      </c>
      <c r="L1439" s="5732">
        <f>(K1439 * G1439)</f>
        <v>0</v>
      </c>
      <c r="M1439" s="5733">
        <v>1869999.99</v>
      </c>
      <c r="N1439" s="5734">
        <f>(G1439 * M1439)</f>
        <v>0</v>
      </c>
      <c r="O1439">
        <v>0</v>
      </c>
      <c r="P1439">
        <v>0</v>
      </c>
      <c r="Q1439">
        <f>IF(O1439&gt;G1439,(O1439-G1439),0)</f>
        <v>0</v>
      </c>
      <c r="R1439">
        <v>1</v>
      </c>
      <c r="S1439">
        <f>IF(Q1439&gt;0,Int(P1439/Q1439),0)</f>
        <v>0</v>
      </c>
      <c r="T1439">
        <f>0</f>
        <v>0</v>
      </c>
      <c r="U1439"/>
      <c r="V1439">
        <v>1335714.28</v>
      </c>
      <c r="W1439" t="s">
        <v>75</v>
      </c>
      <c r="X1439"/>
    </row>
    <row r="1440" spans="1:27">
      <c r="A1440" t="s">
        <v>28</v>
      </c>
      <c r="B1440" t="s">
        <v>29</v>
      </c>
      <c r="C1440" t="s">
        <v>4926</v>
      </c>
      <c r="D1440" t="s">
        <v>4927</v>
      </c>
      <c r="E1440" t="s">
        <v>4928</v>
      </c>
      <c r="F1440" t="s">
        <v>41</v>
      </c>
      <c r="G1440">
        <v>0</v>
      </c>
      <c r="H1440">
        <f>((0/1000) * G1440)</f>
        <v>0</v>
      </c>
      <c r="I1440">
        <v>0</v>
      </c>
      <c r="J1440">
        <v>0</v>
      </c>
      <c r="K1440" s="5735">
        <v>577700.73</v>
      </c>
      <c r="L1440" s="5736">
        <f>(K1440 * G1440)</f>
        <v>0</v>
      </c>
      <c r="M1440" s="5737">
        <v>808781.02</v>
      </c>
      <c r="N1440" s="5738">
        <f>(G1440 * M1440)</f>
        <v>0</v>
      </c>
      <c r="O1440">
        <v>0</v>
      </c>
      <c r="P1440">
        <v>0</v>
      </c>
      <c r="Q1440">
        <f>IF(O1440&gt;G1440,(O1440-G1440),0)</f>
        <v>0</v>
      </c>
      <c r="R1440">
        <v>1</v>
      </c>
      <c r="S1440">
        <f>IF(Q1440&gt;0,Int(P1440/Q1440),0)</f>
        <v>0</v>
      </c>
      <c r="T1440">
        <f>622464.31</f>
        <v>622464.31</v>
      </c>
      <c r="U1440" t="s">
        <v>4929</v>
      </c>
      <c r="V1440">
        <v>577700.73</v>
      </c>
      <c r="W1440" t="s">
        <v>182</v>
      </c>
      <c r="X1440"/>
    </row>
    <row r="1441" spans="1:27">
      <c r="A1441" t="s">
        <v>35</v>
      </c>
      <c r="B1441" t="s">
        <v>29</v>
      </c>
      <c r="C1441" t="s">
        <v>4930</v>
      </c>
      <c r="D1441" t="s">
        <v>4930</v>
      </c>
      <c r="E1441" t="s">
        <v>4931</v>
      </c>
      <c r="F1441" t="s">
        <v>33</v>
      </c>
      <c r="G1441">
        <v>0</v>
      </c>
      <c r="H1441">
        <f>((1/1000) * G1441)</f>
        <v>0</v>
      </c>
      <c r="I1441">
        <v>0</v>
      </c>
      <c r="J1441">
        <v>0</v>
      </c>
      <c r="K1441" s="5739">
        <v>0</v>
      </c>
      <c r="L1441" s="5740">
        <f>(K1441 * G1441)</f>
        <v>0</v>
      </c>
      <c r="M1441" s="5741">
        <v>0</v>
      </c>
      <c r="N1441" s="5742">
        <f>(G1441 * M1441)</f>
        <v>0</v>
      </c>
      <c r="O1441">
        <v>0</v>
      </c>
      <c r="P1441">
        <v>0</v>
      </c>
      <c r="Q1441">
        <f>IF(O1441&gt;G1441,(O1441-G1441),0)</f>
        <v>0</v>
      </c>
      <c r="R1441">
        <v>0</v>
      </c>
      <c r="S1441">
        <f>IF(Q1441&gt;0,Int(P1441/Q1441),0)</f>
        <v>0</v>
      </c>
      <c r="T1441">
        <f>0</f>
        <v>0</v>
      </c>
      <c r="U1441" t="s">
        <v>4932</v>
      </c>
      <c r="V1441">
        <v>0</v>
      </c>
      <c r="W1441">
        <v>0</v>
      </c>
      <c r="X1441"/>
    </row>
    <row r="1442" spans="1:27">
      <c r="A1442" t="s">
        <v>28</v>
      </c>
      <c r="B1442" t="s">
        <v>29</v>
      </c>
      <c r="C1442" t="s">
        <v>4933</v>
      </c>
      <c r="D1442" t="s">
        <v>4934</v>
      </c>
      <c r="E1442" t="s">
        <v>4935</v>
      </c>
      <c r="F1442" t="s">
        <v>41</v>
      </c>
      <c r="G1442">
        <v>0</v>
      </c>
      <c r="H1442">
        <f>((0/1000) * G1442)</f>
        <v>0</v>
      </c>
      <c r="I1442">
        <v>0</v>
      </c>
      <c r="J1442">
        <v>0</v>
      </c>
      <c r="K1442" s="5743">
        <v>755113.48</v>
      </c>
      <c r="L1442" s="5744">
        <f>(K1442 * G1442)</f>
        <v>0</v>
      </c>
      <c r="M1442" s="5745">
        <v>1057158.87</v>
      </c>
      <c r="N1442" s="5746">
        <f>(G1442 * M1442)</f>
        <v>0</v>
      </c>
      <c r="O1442">
        <v>0</v>
      </c>
      <c r="P1442">
        <v>0</v>
      </c>
      <c r="Q1442">
        <f>IF(O1442&gt;G1442,(O1442-G1442),0)</f>
        <v>0</v>
      </c>
      <c r="R1442">
        <v>1</v>
      </c>
      <c r="S1442">
        <f>IF(Q1442&gt;0,Int(P1442/Q1442),0)</f>
        <v>0</v>
      </c>
      <c r="T1442">
        <f>0</f>
        <v>0</v>
      </c>
      <c r="U1442"/>
      <c r="V1442">
        <v>755113.48</v>
      </c>
      <c r="W1442" t="s">
        <v>182</v>
      </c>
      <c r="X1442"/>
    </row>
    <row r="1443" spans="1:27">
      <c r="A1443" t="s">
        <v>28</v>
      </c>
      <c r="B1443" t="s">
        <v>29</v>
      </c>
      <c r="C1443" t="s">
        <v>4936</v>
      </c>
      <c r="D1443" t="s">
        <v>4937</v>
      </c>
      <c r="E1443" t="s">
        <v>4938</v>
      </c>
      <c r="F1443" t="s">
        <v>41</v>
      </c>
      <c r="G1443">
        <v>0</v>
      </c>
      <c r="H1443">
        <f>((0/1000) * G1443)</f>
        <v>0</v>
      </c>
      <c r="I1443">
        <v>0</v>
      </c>
      <c r="J1443">
        <v>0</v>
      </c>
      <c r="K1443" s="5747">
        <v>966240</v>
      </c>
      <c r="L1443" s="5748">
        <f>(K1443 * G1443)</f>
        <v>0</v>
      </c>
      <c r="M1443" s="5749">
        <v>1352736</v>
      </c>
      <c r="N1443" s="5750">
        <f>(G1443 * M1443)</f>
        <v>0</v>
      </c>
      <c r="O1443">
        <v>0</v>
      </c>
      <c r="P1443">
        <v>0</v>
      </c>
      <c r="Q1443">
        <f>IF(O1443&gt;G1443,(O1443-G1443),0)</f>
        <v>0</v>
      </c>
      <c r="R1443">
        <v>1</v>
      </c>
      <c r="S1443">
        <f>IF(Q1443&gt;0,Int(P1443/Q1443),0)</f>
        <v>0</v>
      </c>
      <c r="T1443">
        <f>245379.41</f>
        <v>245379.41</v>
      </c>
      <c r="U1443" t="s">
        <v>3967</v>
      </c>
      <c r="V1443">
        <v>966240</v>
      </c>
      <c r="W1443" t="s">
        <v>75</v>
      </c>
      <c r="X1443"/>
    </row>
    <row r="1444" spans="1:27">
      <c r="A1444" t="s">
        <v>28</v>
      </c>
      <c r="B1444" t="s">
        <v>29</v>
      </c>
      <c r="C1444" t="s">
        <v>4939</v>
      </c>
      <c r="D1444" t="s">
        <v>4940</v>
      </c>
      <c r="E1444" t="s">
        <v>4941</v>
      </c>
      <c r="F1444" t="s">
        <v>33</v>
      </c>
      <c r="G1444">
        <v>0</v>
      </c>
      <c r="H1444">
        <f>((0/1000) * G1444)</f>
        <v>0</v>
      </c>
      <c r="I1444">
        <v>0</v>
      </c>
      <c r="J1444">
        <v>0</v>
      </c>
      <c r="K1444" s="5751">
        <v>422892.56</v>
      </c>
      <c r="L1444" s="5752">
        <f>(K1444 * G1444)</f>
        <v>0</v>
      </c>
      <c r="M1444" s="5753">
        <v>465181.82</v>
      </c>
      <c r="N1444" s="5754">
        <f>(G1444 * M1444)</f>
        <v>0</v>
      </c>
      <c r="O1444">
        <v>0</v>
      </c>
      <c r="P1444">
        <v>0</v>
      </c>
      <c r="Q1444">
        <f>IF(O1444&gt;G1444,(O1444-G1444),0)</f>
        <v>0</v>
      </c>
      <c r="R1444">
        <v>1</v>
      </c>
      <c r="S1444">
        <f>IF(Q1444&gt;0,Int(P1444/Q1444),0)</f>
        <v>0</v>
      </c>
      <c r="T1444">
        <f>382193.84</f>
        <v>382193.84</v>
      </c>
      <c r="U1444" t="s">
        <v>4942</v>
      </c>
      <c r="V1444">
        <v>422892.56</v>
      </c>
      <c r="W1444" t="s">
        <v>43</v>
      </c>
      <c r="X1444"/>
    </row>
    <row r="1445" spans="1:27">
      <c r="A1445" t="s">
        <v>35</v>
      </c>
      <c r="B1445" t="s">
        <v>29</v>
      </c>
      <c r="C1445" t="s">
        <v>4943</v>
      </c>
      <c r="D1445" t="s">
        <v>4944</v>
      </c>
      <c r="E1445" t="s">
        <v>4945</v>
      </c>
      <c r="F1445" t="s">
        <v>33</v>
      </c>
      <c r="G1445">
        <v>4</v>
      </c>
      <c r="H1445">
        <f>((0/1000) * G1445)</f>
        <v>0</v>
      </c>
      <c r="I1445">
        <v>0</v>
      </c>
      <c r="J1445">
        <v>4</v>
      </c>
      <c r="K1445" s="5755">
        <v>163942</v>
      </c>
      <c r="L1445" s="5756">
        <f>(K1445 * G1445)</f>
        <v>655768</v>
      </c>
      <c r="M1445" s="5757">
        <v>264462.81</v>
      </c>
      <c r="N1445" s="5758">
        <f>(G1445 * M1445)</f>
        <v>1057851.24</v>
      </c>
      <c r="O1445">
        <v>0</v>
      </c>
      <c r="P1445">
        <v>0</v>
      </c>
      <c r="Q1445">
        <f>IF(O1445&gt;G1445,(O1445-G1445),0)</f>
        <v>0</v>
      </c>
      <c r="R1445">
        <v>1</v>
      </c>
      <c r="S1445">
        <f>IF(Q1445&gt;0,Int(P1445/Q1445),0)</f>
        <v>0</v>
      </c>
      <c r="T1445">
        <f>144620.3</f>
        <v>144620.3</v>
      </c>
      <c r="U1445" t="s">
        <v>993</v>
      </c>
      <c r="V1445">
        <v>163942</v>
      </c>
      <c r="W1445" t="s">
        <v>97</v>
      </c>
      <c r="X1445" t="s">
        <v>753</v>
      </c>
    </row>
    <row r="1446" spans="1:27">
      <c r="A1446" t="s">
        <v>35</v>
      </c>
      <c r="B1446" t="s">
        <v>29</v>
      </c>
      <c r="C1446" t="s">
        <v>4946</v>
      </c>
      <c r="D1446" t="s">
        <v>4947</v>
      </c>
      <c r="E1446" t="s">
        <v>4948</v>
      </c>
      <c r="F1446" t="s">
        <v>33</v>
      </c>
      <c r="G1446">
        <v>0</v>
      </c>
      <c r="H1446">
        <f>((0/1000) * G1446)</f>
        <v>0</v>
      </c>
      <c r="I1446">
        <v>0</v>
      </c>
      <c r="J1446">
        <v>0</v>
      </c>
      <c r="K1446" s="5759">
        <v>684862.33</v>
      </c>
      <c r="L1446" s="5760">
        <f>(K1446 * G1446)</f>
        <v>0</v>
      </c>
      <c r="M1446" s="5761">
        <v>958807.26</v>
      </c>
      <c r="N1446" s="5762">
        <f>(G1446 * M1446)</f>
        <v>0</v>
      </c>
      <c r="O1446">
        <v>0</v>
      </c>
      <c r="P1446">
        <v>0</v>
      </c>
      <c r="Q1446">
        <f>IF(O1446&gt;G1446,(O1446-G1446),0)</f>
        <v>0</v>
      </c>
      <c r="R1446">
        <v>1</v>
      </c>
      <c r="S1446">
        <f>IF(Q1446&gt;0,Int(P1446/Q1446),0)</f>
        <v>0</v>
      </c>
      <c r="T1446">
        <f>0</f>
        <v>0</v>
      </c>
      <c r="U1446"/>
      <c r="V1446">
        <v>684862.33</v>
      </c>
      <c r="W1446" t="s">
        <v>182</v>
      </c>
      <c r="X1446"/>
    </row>
    <row r="1447" spans="1:27">
      <c r="A1447" t="s">
        <v>28</v>
      </c>
      <c r="B1447" t="s">
        <v>29</v>
      </c>
      <c r="C1447" t="s">
        <v>4949</v>
      </c>
      <c r="D1447" t="s">
        <v>4950</v>
      </c>
      <c r="E1447" t="s">
        <v>4951</v>
      </c>
      <c r="F1447" t="s">
        <v>41</v>
      </c>
      <c r="G1447">
        <v>0</v>
      </c>
      <c r="H1447">
        <f>((0/1000) * G1447)</f>
        <v>0</v>
      </c>
      <c r="I1447">
        <v>0</v>
      </c>
      <c r="J1447">
        <v>0</v>
      </c>
      <c r="K1447" s="5763">
        <v>903636.36</v>
      </c>
      <c r="L1447" s="5764">
        <f>(K1447 * G1447)</f>
        <v>0</v>
      </c>
      <c r="M1447" s="5765">
        <v>1265090.9</v>
      </c>
      <c r="N1447" s="5766">
        <f>(G1447 * M1447)</f>
        <v>0</v>
      </c>
      <c r="O1447">
        <v>0</v>
      </c>
      <c r="P1447">
        <v>0</v>
      </c>
      <c r="Q1447">
        <f>IF(O1447&gt;G1447,(O1447-G1447),0)</f>
        <v>0</v>
      </c>
      <c r="R1447">
        <v>0</v>
      </c>
      <c r="S1447">
        <f>IF(Q1447&gt;0,Int(P1447/Q1447),0)</f>
        <v>0</v>
      </c>
      <c r="T1447">
        <f>0</f>
        <v>0</v>
      </c>
      <c r="U1447"/>
      <c r="V1447">
        <v>903636.36</v>
      </c>
      <c r="W1447" t="s">
        <v>75</v>
      </c>
      <c r="X1447"/>
    </row>
    <row r="1448" spans="1:27">
      <c r="A1448" t="s">
        <v>35</v>
      </c>
      <c r="B1448" t="s">
        <v>29</v>
      </c>
      <c r="C1448" t="s">
        <v>4952</v>
      </c>
      <c r="D1448" t="s">
        <v>4952</v>
      </c>
      <c r="E1448" t="s">
        <v>4953</v>
      </c>
      <c r="F1448" t="s">
        <v>33</v>
      </c>
      <c r="G1448">
        <v>0</v>
      </c>
      <c r="H1448">
        <f>((1/1000) * G1448)</f>
        <v>0</v>
      </c>
      <c r="I1448">
        <v>0</v>
      </c>
      <c r="J1448">
        <v>0</v>
      </c>
      <c r="K1448" s="5767">
        <v>0</v>
      </c>
      <c r="L1448" s="5768">
        <f>(K1448 * G1448)</f>
        <v>0</v>
      </c>
      <c r="M1448" s="5769">
        <v>0</v>
      </c>
      <c r="N1448" s="5770">
        <f>(G1448 * M1448)</f>
        <v>0</v>
      </c>
      <c r="O1448">
        <v>0</v>
      </c>
      <c r="P1448">
        <v>0</v>
      </c>
      <c r="Q1448">
        <f>IF(O1448&gt;G1448,(O1448-G1448),0)</f>
        <v>0</v>
      </c>
      <c r="R1448">
        <v>0</v>
      </c>
      <c r="S1448">
        <f>IF(Q1448&gt;0,Int(P1448/Q1448),0)</f>
        <v>0</v>
      </c>
      <c r="T1448">
        <f>0</f>
        <v>0</v>
      </c>
      <c r="U1448"/>
      <c r="V1448">
        <v>0</v>
      </c>
      <c r="W1448">
        <v>0</v>
      </c>
      <c r="X1448"/>
    </row>
    <row r="1449" spans="1:27">
      <c r="A1449" t="s">
        <v>28</v>
      </c>
      <c r="B1449" t="s">
        <v>29</v>
      </c>
      <c r="C1449" t="s">
        <v>4954</v>
      </c>
      <c r="D1449" t="s">
        <v>4955</v>
      </c>
      <c r="E1449" t="s">
        <v>4956</v>
      </c>
      <c r="F1449" t="s">
        <v>33</v>
      </c>
      <c r="G1449">
        <v>0</v>
      </c>
      <c r="H1449">
        <f>((0/1000) * G1449)</f>
        <v>0</v>
      </c>
      <c r="I1449">
        <v>0</v>
      </c>
      <c r="J1449">
        <v>0</v>
      </c>
      <c r="K1449" s="5771">
        <v>368065.68</v>
      </c>
      <c r="L1449" s="5772">
        <f>(K1449 * G1449)</f>
        <v>0</v>
      </c>
      <c r="M1449" s="5773">
        <v>515291.95</v>
      </c>
      <c r="N1449" s="5774">
        <f>(G1449 * M1449)</f>
        <v>0</v>
      </c>
      <c r="O1449">
        <v>0</v>
      </c>
      <c r="P1449">
        <v>0</v>
      </c>
      <c r="Q1449">
        <f>IF(O1449&gt;G1449,(O1449-G1449),0)</f>
        <v>0</v>
      </c>
      <c r="R1449">
        <v>1</v>
      </c>
      <c r="S1449">
        <f>IF(Q1449&gt;0,Int(P1449/Q1449),0)</f>
        <v>0</v>
      </c>
      <c r="T1449">
        <f>0</f>
        <v>0</v>
      </c>
      <c r="U1449"/>
      <c r="V1449">
        <v>368065.68</v>
      </c>
      <c r="W1449" t="s">
        <v>182</v>
      </c>
      <c r="X1449"/>
    </row>
    <row r="1450" spans="1:27">
      <c r="A1450" t="s">
        <v>35</v>
      </c>
      <c r="B1450" t="s">
        <v>29</v>
      </c>
      <c r="C1450" t="s">
        <v>4957</v>
      </c>
      <c r="D1450" t="s">
        <v>4957</v>
      </c>
      <c r="E1450" t="s">
        <v>4958</v>
      </c>
      <c r="F1450" t="s">
        <v>41</v>
      </c>
      <c r="G1450">
        <v>0</v>
      </c>
      <c r="H1450">
        <f>((0/1000) * G1450)</f>
        <v>0</v>
      </c>
      <c r="I1450">
        <v>0</v>
      </c>
      <c r="J1450">
        <v>0</v>
      </c>
      <c r="K1450" s="5775">
        <v>35200</v>
      </c>
      <c r="L1450" s="5776">
        <f>(K1450 * G1450)</f>
        <v>0</v>
      </c>
      <c r="M1450" s="5777">
        <v>105600</v>
      </c>
      <c r="N1450" s="5778">
        <f>(G1450 * M1450)</f>
        <v>0</v>
      </c>
      <c r="O1450">
        <v>0</v>
      </c>
      <c r="P1450">
        <v>0</v>
      </c>
      <c r="Q1450">
        <f>IF(O1450&gt;G1450,(O1450-G1450),0)</f>
        <v>0</v>
      </c>
      <c r="R1450">
        <v>1</v>
      </c>
      <c r="S1450">
        <f>IF(Q1450&gt;0,Int(P1450/Q1450),0)</f>
        <v>0</v>
      </c>
      <c r="T1450">
        <f>0</f>
        <v>0</v>
      </c>
      <c r="U1450"/>
      <c r="V1450">
        <v>35200</v>
      </c>
      <c r="W1450" t="s">
        <v>43</v>
      </c>
      <c r="X1450"/>
    </row>
    <row r="1451" spans="1:27">
      <c r="A1451" t="s">
        <v>28</v>
      </c>
      <c r="B1451" t="s">
        <v>29</v>
      </c>
      <c r="C1451" t="s">
        <v>4959</v>
      </c>
      <c r="D1451" t="s">
        <v>4960</v>
      </c>
      <c r="E1451" t="s">
        <v>4961</v>
      </c>
      <c r="F1451" t="s">
        <v>33</v>
      </c>
      <c r="G1451">
        <v>0</v>
      </c>
      <c r="H1451">
        <f>((0/1000) * G1451)</f>
        <v>0</v>
      </c>
      <c r="I1451">
        <v>0</v>
      </c>
      <c r="J1451">
        <v>0</v>
      </c>
      <c r="K1451" s="5779">
        <v>265619.84</v>
      </c>
      <c r="L1451" s="5780">
        <f>(K1451 * G1451)</f>
        <v>0</v>
      </c>
      <c r="M1451" s="5781">
        <v>292181.82</v>
      </c>
      <c r="N1451" s="5782">
        <f>(G1451 * M1451)</f>
        <v>0</v>
      </c>
      <c r="O1451">
        <v>0</v>
      </c>
      <c r="P1451">
        <v>0</v>
      </c>
      <c r="Q1451">
        <f>IF(O1451&gt;G1451,(O1451-G1451),0)</f>
        <v>0</v>
      </c>
      <c r="R1451">
        <v>0</v>
      </c>
      <c r="S1451">
        <f>IF(Q1451&gt;0,Int(P1451/Q1451),0)</f>
        <v>0</v>
      </c>
      <c r="T1451">
        <f>0</f>
        <v>0</v>
      </c>
      <c r="U1451"/>
      <c r="V1451">
        <v>265619.84</v>
      </c>
      <c r="W1451" t="s">
        <v>43</v>
      </c>
      <c r="X1451"/>
    </row>
    <row r="1452" spans="1:27">
      <c r="A1452" t="s">
        <v>28</v>
      </c>
      <c r="B1452" t="s">
        <v>29</v>
      </c>
      <c r="C1452" t="s">
        <v>4962</v>
      </c>
      <c r="D1452" t="s">
        <v>4963</v>
      </c>
      <c r="E1452" t="s">
        <v>4964</v>
      </c>
      <c r="F1452" t="s">
        <v>33</v>
      </c>
      <c r="G1452">
        <v>1</v>
      </c>
      <c r="H1452">
        <f>((0/1000) * G1452)</f>
        <v>0</v>
      </c>
      <c r="I1452">
        <v>0</v>
      </c>
      <c r="J1452">
        <v>1</v>
      </c>
      <c r="K1452" s="5783">
        <v>292181.81</v>
      </c>
      <c r="L1452" s="5784">
        <f>(K1452 * G1452)</f>
        <v>292181.81</v>
      </c>
      <c r="M1452" s="5785">
        <v>409054.53</v>
      </c>
      <c r="N1452" s="5786">
        <f>(G1452 * M1452)</f>
        <v>409054.53</v>
      </c>
      <c r="O1452">
        <v>0</v>
      </c>
      <c r="P1452">
        <v>0</v>
      </c>
      <c r="Q1452">
        <f>IF(O1452&gt;G1452,(O1452-G1452),0)</f>
        <v>0</v>
      </c>
      <c r="R1452">
        <v>1</v>
      </c>
      <c r="S1452">
        <f>IF(Q1452&gt;0,Int(P1452/Q1452),0)</f>
        <v>0</v>
      </c>
      <c r="T1452">
        <f>0</f>
        <v>0</v>
      </c>
      <c r="U1452"/>
      <c r="V1452">
        <v>292181.81</v>
      </c>
      <c r="W1452" t="s">
        <v>75</v>
      </c>
      <c r="X1452"/>
    </row>
    <row r="1453" spans="1:27">
      <c r="A1453" t="s">
        <v>28</v>
      </c>
      <c r="B1453" t="s">
        <v>29</v>
      </c>
      <c r="C1453" t="s">
        <v>4965</v>
      </c>
      <c r="D1453" t="s">
        <v>4966</v>
      </c>
      <c r="E1453" t="s">
        <v>4967</v>
      </c>
      <c r="F1453" t="s">
        <v>41</v>
      </c>
      <c r="G1453">
        <v>0</v>
      </c>
      <c r="H1453">
        <f>((0/1000) * G1453)</f>
        <v>0</v>
      </c>
      <c r="I1453">
        <v>0</v>
      </c>
      <c r="J1453">
        <v>0</v>
      </c>
      <c r="K1453" s="5787">
        <v>416703.17</v>
      </c>
      <c r="L1453" s="5788">
        <f>(K1453 * G1453)</f>
        <v>0</v>
      </c>
      <c r="M1453" s="5789">
        <v>583384.44</v>
      </c>
      <c r="N1453" s="5790">
        <f>(G1453 * M1453)</f>
        <v>0</v>
      </c>
      <c r="O1453">
        <v>0</v>
      </c>
      <c r="P1453">
        <v>0</v>
      </c>
      <c r="Q1453">
        <f>IF(O1453&gt;G1453,(O1453-G1453),0)</f>
        <v>0</v>
      </c>
      <c r="R1453">
        <v>1</v>
      </c>
      <c r="S1453">
        <f>IF(Q1453&gt;0,Int(P1453/Q1453),0)</f>
        <v>0</v>
      </c>
      <c r="T1453">
        <f>393171.15</f>
        <v>393171.15</v>
      </c>
      <c r="U1453" t="s">
        <v>4968</v>
      </c>
      <c r="V1453">
        <v>416703.17</v>
      </c>
      <c r="W1453" t="s">
        <v>182</v>
      </c>
      <c r="X1453"/>
    </row>
    <row r="1454" spans="1:27">
      <c r="A1454" t="s">
        <v>35</v>
      </c>
      <c r="B1454" t="s">
        <v>29</v>
      </c>
      <c r="C1454" t="s">
        <v>4969</v>
      </c>
      <c r="D1454" t="s">
        <v>4970</v>
      </c>
      <c r="E1454" t="s">
        <v>4971</v>
      </c>
      <c r="F1454" t="s">
        <v>33</v>
      </c>
      <c r="G1454">
        <v>0</v>
      </c>
      <c r="H1454">
        <f>((0/1000) * G1454)</f>
        <v>0</v>
      </c>
      <c r="I1454">
        <v>0</v>
      </c>
      <c r="J1454">
        <v>0</v>
      </c>
      <c r="K1454" s="5791">
        <v>438347.11</v>
      </c>
      <c r="L1454" s="5792">
        <f>(K1454 * G1454)</f>
        <v>0</v>
      </c>
      <c r="M1454" s="5793">
        <v>482181.82</v>
      </c>
      <c r="N1454" s="5794">
        <f>(G1454 * M1454)</f>
        <v>0</v>
      </c>
      <c r="O1454">
        <v>0</v>
      </c>
      <c r="P1454">
        <v>0</v>
      </c>
      <c r="Q1454">
        <f>IF(O1454&gt;G1454,(O1454-G1454),0)</f>
        <v>0</v>
      </c>
      <c r="R1454">
        <v>1</v>
      </c>
      <c r="S1454">
        <f>IF(Q1454&gt;0,Int(P1454/Q1454),0)</f>
        <v>0</v>
      </c>
      <c r="T1454">
        <f>276859.5</f>
        <v>276859.5</v>
      </c>
      <c r="U1454" t="s">
        <v>4972</v>
      </c>
      <c r="V1454">
        <v>438347.11</v>
      </c>
      <c r="W1454" t="s">
        <v>43</v>
      </c>
      <c r="X1454" t="s">
        <v>209</v>
      </c>
    </row>
    <row r="1455" spans="1:27">
      <c r="A1455" t="s">
        <v>28</v>
      </c>
      <c r="B1455" t="s">
        <v>29</v>
      </c>
      <c r="C1455" t="s">
        <v>4973</v>
      </c>
      <c r="D1455" t="s">
        <v>4974</v>
      </c>
      <c r="E1455" t="s">
        <v>4975</v>
      </c>
      <c r="F1455" t="s">
        <v>41</v>
      </c>
      <c r="G1455">
        <v>0</v>
      </c>
      <c r="H1455">
        <f>((0/1000) * G1455)</f>
        <v>0</v>
      </c>
      <c r="I1455">
        <v>0</v>
      </c>
      <c r="J1455">
        <v>0</v>
      </c>
      <c r="K1455" s="5795">
        <v>394628.1</v>
      </c>
      <c r="L1455" s="5796">
        <f>(K1455 * G1455)</f>
        <v>0</v>
      </c>
      <c r="M1455" s="5797">
        <v>434090.91</v>
      </c>
      <c r="N1455" s="5798">
        <f>(G1455 * M1455)</f>
        <v>0</v>
      </c>
      <c r="O1455">
        <v>0</v>
      </c>
      <c r="P1455">
        <v>0</v>
      </c>
      <c r="Q1455">
        <f>IF(O1455&gt;G1455,(O1455-G1455),0)</f>
        <v>0</v>
      </c>
      <c r="R1455">
        <v>1</v>
      </c>
      <c r="S1455">
        <f>IF(Q1455&gt;0,Int(P1455/Q1455),0)</f>
        <v>0</v>
      </c>
      <c r="T1455">
        <f>358752.82</f>
        <v>358752.82</v>
      </c>
      <c r="U1455" t="s">
        <v>4976</v>
      </c>
      <c r="V1455">
        <v>394628.1</v>
      </c>
      <c r="W1455" t="s">
        <v>43</v>
      </c>
      <c r="X1455"/>
    </row>
    <row r="1456" spans="1:27">
      <c r="A1456" t="s">
        <v>28</v>
      </c>
      <c r="B1456" t="s">
        <v>29</v>
      </c>
      <c r="C1456" t="s">
        <v>4977</v>
      </c>
      <c r="D1456" t="s">
        <v>4978</v>
      </c>
      <c r="E1456" t="s">
        <v>4979</v>
      </c>
      <c r="F1456" t="s">
        <v>41</v>
      </c>
      <c r="G1456">
        <v>0</v>
      </c>
      <c r="H1456">
        <f>((0/1000) * G1456)</f>
        <v>0</v>
      </c>
      <c r="I1456">
        <v>0</v>
      </c>
      <c r="J1456">
        <v>0</v>
      </c>
      <c r="K1456" s="5799">
        <v>437538.49</v>
      </c>
      <c r="L1456" s="5800">
        <f>(K1456 * G1456)</f>
        <v>0</v>
      </c>
      <c r="M1456" s="5801">
        <v>612553.89</v>
      </c>
      <c r="N1456" s="5802">
        <f>(G1456 * M1456)</f>
        <v>0</v>
      </c>
      <c r="O1456">
        <v>0</v>
      </c>
      <c r="P1456">
        <v>0</v>
      </c>
      <c r="Q1456">
        <f>IF(O1456&gt;G1456,(O1456-G1456),0)</f>
        <v>0</v>
      </c>
      <c r="R1456">
        <v>0</v>
      </c>
      <c r="S1456">
        <f>IF(Q1456&gt;0,Int(P1456/Q1456),0)</f>
        <v>0</v>
      </c>
      <c r="T1456">
        <f>0</f>
        <v>0</v>
      </c>
      <c r="U1456"/>
      <c r="V1456">
        <v>437538.49</v>
      </c>
      <c r="W1456" t="s">
        <v>182</v>
      </c>
      <c r="X1456"/>
    </row>
    <row r="1457" spans="1:27">
      <c r="A1457" t="s">
        <v>28</v>
      </c>
      <c r="B1457" t="s">
        <v>29</v>
      </c>
      <c r="C1457" t="s">
        <v>4980</v>
      </c>
      <c r="D1457" t="s">
        <v>4981</v>
      </c>
      <c r="E1457" t="s">
        <v>4982</v>
      </c>
      <c r="F1457" t="s">
        <v>33</v>
      </c>
      <c r="G1457">
        <v>0</v>
      </c>
      <c r="H1457">
        <f>((0/1000) * G1457)</f>
        <v>0</v>
      </c>
      <c r="I1457">
        <v>0</v>
      </c>
      <c r="J1457">
        <v>0</v>
      </c>
      <c r="K1457" s="5803">
        <v>416703.17</v>
      </c>
      <c r="L1457" s="5804">
        <f>(K1457 * G1457)</f>
        <v>0</v>
      </c>
      <c r="M1457" s="5805">
        <v>583384.44</v>
      </c>
      <c r="N1457" s="5806">
        <f>(G1457 * M1457)</f>
        <v>0</v>
      </c>
      <c r="O1457">
        <v>0</v>
      </c>
      <c r="P1457">
        <v>0</v>
      </c>
      <c r="Q1457">
        <f>IF(O1457&gt;G1457,(O1457-G1457),0)</f>
        <v>0</v>
      </c>
      <c r="R1457">
        <v>1</v>
      </c>
      <c r="S1457">
        <f>IF(Q1457&gt;0,Int(P1457/Q1457),0)</f>
        <v>0</v>
      </c>
      <c r="T1457">
        <f>547182.57</f>
        <v>547182.57</v>
      </c>
      <c r="U1457" t="s">
        <v>4983</v>
      </c>
      <c r="V1457">
        <v>416703.17</v>
      </c>
      <c r="W1457" t="s">
        <v>182</v>
      </c>
      <c r="X1457"/>
    </row>
    <row r="1458" spans="1:27">
      <c r="A1458" t="s">
        <v>28</v>
      </c>
      <c r="B1458" t="s">
        <v>29</v>
      </c>
      <c r="C1458" t="s">
        <v>4984</v>
      </c>
      <c r="D1458" t="s">
        <v>4985</v>
      </c>
      <c r="E1458" t="s">
        <v>4986</v>
      </c>
      <c r="F1458" t="s">
        <v>33</v>
      </c>
      <c r="G1458">
        <v>4</v>
      </c>
      <c r="H1458">
        <f>((0/1000) * G1458)</f>
        <v>0</v>
      </c>
      <c r="I1458">
        <v>0</v>
      </c>
      <c r="J1458">
        <v>4</v>
      </c>
      <c r="K1458" s="5807">
        <v>196561</v>
      </c>
      <c r="L1458" s="5808">
        <f>(K1458 * G1458)</f>
        <v>786244</v>
      </c>
      <c r="M1458" s="5809">
        <v>297520.66</v>
      </c>
      <c r="N1458" s="5810">
        <f>(G1458 * M1458)</f>
        <v>1190082.64</v>
      </c>
      <c r="O1458">
        <v>0</v>
      </c>
      <c r="P1458">
        <v>0</v>
      </c>
      <c r="Q1458">
        <f>IF(O1458&gt;G1458,(O1458-G1458),0)</f>
        <v>0</v>
      </c>
      <c r="R1458">
        <v>1</v>
      </c>
      <c r="S1458">
        <f>IF(Q1458&gt;0,Int(P1458/Q1458),0)</f>
        <v>0</v>
      </c>
      <c r="T1458">
        <f>196561</f>
        <v>196561</v>
      </c>
      <c r="U1458" t="s">
        <v>993</v>
      </c>
      <c r="V1458">
        <v>196561</v>
      </c>
      <c r="W1458" t="s">
        <v>3640</v>
      </c>
      <c r="X1458"/>
    </row>
    <row r="1459" spans="1:27">
      <c r="A1459" t="s">
        <v>35</v>
      </c>
      <c r="B1459" t="s">
        <v>29</v>
      </c>
      <c r="C1459" t="s">
        <v>4987</v>
      </c>
      <c r="D1459" t="s">
        <v>4987</v>
      </c>
      <c r="E1459" t="s">
        <v>4988</v>
      </c>
      <c r="F1459" t="s">
        <v>33</v>
      </c>
      <c r="G1459">
        <v>0</v>
      </c>
      <c r="H1459">
        <f>((1/1000) * G1459)</f>
        <v>0</v>
      </c>
      <c r="I1459">
        <v>0</v>
      </c>
      <c r="J1459">
        <v>0</v>
      </c>
      <c r="K1459" s="5811">
        <v>0</v>
      </c>
      <c r="L1459" s="5812">
        <f>(K1459 * G1459)</f>
        <v>0</v>
      </c>
      <c r="M1459" s="5813">
        <v>0</v>
      </c>
      <c r="N1459" s="5814">
        <f>(G1459 * M1459)</f>
        <v>0</v>
      </c>
      <c r="O1459">
        <v>0</v>
      </c>
      <c r="P1459">
        <v>0</v>
      </c>
      <c r="Q1459">
        <f>IF(O1459&gt;G1459,(O1459-G1459),0)</f>
        <v>0</v>
      </c>
      <c r="R1459">
        <v>0</v>
      </c>
      <c r="S1459">
        <f>IF(Q1459&gt;0,Int(P1459/Q1459),0)</f>
        <v>0</v>
      </c>
      <c r="T1459">
        <f>0</f>
        <v>0</v>
      </c>
      <c r="U1459"/>
      <c r="V1459">
        <v>0</v>
      </c>
      <c r="W1459">
        <v>0</v>
      </c>
      <c r="X1459"/>
    </row>
    <row r="1460" spans="1:27">
      <c r="A1460" t="s">
        <v>28</v>
      </c>
      <c r="B1460" t="s">
        <v>29</v>
      </c>
      <c r="C1460" t="s">
        <v>4989</v>
      </c>
      <c r="D1460" t="s">
        <v>4990</v>
      </c>
      <c r="E1460" t="s">
        <v>4991</v>
      </c>
      <c r="F1460" t="s">
        <v>33</v>
      </c>
      <c r="G1460">
        <v>0</v>
      </c>
      <c r="H1460">
        <f>((0/1000) * G1460)</f>
        <v>0</v>
      </c>
      <c r="I1460">
        <v>0</v>
      </c>
      <c r="J1460">
        <v>0</v>
      </c>
      <c r="K1460" s="5815">
        <v>70764.21</v>
      </c>
      <c r="L1460" s="5816">
        <f>(K1460 * G1460)</f>
        <v>0</v>
      </c>
      <c r="M1460" s="5817">
        <v>99069.89</v>
      </c>
      <c r="N1460" s="5818">
        <f>(G1460 * M1460)</f>
        <v>0</v>
      </c>
      <c r="O1460">
        <v>0</v>
      </c>
      <c r="P1460">
        <v>0</v>
      </c>
      <c r="Q1460">
        <f>IF(O1460&gt;G1460,(O1460-G1460),0)</f>
        <v>0</v>
      </c>
      <c r="R1460">
        <v>1</v>
      </c>
      <c r="S1460">
        <f>IF(Q1460&gt;0,Int(P1460/Q1460),0)</f>
        <v>0</v>
      </c>
      <c r="T1460">
        <f>0</f>
        <v>0</v>
      </c>
      <c r="U1460"/>
      <c r="V1460">
        <v>70764.21</v>
      </c>
      <c r="W1460" t="s">
        <v>75</v>
      </c>
      <c r="X1460"/>
    </row>
    <row r="1461" spans="1:27">
      <c r="A1461" t="s">
        <v>28</v>
      </c>
      <c r="B1461" t="s">
        <v>29</v>
      </c>
      <c r="C1461" t="s">
        <v>4992</v>
      </c>
      <c r="D1461" t="s">
        <v>4993</v>
      </c>
      <c r="E1461" t="s">
        <v>4994</v>
      </c>
      <c r="F1461" t="s">
        <v>41</v>
      </c>
      <c r="G1461">
        <v>0</v>
      </c>
      <c r="H1461">
        <f>((0/1000) * G1461)</f>
        <v>0</v>
      </c>
      <c r="I1461">
        <v>0</v>
      </c>
      <c r="J1461">
        <v>0</v>
      </c>
      <c r="K1461" s="5819">
        <v>354242.72</v>
      </c>
      <c r="L1461" s="5820">
        <f>(K1461 * G1461)</f>
        <v>0</v>
      </c>
      <c r="M1461" s="5821">
        <v>495939.81</v>
      </c>
      <c r="N1461" s="5822">
        <f>(G1461 * M1461)</f>
        <v>0</v>
      </c>
      <c r="O1461">
        <v>0</v>
      </c>
      <c r="P1461">
        <v>0</v>
      </c>
      <c r="Q1461">
        <f>IF(O1461&gt;G1461,(O1461-G1461),0)</f>
        <v>0</v>
      </c>
      <c r="R1461">
        <v>1</v>
      </c>
      <c r="S1461">
        <f>IF(Q1461&gt;0,Int(P1461/Q1461),0)</f>
        <v>0</v>
      </c>
      <c r="T1461">
        <f>250563.49</f>
        <v>250563.49</v>
      </c>
      <c r="U1461" t="s">
        <v>4995</v>
      </c>
      <c r="V1461">
        <v>354242.72</v>
      </c>
      <c r="W1461" t="s">
        <v>75</v>
      </c>
      <c r="X1461"/>
    </row>
    <row r="1462" spans="1:27">
      <c r="A1462" t="s">
        <v>28</v>
      </c>
      <c r="B1462" t="s">
        <v>29</v>
      </c>
      <c r="C1462" t="s">
        <v>4996</v>
      </c>
      <c r="D1462" t="s">
        <v>4997</v>
      </c>
      <c r="E1462" t="s">
        <v>4998</v>
      </c>
      <c r="F1462" t="s">
        <v>33</v>
      </c>
      <c r="G1462">
        <v>0</v>
      </c>
      <c r="H1462">
        <f>((0/1000) * G1462)</f>
        <v>0</v>
      </c>
      <c r="I1462">
        <v>0</v>
      </c>
      <c r="J1462">
        <v>0</v>
      </c>
      <c r="K1462" s="5823">
        <v>310025.99</v>
      </c>
      <c r="L1462" s="5824">
        <f>(K1462 * G1462)</f>
        <v>0</v>
      </c>
      <c r="M1462" s="5825">
        <v>434036.39</v>
      </c>
      <c r="N1462" s="5826">
        <f>(G1462 * M1462)</f>
        <v>0</v>
      </c>
      <c r="O1462">
        <v>0</v>
      </c>
      <c r="P1462">
        <v>0</v>
      </c>
      <c r="Q1462">
        <f>IF(O1462&gt;G1462,(O1462-G1462),0)</f>
        <v>0</v>
      </c>
      <c r="R1462">
        <v>1</v>
      </c>
      <c r="S1462">
        <f>IF(Q1462&gt;0,Int(P1462/Q1462),0)</f>
        <v>0</v>
      </c>
      <c r="T1462">
        <f>0</f>
        <v>0</v>
      </c>
      <c r="U1462"/>
      <c r="V1462">
        <v>310025.99</v>
      </c>
      <c r="W1462" t="s">
        <v>182</v>
      </c>
      <c r="X1462"/>
    </row>
    <row r="1463" spans="1:27">
      <c r="A1463" t="s">
        <v>35</v>
      </c>
      <c r="B1463" t="s">
        <v>29</v>
      </c>
      <c r="C1463" t="s">
        <v>4999</v>
      </c>
      <c r="D1463" t="s">
        <v>4999</v>
      </c>
      <c r="E1463" t="s">
        <v>5000</v>
      </c>
      <c r="F1463" t="s">
        <v>33</v>
      </c>
      <c r="G1463">
        <v>0</v>
      </c>
      <c r="H1463">
        <f>((1/1000) * G1463)</f>
        <v>0</v>
      </c>
      <c r="I1463">
        <v>0</v>
      </c>
      <c r="J1463">
        <v>0</v>
      </c>
      <c r="K1463" s="5827">
        <v>0</v>
      </c>
      <c r="L1463" s="5828">
        <f>(K1463 * G1463)</f>
        <v>0</v>
      </c>
      <c r="M1463" s="5829">
        <v>0</v>
      </c>
      <c r="N1463" s="5830">
        <f>(G1463 * M1463)</f>
        <v>0</v>
      </c>
      <c r="O1463">
        <v>0</v>
      </c>
      <c r="P1463">
        <v>0</v>
      </c>
      <c r="Q1463">
        <f>IF(O1463&gt;G1463,(O1463-G1463),0)</f>
        <v>0</v>
      </c>
      <c r="R1463">
        <v>0</v>
      </c>
      <c r="S1463">
        <f>IF(Q1463&gt;0,Int(P1463/Q1463),0)</f>
        <v>0</v>
      </c>
      <c r="T1463">
        <f>0</f>
        <v>0</v>
      </c>
      <c r="U1463"/>
      <c r="V1463">
        <v>0</v>
      </c>
      <c r="W1463">
        <v>0</v>
      </c>
      <c r="X1463"/>
    </row>
    <row r="1464" spans="1:27">
      <c r="A1464" t="s">
        <v>35</v>
      </c>
      <c r="B1464" t="s">
        <v>29</v>
      </c>
      <c r="C1464" t="s">
        <v>5001</v>
      </c>
      <c r="D1464" t="s">
        <v>5001</v>
      </c>
      <c r="E1464" t="s">
        <v>5002</v>
      </c>
      <c r="F1464" t="s">
        <v>33</v>
      </c>
      <c r="G1464">
        <v>0</v>
      </c>
      <c r="H1464">
        <f>((1/1000) * G1464)</f>
        <v>0</v>
      </c>
      <c r="I1464">
        <v>0</v>
      </c>
      <c r="J1464">
        <v>0</v>
      </c>
      <c r="K1464" s="5831">
        <v>0</v>
      </c>
      <c r="L1464" s="5832">
        <f>(K1464 * G1464)</f>
        <v>0</v>
      </c>
      <c r="M1464" s="5833">
        <v>0</v>
      </c>
      <c r="N1464" s="5834">
        <f>(G1464 * M1464)</f>
        <v>0</v>
      </c>
      <c r="O1464">
        <v>0</v>
      </c>
      <c r="P1464">
        <v>0</v>
      </c>
      <c r="Q1464">
        <f>IF(O1464&gt;G1464,(O1464-G1464),0)</f>
        <v>0</v>
      </c>
      <c r="R1464">
        <v>0</v>
      </c>
      <c r="S1464">
        <f>IF(Q1464&gt;0,Int(P1464/Q1464),0)</f>
        <v>0</v>
      </c>
      <c r="T1464">
        <f>0</f>
        <v>0</v>
      </c>
      <c r="U1464"/>
      <c r="V1464">
        <v>0</v>
      </c>
      <c r="W1464">
        <v>0</v>
      </c>
      <c r="X1464"/>
    </row>
    <row r="1465" spans="1:27">
      <c r="A1465" t="s">
        <v>28</v>
      </c>
      <c r="B1465" t="s">
        <v>29</v>
      </c>
      <c r="C1465" t="s">
        <v>5003</v>
      </c>
      <c r="D1465" t="s">
        <v>5004</v>
      </c>
      <c r="E1465" t="s">
        <v>5005</v>
      </c>
      <c r="F1465" t="s">
        <v>41</v>
      </c>
      <c r="G1465">
        <v>0</v>
      </c>
      <c r="H1465">
        <f>((0/1000) * G1465)</f>
        <v>0</v>
      </c>
      <c r="I1465">
        <v>0</v>
      </c>
      <c r="J1465">
        <v>0</v>
      </c>
      <c r="K1465" s="5835">
        <v>392156.37</v>
      </c>
      <c r="L1465" s="5836">
        <f>(K1465 * G1465)</f>
        <v>0</v>
      </c>
      <c r="M1465" s="5837">
        <v>549018.92</v>
      </c>
      <c r="N1465" s="5838">
        <f>(G1465 * M1465)</f>
        <v>0</v>
      </c>
      <c r="O1465">
        <v>0</v>
      </c>
      <c r="P1465">
        <v>0</v>
      </c>
      <c r="Q1465">
        <f>IF(O1465&gt;G1465,(O1465-G1465),0)</f>
        <v>0</v>
      </c>
      <c r="R1465">
        <v>1</v>
      </c>
      <c r="S1465">
        <f>IF(Q1465&gt;0,Int(P1465/Q1465),0)</f>
        <v>0</v>
      </c>
      <c r="T1465">
        <f>90007.51</f>
        <v>90007.51</v>
      </c>
      <c r="U1465" t="s">
        <v>4258</v>
      </c>
      <c r="V1465">
        <v>392156.37</v>
      </c>
      <c r="W1465" t="s">
        <v>75</v>
      </c>
      <c r="X1465" t="s">
        <v>226</v>
      </c>
    </row>
    <row r="1466" spans="1:27">
      <c r="A1466" t="s">
        <v>28</v>
      </c>
      <c r="B1466" t="s">
        <v>29</v>
      </c>
      <c r="C1466" t="s">
        <v>5006</v>
      </c>
      <c r="D1466" t="s">
        <v>5007</v>
      </c>
      <c r="E1466" t="s">
        <v>5008</v>
      </c>
      <c r="F1466" t="s">
        <v>33</v>
      </c>
      <c r="G1466">
        <v>0</v>
      </c>
      <c r="H1466">
        <f>((0/1000) * G1466)</f>
        <v>0</v>
      </c>
      <c r="I1466">
        <v>0</v>
      </c>
      <c r="J1466">
        <v>0</v>
      </c>
      <c r="K1466" s="5839">
        <v>325527.31</v>
      </c>
      <c r="L1466" s="5840">
        <f>(K1466 * G1466)</f>
        <v>0</v>
      </c>
      <c r="M1466" s="5841">
        <v>455738.24</v>
      </c>
      <c r="N1466" s="5842">
        <f>(G1466 * M1466)</f>
        <v>0</v>
      </c>
      <c r="O1466">
        <v>0</v>
      </c>
      <c r="P1466">
        <v>0</v>
      </c>
      <c r="Q1466">
        <f>IF(O1466&gt;G1466,(O1466-G1466),0)</f>
        <v>0</v>
      </c>
      <c r="R1466">
        <v>1</v>
      </c>
      <c r="S1466">
        <f>IF(Q1466&gt;0,Int(P1466/Q1466),0)</f>
        <v>0</v>
      </c>
      <c r="T1466">
        <f>0</f>
        <v>0</v>
      </c>
      <c r="U1466"/>
      <c r="V1466">
        <v>325527.31</v>
      </c>
      <c r="W1466" t="s">
        <v>182</v>
      </c>
      <c r="X1466"/>
    </row>
    <row r="1467" spans="1:27">
      <c r="A1467" t="s">
        <v>35</v>
      </c>
      <c r="B1467" t="s">
        <v>29</v>
      </c>
      <c r="C1467" t="s">
        <v>5009</v>
      </c>
      <c r="D1467" t="s">
        <v>5010</v>
      </c>
      <c r="E1467" t="s">
        <v>5011</v>
      </c>
      <c r="F1467" t="s">
        <v>41</v>
      </c>
      <c r="G1467">
        <v>0</v>
      </c>
      <c r="H1467">
        <f>((1/1000) * G1467)</f>
        <v>0</v>
      </c>
      <c r="I1467">
        <v>0</v>
      </c>
      <c r="J1467">
        <v>0</v>
      </c>
      <c r="K1467" s="5843">
        <v>469139.07</v>
      </c>
      <c r="L1467" s="5844">
        <f>(K1467 * G1467)</f>
        <v>0</v>
      </c>
      <c r="M1467" s="5845">
        <v>516052.98</v>
      </c>
      <c r="N1467" s="5846">
        <f>(G1467 * M1467)</f>
        <v>0</v>
      </c>
      <c r="O1467">
        <v>0</v>
      </c>
      <c r="P1467">
        <v>0</v>
      </c>
      <c r="Q1467">
        <f>IF(O1467&gt;G1467,(O1467-G1467),0)</f>
        <v>0</v>
      </c>
      <c r="R1467">
        <v>1</v>
      </c>
      <c r="S1467">
        <f>IF(Q1467&gt;0,Int(P1467/Q1467),0)</f>
        <v>0</v>
      </c>
      <c r="T1467">
        <f>0</f>
        <v>0</v>
      </c>
      <c r="U1467"/>
      <c r="V1467">
        <v>469139.07</v>
      </c>
      <c r="W1467" t="s">
        <v>43</v>
      </c>
      <c r="X1467"/>
    </row>
    <row r="1468" spans="1:27">
      <c r="A1468" t="s">
        <v>35</v>
      </c>
      <c r="B1468" t="s">
        <v>29</v>
      </c>
      <c r="C1468" t="s">
        <v>5012</v>
      </c>
      <c r="D1468" t="s">
        <v>5013</v>
      </c>
      <c r="E1468" t="s">
        <v>5014</v>
      </c>
      <c r="F1468" t="s">
        <v>41</v>
      </c>
      <c r="G1468">
        <v>0</v>
      </c>
      <c r="H1468">
        <f>((0/1000) * G1468)</f>
        <v>0</v>
      </c>
      <c r="I1468">
        <v>0</v>
      </c>
      <c r="J1468">
        <v>0</v>
      </c>
      <c r="K1468" s="5847">
        <v>466264.06</v>
      </c>
      <c r="L1468" s="5848">
        <f>(K1468 * G1468)</f>
        <v>0</v>
      </c>
      <c r="M1468" s="5849">
        <v>652769.68</v>
      </c>
      <c r="N1468" s="5850">
        <f>(G1468 * M1468)</f>
        <v>0</v>
      </c>
      <c r="O1468">
        <v>0</v>
      </c>
      <c r="P1468">
        <v>0</v>
      </c>
      <c r="Q1468">
        <f>IF(O1468&gt;G1468,(O1468-G1468),0)</f>
        <v>0</v>
      </c>
      <c r="R1468">
        <v>1</v>
      </c>
      <c r="S1468">
        <f>IF(Q1468&gt;0,Int(P1468/Q1468),0)</f>
        <v>0</v>
      </c>
      <c r="T1468">
        <f>105867.77</f>
        <v>105867.77</v>
      </c>
      <c r="U1468" t="s">
        <v>5015</v>
      </c>
      <c r="V1468">
        <v>466264.06</v>
      </c>
      <c r="W1468" t="s">
        <v>182</v>
      </c>
      <c r="X1468"/>
    </row>
    <row r="1469" spans="1:27">
      <c r="A1469" t="s">
        <v>35</v>
      </c>
      <c r="B1469" t="s">
        <v>29</v>
      </c>
      <c r="C1469" t="s">
        <v>5016</v>
      </c>
      <c r="D1469" t="s">
        <v>5017</v>
      </c>
      <c r="E1469" t="s">
        <v>5018</v>
      </c>
      <c r="F1469" t="s">
        <v>41</v>
      </c>
      <c r="G1469">
        <v>0</v>
      </c>
      <c r="H1469">
        <f>((0/1000) * G1469)</f>
        <v>0</v>
      </c>
      <c r="I1469">
        <v>0</v>
      </c>
      <c r="J1469">
        <v>0</v>
      </c>
      <c r="K1469" s="5851">
        <v>292181.81</v>
      </c>
      <c r="L1469" s="5852">
        <f>(K1469 * G1469)</f>
        <v>0</v>
      </c>
      <c r="M1469" s="5853">
        <v>409054.53</v>
      </c>
      <c r="N1469" s="5854">
        <f>(G1469 * M1469)</f>
        <v>0</v>
      </c>
      <c r="O1469">
        <v>0</v>
      </c>
      <c r="P1469">
        <v>0</v>
      </c>
      <c r="Q1469">
        <f>IF(O1469&gt;G1469,(O1469-G1469),0)</f>
        <v>0</v>
      </c>
      <c r="R1469">
        <v>1</v>
      </c>
      <c r="S1469">
        <f>IF(Q1469&gt;0,Int(P1469/Q1469),0)</f>
        <v>0</v>
      </c>
      <c r="T1469">
        <f>241472.58</f>
        <v>241472.58</v>
      </c>
      <c r="U1469" t="s">
        <v>5019</v>
      </c>
      <c r="V1469">
        <v>292181.81</v>
      </c>
      <c r="W1469" t="s">
        <v>75</v>
      </c>
      <c r="X1469"/>
    </row>
    <row r="1470" spans="1:27">
      <c r="A1470" t="s">
        <v>35</v>
      </c>
      <c r="B1470" t="s">
        <v>29</v>
      </c>
      <c r="C1470" t="s">
        <v>5020</v>
      </c>
      <c r="D1470" t="s">
        <v>5021</v>
      </c>
      <c r="E1470" t="s">
        <v>5022</v>
      </c>
      <c r="F1470" t="s">
        <v>33</v>
      </c>
      <c r="G1470">
        <v>0</v>
      </c>
      <c r="H1470">
        <f>((0/1000) * G1470)</f>
        <v>0</v>
      </c>
      <c r="I1470">
        <v>0</v>
      </c>
      <c r="J1470">
        <v>0</v>
      </c>
      <c r="K1470" s="5855">
        <v>148766.23</v>
      </c>
      <c r="L1470" s="5856">
        <f>(K1470 * G1470)</f>
        <v>0</v>
      </c>
      <c r="M1470" s="5857">
        <v>208272.73</v>
      </c>
      <c r="N1470" s="5858">
        <f>(G1470 * M1470)</f>
        <v>0</v>
      </c>
      <c r="O1470">
        <v>0</v>
      </c>
      <c r="P1470">
        <v>0</v>
      </c>
      <c r="Q1470">
        <f>IF(O1470&gt;G1470,(O1470-G1470),0)</f>
        <v>0</v>
      </c>
      <c r="R1470">
        <v>1</v>
      </c>
      <c r="S1470">
        <f>IF(Q1470&gt;0,Int(P1470/Q1470),0)</f>
        <v>0</v>
      </c>
      <c r="T1470">
        <f>0</f>
        <v>0</v>
      </c>
      <c r="U1470"/>
      <c r="V1470">
        <v>148766.23</v>
      </c>
      <c r="W1470" t="s">
        <v>75</v>
      </c>
      <c r="X1470"/>
    </row>
    <row r="1471" spans="1:27">
      <c r="A1471" t="s">
        <v>35</v>
      </c>
      <c r="B1471" t="s">
        <v>29</v>
      </c>
      <c r="C1471" t="s">
        <v>5023</v>
      </c>
      <c r="D1471" t="s">
        <v>5024</v>
      </c>
      <c r="E1471" t="s">
        <v>5025</v>
      </c>
      <c r="F1471" t="s">
        <v>33</v>
      </c>
      <c r="G1471">
        <v>0</v>
      </c>
      <c r="H1471">
        <f>((0/1000) * G1471)</f>
        <v>0</v>
      </c>
      <c r="I1471">
        <v>0</v>
      </c>
      <c r="J1471">
        <v>0</v>
      </c>
      <c r="K1471" s="5859">
        <v>113067.09</v>
      </c>
      <c r="L1471" s="5860">
        <f>(K1471 * G1471)</f>
        <v>0</v>
      </c>
      <c r="M1471" s="5861">
        <v>158293.92</v>
      </c>
      <c r="N1471" s="5862">
        <f>(G1471 * M1471)</f>
        <v>0</v>
      </c>
      <c r="O1471">
        <v>0</v>
      </c>
      <c r="P1471">
        <v>0</v>
      </c>
      <c r="Q1471">
        <f>IF(O1471&gt;G1471,(O1471-G1471),0)</f>
        <v>0</v>
      </c>
      <c r="R1471">
        <v>1</v>
      </c>
      <c r="S1471">
        <f>IF(Q1471&gt;0,Int(P1471/Q1471),0)</f>
        <v>0</v>
      </c>
      <c r="T1471">
        <f>0</f>
        <v>0</v>
      </c>
      <c r="U1471"/>
      <c r="V1471">
        <v>113067.09</v>
      </c>
      <c r="W1471" t="s">
        <v>75</v>
      </c>
      <c r="X1471"/>
    </row>
    <row r="1472" spans="1:27">
      <c r="A1472" t="s">
        <v>35</v>
      </c>
      <c r="B1472" t="s">
        <v>29</v>
      </c>
      <c r="C1472" t="s">
        <v>5026</v>
      </c>
      <c r="D1472" t="s">
        <v>5027</v>
      </c>
      <c r="E1472" t="s">
        <v>5028</v>
      </c>
      <c r="F1472" t="s">
        <v>41</v>
      </c>
      <c r="G1472">
        <v>0</v>
      </c>
      <c r="H1472">
        <f>((0/1000) * G1472)</f>
        <v>0</v>
      </c>
      <c r="I1472">
        <v>0</v>
      </c>
      <c r="J1472">
        <v>0</v>
      </c>
      <c r="K1472" s="5863">
        <v>831601.41</v>
      </c>
      <c r="L1472" s="5864">
        <f>(K1472 * G1472)</f>
        <v>0</v>
      </c>
      <c r="M1472" s="5865">
        <v>1164241.98</v>
      </c>
      <c r="N1472" s="5866">
        <f>(G1472 * M1472)</f>
        <v>0</v>
      </c>
      <c r="O1472">
        <v>0</v>
      </c>
      <c r="P1472">
        <v>0</v>
      </c>
      <c r="Q1472">
        <f>IF(O1472&gt;G1472,(O1472-G1472),0)</f>
        <v>0</v>
      </c>
      <c r="R1472">
        <v>1</v>
      </c>
      <c r="S1472">
        <f>IF(Q1472&gt;0,Int(P1472/Q1472),0)</f>
        <v>0</v>
      </c>
      <c r="T1472">
        <f>919582.79</f>
        <v>919582.79</v>
      </c>
      <c r="U1472" t="s">
        <v>5029</v>
      </c>
      <c r="V1472">
        <v>831601.41</v>
      </c>
      <c r="W1472" t="s">
        <v>182</v>
      </c>
      <c r="X1472"/>
    </row>
    <row r="1473" spans="1:27">
      <c r="A1473" t="s">
        <v>28</v>
      </c>
      <c r="B1473" t="s">
        <v>29</v>
      </c>
      <c r="C1473" t="s">
        <v>5030</v>
      </c>
      <c r="D1473" t="s">
        <v>5031</v>
      </c>
      <c r="E1473" t="s">
        <v>5032</v>
      </c>
      <c r="F1473" t="s">
        <v>33</v>
      </c>
      <c r="G1473">
        <v>0</v>
      </c>
      <c r="H1473">
        <f>((0/1000) * G1473)</f>
        <v>0</v>
      </c>
      <c r="I1473">
        <v>0</v>
      </c>
      <c r="J1473">
        <v>0</v>
      </c>
      <c r="K1473" s="5867">
        <v>0</v>
      </c>
      <c r="L1473" s="5868">
        <f>(K1473 * G1473)</f>
        <v>0</v>
      </c>
      <c r="M1473" s="5869">
        <v>0</v>
      </c>
      <c r="N1473" s="5870">
        <f>(G1473 * M1473)</f>
        <v>0</v>
      </c>
      <c r="O1473">
        <v>0</v>
      </c>
      <c r="P1473">
        <v>0</v>
      </c>
      <c r="Q1473">
        <f>IF(O1473&gt;G1473,(O1473-G1473),0)</f>
        <v>0</v>
      </c>
      <c r="R1473">
        <v>1</v>
      </c>
      <c r="S1473">
        <f>IF(Q1473&gt;0,Int(P1473/Q1473),0)</f>
        <v>0</v>
      </c>
      <c r="T1473">
        <f>0</f>
        <v>0</v>
      </c>
      <c r="U1473"/>
      <c r="V1473">
        <v>0</v>
      </c>
      <c r="W1473">
        <v>0</v>
      </c>
      <c r="X1473"/>
    </row>
    <row r="1474" spans="1:27">
      <c r="A1474" t="s">
        <v>35</v>
      </c>
      <c r="B1474" t="s">
        <v>29</v>
      </c>
      <c r="C1474" t="s">
        <v>5033</v>
      </c>
      <c r="D1474" t="s">
        <v>5034</v>
      </c>
      <c r="E1474" t="s">
        <v>5035</v>
      </c>
      <c r="F1474" t="s">
        <v>33</v>
      </c>
      <c r="G1474">
        <v>0</v>
      </c>
      <c r="H1474">
        <f>((0/1000) * G1474)</f>
        <v>0</v>
      </c>
      <c r="I1474">
        <v>0</v>
      </c>
      <c r="J1474">
        <v>0</v>
      </c>
      <c r="K1474" s="5871">
        <v>96828.66</v>
      </c>
      <c r="L1474" s="5872">
        <f>(K1474 * G1474)</f>
        <v>0</v>
      </c>
      <c r="M1474" s="5873">
        <v>135560.12</v>
      </c>
      <c r="N1474" s="5874">
        <f>(G1474 * M1474)</f>
        <v>0</v>
      </c>
      <c r="O1474">
        <v>0</v>
      </c>
      <c r="P1474">
        <v>0</v>
      </c>
      <c r="Q1474">
        <f>IF(O1474&gt;G1474,(O1474-G1474),0)</f>
        <v>0</v>
      </c>
      <c r="R1474">
        <v>1</v>
      </c>
      <c r="S1474">
        <f>IF(Q1474&gt;0,Int(P1474/Q1474),0)</f>
        <v>0</v>
      </c>
      <c r="T1474">
        <f>0</f>
        <v>0</v>
      </c>
      <c r="U1474"/>
      <c r="V1474">
        <v>96828.66</v>
      </c>
      <c r="W1474" t="s">
        <v>75</v>
      </c>
      <c r="X1474"/>
    </row>
    <row r="1475" spans="1:27">
      <c r="A1475" t="s">
        <v>35</v>
      </c>
      <c r="B1475" t="s">
        <v>29</v>
      </c>
      <c r="C1475" t="s">
        <v>5036</v>
      </c>
      <c r="D1475" t="s">
        <v>5037</v>
      </c>
      <c r="E1475" t="s">
        <v>5038</v>
      </c>
      <c r="F1475" t="s">
        <v>33</v>
      </c>
      <c r="G1475">
        <v>0</v>
      </c>
      <c r="H1475">
        <f>((0/1000) * G1475)</f>
        <v>0</v>
      </c>
      <c r="I1475">
        <v>0</v>
      </c>
      <c r="J1475">
        <v>0</v>
      </c>
      <c r="K1475" s="5875">
        <v>101662.9</v>
      </c>
      <c r="L1475" s="5876">
        <f>(K1475 * G1475)</f>
        <v>0</v>
      </c>
      <c r="M1475" s="5877">
        <v>142328.07</v>
      </c>
      <c r="N1475" s="5878">
        <f>(G1475 * M1475)</f>
        <v>0</v>
      </c>
      <c r="O1475">
        <v>0</v>
      </c>
      <c r="P1475">
        <v>0</v>
      </c>
      <c r="Q1475">
        <f>IF(O1475&gt;G1475,(O1475-G1475),0)</f>
        <v>0</v>
      </c>
      <c r="R1475">
        <v>1</v>
      </c>
      <c r="S1475">
        <f>IF(Q1475&gt;0,Int(P1475/Q1475),0)</f>
        <v>0</v>
      </c>
      <c r="T1475">
        <f>0</f>
        <v>0</v>
      </c>
      <c r="U1475"/>
      <c r="V1475">
        <v>101662.9</v>
      </c>
      <c r="W1475" t="s">
        <v>75</v>
      </c>
      <c r="X1475"/>
    </row>
    <row r="1476" spans="1:27">
      <c r="A1476" t="s">
        <v>35</v>
      </c>
      <c r="B1476" t="s">
        <v>29</v>
      </c>
      <c r="C1476" t="s">
        <v>5039</v>
      </c>
      <c r="D1476" t="s">
        <v>5040</v>
      </c>
      <c r="E1476" t="s">
        <v>5041</v>
      </c>
      <c r="F1476" t="s">
        <v>33</v>
      </c>
      <c r="G1476">
        <v>0</v>
      </c>
      <c r="H1476">
        <f>((0/1000) * G1476)</f>
        <v>0</v>
      </c>
      <c r="I1476">
        <v>0</v>
      </c>
      <c r="J1476">
        <v>0</v>
      </c>
      <c r="K1476" s="5879">
        <v>754891.18</v>
      </c>
      <c r="L1476" s="5880">
        <f>(K1476 * G1476)</f>
        <v>0</v>
      </c>
      <c r="M1476" s="5881">
        <v>1056847.65</v>
      </c>
      <c r="N1476" s="5882">
        <f>(G1476 * M1476)</f>
        <v>0</v>
      </c>
      <c r="O1476">
        <v>0</v>
      </c>
      <c r="P1476">
        <v>0</v>
      </c>
      <c r="Q1476">
        <f>IF(O1476&gt;G1476,(O1476-G1476),0)</f>
        <v>0</v>
      </c>
      <c r="R1476">
        <v>1</v>
      </c>
      <c r="S1476">
        <f>IF(Q1476&gt;0,Int(P1476/Q1476),0)</f>
        <v>0</v>
      </c>
      <c r="T1476">
        <f>0</f>
        <v>0</v>
      </c>
      <c r="U1476"/>
      <c r="V1476">
        <v>754891.18</v>
      </c>
      <c r="W1476" t="s">
        <v>182</v>
      </c>
      <c r="X1476"/>
    </row>
    <row r="1477" spans="1:27">
      <c r="A1477" t="s">
        <v>35</v>
      </c>
      <c r="B1477" t="s">
        <v>29</v>
      </c>
      <c r="C1477" t="s">
        <v>5042</v>
      </c>
      <c r="D1477" t="s">
        <v>5042</v>
      </c>
      <c r="E1477" t="s">
        <v>5043</v>
      </c>
      <c r="F1477" t="s">
        <v>33</v>
      </c>
      <c r="G1477">
        <v>0</v>
      </c>
      <c r="H1477">
        <f>((1/1000) * G1477)</f>
        <v>0</v>
      </c>
      <c r="I1477">
        <v>0</v>
      </c>
      <c r="J1477">
        <v>0</v>
      </c>
      <c r="K1477" s="5883">
        <v>0</v>
      </c>
      <c r="L1477" s="5884">
        <f>(K1477 * G1477)</f>
        <v>0</v>
      </c>
      <c r="M1477" s="5885">
        <v>0</v>
      </c>
      <c r="N1477" s="5886">
        <f>(G1477 * M1477)</f>
        <v>0</v>
      </c>
      <c r="O1477">
        <v>0</v>
      </c>
      <c r="P1477">
        <v>0</v>
      </c>
      <c r="Q1477">
        <f>IF(O1477&gt;G1477,(O1477-G1477),0)</f>
        <v>0</v>
      </c>
      <c r="R1477">
        <v>0</v>
      </c>
      <c r="S1477">
        <f>IF(Q1477&gt;0,Int(P1477/Q1477),0)</f>
        <v>0</v>
      </c>
      <c r="T1477">
        <f>0</f>
        <v>0</v>
      </c>
      <c r="U1477"/>
      <c r="V1477">
        <v>0</v>
      </c>
      <c r="W1477">
        <v>0</v>
      </c>
      <c r="X1477"/>
    </row>
    <row r="1478" spans="1:27">
      <c r="A1478" t="s">
        <v>28</v>
      </c>
      <c r="B1478" t="s">
        <v>29</v>
      </c>
      <c r="C1478" t="s">
        <v>5044</v>
      </c>
      <c r="D1478" t="s">
        <v>5045</v>
      </c>
      <c r="E1478" t="s">
        <v>5046</v>
      </c>
      <c r="F1478" t="s">
        <v>33</v>
      </c>
      <c r="G1478">
        <v>0</v>
      </c>
      <c r="H1478">
        <f>((0/1000) * G1478)</f>
        <v>0</v>
      </c>
      <c r="I1478">
        <v>0</v>
      </c>
      <c r="J1478">
        <v>0</v>
      </c>
      <c r="K1478" s="5887">
        <v>549877.47</v>
      </c>
      <c r="L1478" s="5888">
        <f>(K1478 * G1478)</f>
        <v>0</v>
      </c>
      <c r="M1478" s="5889">
        <v>769828.45</v>
      </c>
      <c r="N1478" s="5890">
        <f>(G1478 * M1478)</f>
        <v>0</v>
      </c>
      <c r="O1478">
        <v>0</v>
      </c>
      <c r="P1478">
        <v>0</v>
      </c>
      <c r="Q1478">
        <f>IF(O1478&gt;G1478,(O1478-G1478),0)</f>
        <v>0</v>
      </c>
      <c r="R1478">
        <v>1</v>
      </c>
      <c r="S1478">
        <f>IF(Q1478&gt;0,Int(P1478/Q1478),0)</f>
        <v>0</v>
      </c>
      <c r="T1478">
        <f>0</f>
        <v>0</v>
      </c>
      <c r="U1478"/>
      <c r="V1478">
        <v>549877.47</v>
      </c>
      <c r="W1478" t="s">
        <v>182</v>
      </c>
      <c r="X1478"/>
    </row>
    <row r="1479" spans="1:27">
      <c r="A1479" t="s">
        <v>28</v>
      </c>
      <c r="B1479" t="s">
        <v>29</v>
      </c>
      <c r="C1479" t="s">
        <v>5047</v>
      </c>
      <c r="D1479" t="s">
        <v>5048</v>
      </c>
      <c r="E1479" t="s">
        <v>5049</v>
      </c>
      <c r="F1479" t="s">
        <v>33</v>
      </c>
      <c r="G1479">
        <v>0</v>
      </c>
      <c r="H1479">
        <f>((0/1000) * G1479)</f>
        <v>0</v>
      </c>
      <c r="I1479">
        <v>0</v>
      </c>
      <c r="J1479">
        <v>0</v>
      </c>
      <c r="K1479" s="5891">
        <v>0</v>
      </c>
      <c r="L1479" s="5892">
        <f>(K1479 * G1479)</f>
        <v>0</v>
      </c>
      <c r="M1479" s="5893">
        <v>0</v>
      </c>
      <c r="N1479" s="5894">
        <f>(G1479 * M1479)</f>
        <v>0</v>
      </c>
      <c r="O1479">
        <v>0</v>
      </c>
      <c r="P1479">
        <v>0</v>
      </c>
      <c r="Q1479">
        <f>IF(O1479&gt;G1479,(O1479-G1479),0)</f>
        <v>0</v>
      </c>
      <c r="R1479">
        <v>1</v>
      </c>
      <c r="S1479">
        <f>IF(Q1479&gt;0,Int(P1479/Q1479),0)</f>
        <v>0</v>
      </c>
      <c r="T1479">
        <f>0</f>
        <v>0</v>
      </c>
      <c r="U1479"/>
      <c r="V1479">
        <v>0</v>
      </c>
      <c r="W1479">
        <v>0</v>
      </c>
      <c r="X1479"/>
    </row>
    <row r="1480" spans="1:27">
      <c r="A1480" t="s">
        <v>28</v>
      </c>
      <c r="B1480" t="s">
        <v>29</v>
      </c>
      <c r="C1480" t="s">
        <v>5050</v>
      </c>
      <c r="D1480" t="s">
        <v>5051</v>
      </c>
      <c r="E1480" t="s">
        <v>5052</v>
      </c>
      <c r="F1480" t="s">
        <v>41</v>
      </c>
      <c r="G1480">
        <v>0</v>
      </c>
      <c r="H1480">
        <f>((0/1000) * G1480)</f>
        <v>0</v>
      </c>
      <c r="I1480">
        <v>0</v>
      </c>
      <c r="J1480">
        <v>0</v>
      </c>
      <c r="K1480" s="5895">
        <v>314049.58</v>
      </c>
      <c r="L1480" s="5896">
        <f>(K1480 * G1480)</f>
        <v>0</v>
      </c>
      <c r="M1480" s="5897">
        <v>439669.41</v>
      </c>
      <c r="N1480" s="5898">
        <f>(G1480 * M1480)</f>
        <v>0</v>
      </c>
      <c r="O1480">
        <v>0</v>
      </c>
      <c r="P1480">
        <v>0</v>
      </c>
      <c r="Q1480">
        <f>IF(O1480&gt;G1480,(O1480-G1480),0)</f>
        <v>0</v>
      </c>
      <c r="R1480">
        <v>1</v>
      </c>
      <c r="S1480">
        <f>IF(Q1480&gt;0,Int(P1480/Q1480),0)</f>
        <v>0</v>
      </c>
      <c r="T1480">
        <f>285499.62</f>
        <v>285499.62</v>
      </c>
      <c r="U1480" t="s">
        <v>5053</v>
      </c>
      <c r="V1480">
        <v>314049.58</v>
      </c>
      <c r="W1480" t="s">
        <v>75</v>
      </c>
      <c r="X1480"/>
    </row>
    <row r="1481" spans="1:27">
      <c r="A1481" t="s">
        <v>28</v>
      </c>
      <c r="B1481" t="s">
        <v>29</v>
      </c>
      <c r="C1481" t="s">
        <v>5054</v>
      </c>
      <c r="D1481" t="s">
        <v>5055</v>
      </c>
      <c r="E1481" t="s">
        <v>5056</v>
      </c>
      <c r="F1481" t="s">
        <v>33</v>
      </c>
      <c r="G1481">
        <v>0</v>
      </c>
      <c r="H1481">
        <f>((0/1000) * G1481)</f>
        <v>0</v>
      </c>
      <c r="I1481">
        <v>0</v>
      </c>
      <c r="J1481">
        <v>0</v>
      </c>
      <c r="K1481" s="5899">
        <v>368911.53</v>
      </c>
      <c r="L1481" s="5900">
        <f>(K1481 * G1481)</f>
        <v>0</v>
      </c>
      <c r="M1481" s="5901">
        <v>516476.15</v>
      </c>
      <c r="N1481" s="5902">
        <f>(G1481 * M1481)</f>
        <v>0</v>
      </c>
      <c r="O1481">
        <v>0</v>
      </c>
      <c r="P1481">
        <v>0</v>
      </c>
      <c r="Q1481">
        <f>IF(O1481&gt;G1481,(O1481-G1481),0)</f>
        <v>0</v>
      </c>
      <c r="R1481">
        <v>1</v>
      </c>
      <c r="S1481">
        <f>IF(Q1481&gt;0,Int(P1481/Q1481),0)</f>
        <v>0</v>
      </c>
      <c r="T1481">
        <f>0</f>
        <v>0</v>
      </c>
      <c r="U1481"/>
      <c r="V1481">
        <v>368911.53</v>
      </c>
      <c r="W1481" t="s">
        <v>182</v>
      </c>
      <c r="X1481"/>
    </row>
    <row r="1482" spans="1:27">
      <c r="A1482" t="s">
        <v>28</v>
      </c>
      <c r="B1482" t="s">
        <v>29</v>
      </c>
      <c r="C1482" t="s">
        <v>5057</v>
      </c>
      <c r="D1482" t="s">
        <v>5058</v>
      </c>
      <c r="E1482" t="s">
        <v>5059</v>
      </c>
      <c r="F1482" t="s">
        <v>33</v>
      </c>
      <c r="G1482">
        <v>0</v>
      </c>
      <c r="H1482">
        <f>((0/1000) * G1482)</f>
        <v>0</v>
      </c>
      <c r="I1482">
        <v>0</v>
      </c>
      <c r="J1482">
        <v>0</v>
      </c>
      <c r="K1482" s="5903">
        <v>324710.74</v>
      </c>
      <c r="L1482" s="5904">
        <f>(K1482 * G1482)</f>
        <v>0</v>
      </c>
      <c r="M1482" s="5905">
        <v>357181.82</v>
      </c>
      <c r="N1482" s="5906">
        <f>(G1482 * M1482)</f>
        <v>0</v>
      </c>
      <c r="O1482">
        <v>0</v>
      </c>
      <c r="P1482">
        <v>0</v>
      </c>
      <c r="Q1482">
        <f>IF(O1482&gt;G1482,(O1482-G1482),0)</f>
        <v>0</v>
      </c>
      <c r="R1482">
        <v>1</v>
      </c>
      <c r="S1482">
        <f>IF(Q1482&gt;0,Int(P1482/Q1482),0)</f>
        <v>0</v>
      </c>
      <c r="T1482">
        <f>347933.88</f>
        <v>347933.88</v>
      </c>
      <c r="U1482" t="s">
        <v>5060</v>
      </c>
      <c r="V1482">
        <v>324710.74</v>
      </c>
      <c r="W1482" t="s">
        <v>43</v>
      </c>
      <c r="X1482"/>
    </row>
    <row r="1483" spans="1:27">
      <c r="A1483" t="s">
        <v>35</v>
      </c>
      <c r="B1483" t="s">
        <v>29</v>
      </c>
      <c r="C1483" t="s">
        <v>5061</v>
      </c>
      <c r="D1483" t="s">
        <v>5062</v>
      </c>
      <c r="E1483" t="s">
        <v>5063</v>
      </c>
      <c r="F1483" t="s">
        <v>33</v>
      </c>
      <c r="G1483">
        <v>4</v>
      </c>
      <c r="H1483">
        <f>((0/1000) * G1483)</f>
        <v>0</v>
      </c>
      <c r="I1483">
        <v>0</v>
      </c>
      <c r="J1483">
        <v>4</v>
      </c>
      <c r="K1483" s="5907">
        <v>370082.65</v>
      </c>
      <c r="L1483" s="5908">
        <f>(K1483 * G1483)</f>
        <v>1480330.6</v>
      </c>
      <c r="M1483" s="5909">
        <v>407090.9</v>
      </c>
      <c r="N1483" s="5910">
        <f>(G1483 * M1483)</f>
        <v>1628363.6</v>
      </c>
      <c r="O1483">
        <v>0</v>
      </c>
      <c r="P1483">
        <v>0</v>
      </c>
      <c r="Q1483">
        <f>IF(O1483&gt;G1483,(O1483-G1483),0)</f>
        <v>0</v>
      </c>
      <c r="R1483">
        <v>1</v>
      </c>
      <c r="S1483">
        <f>IF(Q1483&gt;0,Int(P1483/Q1483),0)</f>
        <v>0</v>
      </c>
      <c r="T1483">
        <f>377685.95</f>
        <v>377685.95</v>
      </c>
      <c r="U1483" t="s">
        <v>5064</v>
      </c>
      <c r="V1483">
        <v>370082.65</v>
      </c>
      <c r="W1483" t="s">
        <v>43</v>
      </c>
      <c r="X1483" t="s">
        <v>209</v>
      </c>
    </row>
    <row r="1484" spans="1:27">
      <c r="A1484" t="s">
        <v>28</v>
      </c>
      <c r="B1484" t="s">
        <v>29</v>
      </c>
      <c r="C1484" t="s">
        <v>5065</v>
      </c>
      <c r="D1484" t="s">
        <v>5066</v>
      </c>
      <c r="E1484" t="s">
        <v>5067</v>
      </c>
      <c r="F1484" t="s">
        <v>33</v>
      </c>
      <c r="G1484">
        <v>0</v>
      </c>
      <c r="H1484">
        <f>((0/1000) * G1484)</f>
        <v>0</v>
      </c>
      <c r="I1484">
        <v>0</v>
      </c>
      <c r="J1484">
        <v>0</v>
      </c>
      <c r="K1484" s="5911">
        <v>289752.07</v>
      </c>
      <c r="L1484" s="5912">
        <f>(K1484 * G1484)</f>
        <v>0</v>
      </c>
      <c r="M1484" s="5913">
        <v>318727.27</v>
      </c>
      <c r="N1484" s="5914">
        <f>(G1484 * M1484)</f>
        <v>0</v>
      </c>
      <c r="O1484">
        <v>0</v>
      </c>
      <c r="P1484">
        <v>0</v>
      </c>
      <c r="Q1484">
        <f>IF(O1484&gt;G1484,(O1484-G1484),0)</f>
        <v>0</v>
      </c>
      <c r="R1484">
        <v>1</v>
      </c>
      <c r="S1484">
        <f>IF(Q1484&gt;0,Int(P1484/Q1484),0)</f>
        <v>0</v>
      </c>
      <c r="T1484">
        <f>0</f>
        <v>0</v>
      </c>
      <c r="U1484" t="s">
        <v>5068</v>
      </c>
      <c r="V1484">
        <v>289752.07</v>
      </c>
      <c r="W1484" t="s">
        <v>43</v>
      </c>
      <c r="X1484"/>
    </row>
    <row r="1485" spans="1:27">
      <c r="A1485" t="s">
        <v>28</v>
      </c>
      <c r="B1485" t="s">
        <v>29</v>
      </c>
      <c r="C1485" t="s">
        <v>5069</v>
      </c>
      <c r="D1485" t="s">
        <v>5070</v>
      </c>
      <c r="E1485" t="s">
        <v>5071</v>
      </c>
      <c r="F1485" t="s">
        <v>41</v>
      </c>
      <c r="G1485">
        <v>0</v>
      </c>
      <c r="H1485">
        <f>((0/1000) * G1485)</f>
        <v>0</v>
      </c>
      <c r="I1485">
        <v>0</v>
      </c>
      <c r="J1485">
        <v>0</v>
      </c>
      <c r="K1485" s="5915">
        <v>351344.32</v>
      </c>
      <c r="L1485" s="5916">
        <f>(K1485 * G1485)</f>
        <v>0</v>
      </c>
      <c r="M1485" s="5917">
        <v>491882.05</v>
      </c>
      <c r="N1485" s="5918">
        <f>(G1485 * M1485)</f>
        <v>0</v>
      </c>
      <c r="O1485">
        <v>0</v>
      </c>
      <c r="P1485">
        <v>0</v>
      </c>
      <c r="Q1485">
        <f>IF(O1485&gt;G1485,(O1485-G1485),0)</f>
        <v>0</v>
      </c>
      <c r="R1485">
        <v>1</v>
      </c>
      <c r="S1485">
        <f>IF(Q1485&gt;0,Int(P1485/Q1485),0)</f>
        <v>0</v>
      </c>
      <c r="T1485">
        <f>253193.09</f>
        <v>253193.09</v>
      </c>
      <c r="U1485" t="s">
        <v>5072</v>
      </c>
      <c r="V1485">
        <v>351344.32</v>
      </c>
      <c r="W1485" t="s">
        <v>182</v>
      </c>
      <c r="X1485"/>
    </row>
    <row r="1486" spans="1:27">
      <c r="A1486" t="s">
        <v>28</v>
      </c>
      <c r="B1486" t="s">
        <v>29</v>
      </c>
      <c r="C1486" t="s">
        <v>5073</v>
      </c>
      <c r="D1486" t="s">
        <v>5074</v>
      </c>
      <c r="E1486" t="s">
        <v>5075</v>
      </c>
      <c r="F1486" t="s">
        <v>33</v>
      </c>
      <c r="G1486">
        <v>0</v>
      </c>
      <c r="H1486">
        <f>((0/1000) * G1486)</f>
        <v>0</v>
      </c>
      <c r="I1486">
        <v>0</v>
      </c>
      <c r="J1486">
        <v>0</v>
      </c>
      <c r="K1486" s="5919">
        <v>97454.54</v>
      </c>
      <c r="L1486" s="5920">
        <f>(K1486 * G1486)</f>
        <v>0</v>
      </c>
      <c r="M1486" s="5921">
        <v>136436.36</v>
      </c>
      <c r="N1486" s="5922">
        <f>(G1486 * M1486)</f>
        <v>0</v>
      </c>
      <c r="O1486">
        <v>0</v>
      </c>
      <c r="P1486">
        <v>0</v>
      </c>
      <c r="Q1486">
        <f>IF(O1486&gt;G1486,(O1486-G1486),0)</f>
        <v>0</v>
      </c>
      <c r="R1486">
        <v>1</v>
      </c>
      <c r="S1486">
        <f>IF(Q1486&gt;0,Int(P1486/Q1486),0)</f>
        <v>0</v>
      </c>
      <c r="T1486">
        <f>0</f>
        <v>0</v>
      </c>
      <c r="U1486"/>
      <c r="V1486">
        <v>97454.54</v>
      </c>
      <c r="W1486" t="s">
        <v>75</v>
      </c>
      <c r="X1486"/>
    </row>
    <row r="1487" spans="1:27">
      <c r="A1487" t="s">
        <v>35</v>
      </c>
      <c r="B1487" t="s">
        <v>29</v>
      </c>
      <c r="C1487" t="s">
        <v>5076</v>
      </c>
      <c r="D1487" t="s">
        <v>5077</v>
      </c>
      <c r="E1487" t="s">
        <v>5078</v>
      </c>
      <c r="F1487" t="s">
        <v>33</v>
      </c>
      <c r="G1487">
        <v>0</v>
      </c>
      <c r="H1487">
        <f>((0/1000) * G1487)</f>
        <v>0</v>
      </c>
      <c r="I1487">
        <v>0</v>
      </c>
      <c r="J1487">
        <v>0</v>
      </c>
      <c r="K1487" s="5923">
        <v>342066.12</v>
      </c>
      <c r="L1487" s="5924">
        <f>(K1487 * G1487)</f>
        <v>0</v>
      </c>
      <c r="M1487" s="5925">
        <v>376272.73</v>
      </c>
      <c r="N1487" s="5926">
        <f>(G1487 * M1487)</f>
        <v>0</v>
      </c>
      <c r="O1487">
        <v>0</v>
      </c>
      <c r="P1487">
        <v>0</v>
      </c>
      <c r="Q1487">
        <f>IF(O1487&gt;G1487,(O1487-G1487),0)</f>
        <v>0</v>
      </c>
      <c r="R1487">
        <v>1</v>
      </c>
      <c r="S1487">
        <f>IF(Q1487&gt;0,Int(P1487/Q1487),0)</f>
        <v>0</v>
      </c>
      <c r="T1487">
        <f>238700.23</f>
        <v>238700.23</v>
      </c>
      <c r="U1487" t="s">
        <v>3100</v>
      </c>
      <c r="V1487">
        <v>342066.12</v>
      </c>
      <c r="W1487" t="s">
        <v>43</v>
      </c>
      <c r="X1487"/>
    </row>
    <row r="1488" spans="1:27">
      <c r="A1488" t="s">
        <v>35</v>
      </c>
      <c r="B1488" t="s">
        <v>29</v>
      </c>
      <c r="C1488" t="s">
        <v>5079</v>
      </c>
      <c r="D1488" t="s">
        <v>5080</v>
      </c>
      <c r="E1488" t="s">
        <v>5081</v>
      </c>
      <c r="F1488" t="s">
        <v>41</v>
      </c>
      <c r="G1488">
        <v>0</v>
      </c>
      <c r="H1488">
        <f>((0/1000) * G1488)</f>
        <v>0</v>
      </c>
      <c r="I1488">
        <v>0</v>
      </c>
      <c r="J1488">
        <v>0</v>
      </c>
      <c r="K1488" s="5927">
        <v>740545.45</v>
      </c>
      <c r="L1488" s="5928">
        <f>(K1488 * G1488)</f>
        <v>0</v>
      </c>
      <c r="M1488" s="5929">
        <v>1036763.63</v>
      </c>
      <c r="N1488" s="5930">
        <f>(G1488 * M1488)</f>
        <v>0</v>
      </c>
      <c r="O1488">
        <v>0</v>
      </c>
      <c r="P1488">
        <v>0</v>
      </c>
      <c r="Q1488">
        <f>IF(O1488&gt;G1488,(O1488-G1488),0)</f>
        <v>0</v>
      </c>
      <c r="R1488">
        <v>0</v>
      </c>
      <c r="S1488">
        <f>IF(Q1488&gt;0,Int(P1488/Q1488),0)</f>
        <v>0</v>
      </c>
      <c r="T1488">
        <f>0</f>
        <v>0</v>
      </c>
      <c r="U1488"/>
      <c r="V1488">
        <v>740545.45</v>
      </c>
      <c r="W1488" t="s">
        <v>75</v>
      </c>
      <c r="X1488"/>
    </row>
    <row r="1489" spans="1:27">
      <c r="A1489" t="s">
        <v>35</v>
      </c>
      <c r="B1489" t="s">
        <v>29</v>
      </c>
      <c r="C1489" t="s">
        <v>5082</v>
      </c>
      <c r="D1489" t="s">
        <v>5083</v>
      </c>
      <c r="E1489" t="s">
        <v>5084</v>
      </c>
      <c r="F1489" t="s">
        <v>41</v>
      </c>
      <c r="G1489">
        <v>0</v>
      </c>
      <c r="H1489">
        <f>((0/1000) * G1489)</f>
        <v>0</v>
      </c>
      <c r="I1489">
        <v>0</v>
      </c>
      <c r="J1489">
        <v>0</v>
      </c>
      <c r="K1489" s="5931">
        <v>755215.45</v>
      </c>
      <c r="L1489" s="5932">
        <f>(K1489 * G1489)</f>
        <v>0</v>
      </c>
      <c r="M1489" s="5933">
        <v>1057301.63</v>
      </c>
      <c r="N1489" s="5934">
        <f>(G1489 * M1489)</f>
        <v>0</v>
      </c>
      <c r="O1489">
        <v>0</v>
      </c>
      <c r="P1489">
        <v>0</v>
      </c>
      <c r="Q1489">
        <f>IF(O1489&gt;G1489,(O1489-G1489),0)</f>
        <v>0</v>
      </c>
      <c r="R1489">
        <v>1</v>
      </c>
      <c r="S1489">
        <f>IF(Q1489&gt;0,Int(P1489/Q1489),0)</f>
        <v>0</v>
      </c>
      <c r="T1489">
        <f>0</f>
        <v>0</v>
      </c>
      <c r="U1489"/>
      <c r="V1489">
        <v>755215.45</v>
      </c>
      <c r="W1489" t="s">
        <v>182</v>
      </c>
      <c r="X1489"/>
    </row>
    <row r="1490" spans="1:27">
      <c r="A1490" t="s">
        <v>35</v>
      </c>
      <c r="B1490" t="s">
        <v>29</v>
      </c>
      <c r="C1490" t="s">
        <v>5085</v>
      </c>
      <c r="D1490" t="s">
        <v>5086</v>
      </c>
      <c r="E1490" t="s">
        <v>5087</v>
      </c>
      <c r="F1490" t="s">
        <v>41</v>
      </c>
      <c r="G1490">
        <v>0</v>
      </c>
      <c r="H1490">
        <f>((0/1000) * G1490)</f>
        <v>0</v>
      </c>
      <c r="I1490">
        <v>0</v>
      </c>
      <c r="J1490">
        <v>0</v>
      </c>
      <c r="K1490" s="5935">
        <v>996545.45</v>
      </c>
      <c r="L1490" s="5936">
        <f>(K1490 * G1490)</f>
        <v>0</v>
      </c>
      <c r="M1490" s="5937">
        <v>1395163.63</v>
      </c>
      <c r="N1490" s="5938">
        <f>(G1490 * M1490)</f>
        <v>0</v>
      </c>
      <c r="O1490">
        <v>0</v>
      </c>
      <c r="P1490">
        <v>0</v>
      </c>
      <c r="Q1490">
        <f>IF(O1490&gt;G1490,(O1490-G1490),0)</f>
        <v>0</v>
      </c>
      <c r="R1490">
        <v>0</v>
      </c>
      <c r="S1490">
        <f>IF(Q1490&gt;0,Int(P1490/Q1490),0)</f>
        <v>0</v>
      </c>
      <c r="T1490">
        <f>0</f>
        <v>0</v>
      </c>
      <c r="U1490"/>
      <c r="V1490">
        <v>996545.45</v>
      </c>
      <c r="W1490" t="s">
        <v>75</v>
      </c>
      <c r="X1490"/>
    </row>
    <row r="1491" spans="1:27">
      <c r="A1491" t="s">
        <v>35</v>
      </c>
      <c r="B1491" t="s">
        <v>29</v>
      </c>
      <c r="C1491" t="s">
        <v>5088</v>
      </c>
      <c r="D1491" t="s">
        <v>5089</v>
      </c>
      <c r="E1491" t="s">
        <v>5090</v>
      </c>
      <c r="F1491" t="s">
        <v>41</v>
      </c>
      <c r="G1491">
        <v>0</v>
      </c>
      <c r="H1491">
        <f>((0/1000) * G1491)</f>
        <v>0</v>
      </c>
      <c r="I1491">
        <v>0</v>
      </c>
      <c r="J1491">
        <v>0</v>
      </c>
      <c r="K1491" s="5939">
        <v>734508.33</v>
      </c>
      <c r="L1491" s="5940">
        <f>(K1491 * G1491)</f>
        <v>0</v>
      </c>
      <c r="M1491" s="5941">
        <v>1028311.67</v>
      </c>
      <c r="N1491" s="5942">
        <f>(G1491 * M1491)</f>
        <v>0</v>
      </c>
      <c r="O1491">
        <v>0</v>
      </c>
      <c r="P1491">
        <v>0</v>
      </c>
      <c r="Q1491">
        <f>IF(O1491&gt;G1491,(O1491-G1491),0)</f>
        <v>0</v>
      </c>
      <c r="R1491">
        <v>1</v>
      </c>
      <c r="S1491">
        <f>IF(Q1491&gt;0,Int(P1491/Q1491),0)</f>
        <v>0</v>
      </c>
      <c r="T1491">
        <f>241472.58</f>
        <v>241472.58</v>
      </c>
      <c r="U1491" t="s">
        <v>5091</v>
      </c>
      <c r="V1491">
        <v>734508.33</v>
      </c>
      <c r="W1491" t="s">
        <v>182</v>
      </c>
      <c r="X1491"/>
    </row>
    <row r="1492" spans="1:27">
      <c r="A1492" t="s">
        <v>35</v>
      </c>
      <c r="B1492" t="s">
        <v>29</v>
      </c>
      <c r="C1492" t="s">
        <v>5092</v>
      </c>
      <c r="D1492" t="s">
        <v>5093</v>
      </c>
      <c r="E1492" t="s">
        <v>5094</v>
      </c>
      <c r="F1492" t="s">
        <v>33</v>
      </c>
      <c r="G1492">
        <v>0</v>
      </c>
      <c r="H1492">
        <f>((0/1000) * G1492)</f>
        <v>0</v>
      </c>
      <c r="I1492">
        <v>0</v>
      </c>
      <c r="J1492">
        <v>0</v>
      </c>
      <c r="K1492" s="5943">
        <v>118260.36</v>
      </c>
      <c r="L1492" s="5944">
        <f>(K1492 * G1492)</f>
        <v>0</v>
      </c>
      <c r="M1492" s="5945">
        <v>165564.5</v>
      </c>
      <c r="N1492" s="5946">
        <f>(G1492 * M1492)</f>
        <v>0</v>
      </c>
      <c r="O1492">
        <v>0</v>
      </c>
      <c r="P1492">
        <v>0</v>
      </c>
      <c r="Q1492">
        <f>IF(O1492&gt;G1492,(O1492-G1492),0)</f>
        <v>0</v>
      </c>
      <c r="R1492">
        <v>1</v>
      </c>
      <c r="S1492">
        <f>IF(Q1492&gt;0,Int(P1492/Q1492),0)</f>
        <v>0</v>
      </c>
      <c r="T1492">
        <f>0</f>
        <v>0</v>
      </c>
      <c r="U1492"/>
      <c r="V1492">
        <v>118260.36</v>
      </c>
      <c r="W1492" t="s">
        <v>75</v>
      </c>
      <c r="X1492"/>
    </row>
    <row r="1493" spans="1:27">
      <c r="A1493" t="s">
        <v>28</v>
      </c>
      <c r="B1493" t="s">
        <v>29</v>
      </c>
      <c r="C1493" t="s">
        <v>5095</v>
      </c>
      <c r="D1493" t="s">
        <v>5096</v>
      </c>
      <c r="E1493" t="s">
        <v>5097</v>
      </c>
      <c r="F1493" t="s">
        <v>41</v>
      </c>
      <c r="G1493">
        <v>0</v>
      </c>
      <c r="H1493">
        <f>((0/1000) * G1493)</f>
        <v>0</v>
      </c>
      <c r="I1493">
        <v>0</v>
      </c>
      <c r="J1493">
        <v>0</v>
      </c>
      <c r="K1493" s="5947">
        <v>785995.75</v>
      </c>
      <c r="L1493" s="5948">
        <f>(K1493 * G1493)</f>
        <v>0</v>
      </c>
      <c r="M1493" s="5949">
        <v>1100394.05</v>
      </c>
      <c r="N1493" s="5950">
        <f>(G1493 * M1493)</f>
        <v>0</v>
      </c>
      <c r="O1493">
        <v>0</v>
      </c>
      <c r="P1493">
        <v>0</v>
      </c>
      <c r="Q1493">
        <f>IF(O1493&gt;G1493,(O1493-G1493),0)</f>
        <v>0</v>
      </c>
      <c r="R1493">
        <v>1</v>
      </c>
      <c r="S1493">
        <f>IF(Q1493&gt;0,Int(P1493/Q1493),0)</f>
        <v>0</v>
      </c>
      <c r="T1493">
        <f>0</f>
        <v>0</v>
      </c>
      <c r="U1493"/>
      <c r="V1493">
        <v>785995.75</v>
      </c>
      <c r="W1493" t="s">
        <v>182</v>
      </c>
      <c r="X1493"/>
    </row>
    <row r="1494" spans="1:27">
      <c r="A1494" t="s">
        <v>35</v>
      </c>
      <c r="B1494" t="s">
        <v>29</v>
      </c>
      <c r="C1494" t="s">
        <v>5098</v>
      </c>
      <c r="D1494" t="s">
        <v>5099</v>
      </c>
      <c r="E1494" t="s">
        <v>5100</v>
      </c>
      <c r="F1494" t="s">
        <v>33</v>
      </c>
      <c r="G1494">
        <v>0</v>
      </c>
      <c r="H1494">
        <f>((0/1000) * G1494)</f>
        <v>0</v>
      </c>
      <c r="I1494">
        <v>0</v>
      </c>
      <c r="J1494">
        <v>0</v>
      </c>
      <c r="K1494" s="5951">
        <v>636143.15</v>
      </c>
      <c r="L1494" s="5952">
        <f>(K1494 * G1494)</f>
        <v>0</v>
      </c>
      <c r="M1494" s="5953">
        <v>890600.41</v>
      </c>
      <c r="N1494" s="5954">
        <f>(G1494 * M1494)</f>
        <v>0</v>
      </c>
      <c r="O1494">
        <v>0</v>
      </c>
      <c r="P1494">
        <v>0</v>
      </c>
      <c r="Q1494">
        <f>IF(O1494&gt;G1494,(O1494-G1494),0)</f>
        <v>0</v>
      </c>
      <c r="R1494">
        <v>1</v>
      </c>
      <c r="S1494">
        <f>IF(Q1494&gt;0,Int(P1494/Q1494),0)</f>
        <v>0</v>
      </c>
      <c r="T1494">
        <f>0</f>
        <v>0</v>
      </c>
      <c r="U1494"/>
      <c r="V1494">
        <v>636143.15</v>
      </c>
      <c r="W1494" t="s">
        <v>182</v>
      </c>
      <c r="X1494"/>
    </row>
    <row r="1495" spans="1:27">
      <c r="A1495" t="s">
        <v>28</v>
      </c>
      <c r="B1495" t="s">
        <v>29</v>
      </c>
      <c r="C1495" t="s">
        <v>5101</v>
      </c>
      <c r="D1495" t="s">
        <v>5102</v>
      </c>
      <c r="E1495" t="s">
        <v>5103</v>
      </c>
      <c r="F1495" t="s">
        <v>41</v>
      </c>
      <c r="G1495">
        <v>0</v>
      </c>
      <c r="H1495">
        <f>((0/1000) * G1495)</f>
        <v>0</v>
      </c>
      <c r="I1495">
        <v>0</v>
      </c>
      <c r="J1495">
        <v>0</v>
      </c>
      <c r="K1495" s="5955">
        <v>974984.48</v>
      </c>
      <c r="L1495" s="5956">
        <f>(K1495 * G1495)</f>
        <v>0</v>
      </c>
      <c r="M1495" s="5957">
        <v>1364978.27</v>
      </c>
      <c r="N1495" s="5958">
        <f>(G1495 * M1495)</f>
        <v>0</v>
      </c>
      <c r="O1495">
        <v>0</v>
      </c>
      <c r="P1495">
        <v>0</v>
      </c>
      <c r="Q1495">
        <f>IF(O1495&gt;G1495,(O1495-G1495),0)</f>
        <v>0</v>
      </c>
      <c r="R1495">
        <v>1</v>
      </c>
      <c r="S1495">
        <f>IF(Q1495&gt;0,Int(P1495/Q1495),0)</f>
        <v>0</v>
      </c>
      <c r="T1495">
        <f>0</f>
        <v>0</v>
      </c>
      <c r="U1495"/>
      <c r="V1495">
        <v>974984.48</v>
      </c>
      <c r="W1495" t="s">
        <v>182</v>
      </c>
      <c r="X1495"/>
    </row>
    <row r="1496" spans="1:27">
      <c r="A1496" t="s">
        <v>35</v>
      </c>
      <c r="B1496" t="s">
        <v>29</v>
      </c>
      <c r="C1496" t="s">
        <v>5104</v>
      </c>
      <c r="D1496" t="s">
        <v>5105</v>
      </c>
      <c r="E1496" t="s">
        <v>5106</v>
      </c>
      <c r="F1496" t="s">
        <v>33</v>
      </c>
      <c r="G1496">
        <v>0</v>
      </c>
      <c r="H1496">
        <f>((0/1000) * G1496)</f>
        <v>0</v>
      </c>
      <c r="I1496">
        <v>0</v>
      </c>
      <c r="J1496">
        <v>0</v>
      </c>
      <c r="K1496" s="5959">
        <v>133620.61</v>
      </c>
      <c r="L1496" s="5960">
        <f>(K1496 * G1496)</f>
        <v>0</v>
      </c>
      <c r="M1496" s="5961">
        <v>187068.85</v>
      </c>
      <c r="N1496" s="5962">
        <f>(G1496 * M1496)</f>
        <v>0</v>
      </c>
      <c r="O1496">
        <v>0</v>
      </c>
      <c r="P1496">
        <v>0</v>
      </c>
      <c r="Q1496">
        <f>IF(O1496&gt;G1496,(O1496-G1496),0)</f>
        <v>0</v>
      </c>
      <c r="R1496">
        <v>1</v>
      </c>
      <c r="S1496">
        <f>IF(Q1496&gt;0,Int(P1496/Q1496),0)</f>
        <v>0</v>
      </c>
      <c r="T1496">
        <f>0</f>
        <v>0</v>
      </c>
      <c r="U1496"/>
      <c r="V1496">
        <v>133620.61</v>
      </c>
      <c r="W1496" t="s">
        <v>75</v>
      </c>
      <c r="X1496"/>
    </row>
    <row r="1497" spans="1:27">
      <c r="A1497" t="s">
        <v>35</v>
      </c>
      <c r="B1497" t="s">
        <v>29</v>
      </c>
      <c r="C1497" t="s">
        <v>5107</v>
      </c>
      <c r="D1497" t="s">
        <v>5108</v>
      </c>
      <c r="E1497" t="s">
        <v>5109</v>
      </c>
      <c r="F1497" t="s">
        <v>41</v>
      </c>
      <c r="G1497">
        <v>0</v>
      </c>
      <c r="H1497">
        <f>((1/1000) * G1497)</f>
        <v>0</v>
      </c>
      <c r="I1497">
        <v>0</v>
      </c>
      <c r="J1497">
        <v>0</v>
      </c>
      <c r="K1497" s="5963">
        <v>0</v>
      </c>
      <c r="L1497" s="5964">
        <f>(K1497 * G1497)</f>
        <v>0</v>
      </c>
      <c r="M1497" s="5965">
        <v>0</v>
      </c>
      <c r="N1497" s="5966">
        <f>(G1497 * M1497)</f>
        <v>0</v>
      </c>
      <c r="O1497">
        <v>0</v>
      </c>
      <c r="P1497">
        <v>0</v>
      </c>
      <c r="Q1497">
        <f>IF(O1497&gt;G1497,(O1497-G1497),0)</f>
        <v>0</v>
      </c>
      <c r="R1497">
        <v>1</v>
      </c>
      <c r="S1497">
        <f>IF(Q1497&gt;0,Int(P1497/Q1497),0)</f>
        <v>0</v>
      </c>
      <c r="T1497">
        <f>0</f>
        <v>0</v>
      </c>
      <c r="U1497"/>
      <c r="V1497">
        <v>0</v>
      </c>
      <c r="W1497">
        <v>0</v>
      </c>
      <c r="X1497"/>
    </row>
    <row r="1498" spans="1:27">
      <c r="A1498" t="s">
        <v>35</v>
      </c>
      <c r="B1498" t="s">
        <v>29</v>
      </c>
      <c r="C1498" t="s">
        <v>5110</v>
      </c>
      <c r="D1498" t="s">
        <v>5111</v>
      </c>
      <c r="E1498" t="s">
        <v>5112</v>
      </c>
      <c r="F1498" t="s">
        <v>41</v>
      </c>
      <c r="G1498">
        <v>0</v>
      </c>
      <c r="H1498">
        <f>((1/1000) * G1498)</f>
        <v>0</v>
      </c>
      <c r="I1498">
        <v>0</v>
      </c>
      <c r="J1498">
        <v>0</v>
      </c>
      <c r="K1498" s="5967">
        <v>559321.37</v>
      </c>
      <c r="L1498" s="5968">
        <f>(K1498 * G1498)</f>
        <v>0</v>
      </c>
      <c r="M1498" s="5969">
        <v>615253.51</v>
      </c>
      <c r="N1498" s="5970">
        <f>(G1498 * M1498)</f>
        <v>0</v>
      </c>
      <c r="O1498">
        <v>0</v>
      </c>
      <c r="P1498">
        <v>0</v>
      </c>
      <c r="Q1498">
        <f>IF(O1498&gt;G1498,(O1498-G1498),0)</f>
        <v>0</v>
      </c>
      <c r="R1498">
        <v>1</v>
      </c>
      <c r="S1498">
        <f>IF(Q1498&gt;0,Int(P1498/Q1498),0)</f>
        <v>0</v>
      </c>
      <c r="T1498">
        <f>0</f>
        <v>0</v>
      </c>
      <c r="U1498"/>
      <c r="V1498">
        <v>559321.37</v>
      </c>
      <c r="W1498" t="s">
        <v>43</v>
      </c>
      <c r="X1498"/>
    </row>
    <row r="1499" spans="1:27">
      <c r="A1499" t="s">
        <v>35</v>
      </c>
      <c r="B1499" t="s">
        <v>29</v>
      </c>
      <c r="C1499" t="s">
        <v>5113</v>
      </c>
      <c r="D1499" t="s">
        <v>5114</v>
      </c>
      <c r="E1499" t="s">
        <v>5115</v>
      </c>
      <c r="F1499" t="s">
        <v>41</v>
      </c>
      <c r="G1499">
        <v>0</v>
      </c>
      <c r="H1499">
        <f>((1/1000) * G1499)</f>
        <v>0</v>
      </c>
      <c r="I1499">
        <v>0</v>
      </c>
      <c r="J1499">
        <v>0</v>
      </c>
      <c r="K1499" s="5971">
        <v>499394.2</v>
      </c>
      <c r="L1499" s="5972">
        <f>(K1499 * G1499)</f>
        <v>0</v>
      </c>
      <c r="M1499" s="5973">
        <v>549333.62</v>
      </c>
      <c r="N1499" s="5974">
        <f>(G1499 * M1499)</f>
        <v>0</v>
      </c>
      <c r="O1499">
        <v>0</v>
      </c>
      <c r="P1499">
        <v>0</v>
      </c>
      <c r="Q1499">
        <f>IF(O1499&gt;G1499,(O1499-G1499),0)</f>
        <v>0</v>
      </c>
      <c r="R1499">
        <v>1</v>
      </c>
      <c r="S1499">
        <f>IF(Q1499&gt;0,Int(P1499/Q1499),0)</f>
        <v>0</v>
      </c>
      <c r="T1499">
        <f>0</f>
        <v>0</v>
      </c>
      <c r="U1499"/>
      <c r="V1499">
        <v>499394.2</v>
      </c>
      <c r="W1499" t="s">
        <v>43</v>
      </c>
      <c r="X1499"/>
    </row>
    <row r="1500" spans="1:27">
      <c r="A1500" t="s">
        <v>35</v>
      </c>
      <c r="B1500" t="s">
        <v>29</v>
      </c>
      <c r="C1500" t="s">
        <v>5116</v>
      </c>
      <c r="D1500" t="s">
        <v>5117</v>
      </c>
      <c r="E1500" t="s">
        <v>5118</v>
      </c>
      <c r="F1500" t="s">
        <v>41</v>
      </c>
      <c r="G1500">
        <v>0</v>
      </c>
      <c r="H1500">
        <f>((1/1000) * G1500)</f>
        <v>0</v>
      </c>
      <c r="I1500">
        <v>0</v>
      </c>
      <c r="J1500">
        <v>0</v>
      </c>
      <c r="K1500" s="5975">
        <v>0</v>
      </c>
      <c r="L1500" s="5976">
        <f>(K1500 * G1500)</f>
        <v>0</v>
      </c>
      <c r="M1500" s="5977">
        <v>0</v>
      </c>
      <c r="N1500" s="5978">
        <f>(G1500 * M1500)</f>
        <v>0</v>
      </c>
      <c r="O1500">
        <v>0</v>
      </c>
      <c r="P1500">
        <v>0</v>
      </c>
      <c r="Q1500">
        <f>IF(O1500&gt;G1500,(O1500-G1500),0)</f>
        <v>0</v>
      </c>
      <c r="R1500">
        <v>1</v>
      </c>
      <c r="S1500">
        <f>IF(Q1500&gt;0,Int(P1500/Q1500),0)</f>
        <v>0</v>
      </c>
      <c r="T1500">
        <f>0</f>
        <v>0</v>
      </c>
      <c r="U1500"/>
      <c r="V1500">
        <v>0</v>
      </c>
      <c r="W1500">
        <v>0</v>
      </c>
      <c r="X1500"/>
    </row>
    <row r="1501" spans="1:27">
      <c r="A1501" t="s">
        <v>28</v>
      </c>
      <c r="B1501" t="s">
        <v>29</v>
      </c>
      <c r="C1501" t="s">
        <v>5119</v>
      </c>
      <c r="D1501" t="s">
        <v>5119</v>
      </c>
      <c r="E1501" t="s">
        <v>5120</v>
      </c>
      <c r="F1501" t="s">
        <v>33</v>
      </c>
      <c r="G1501">
        <v>0</v>
      </c>
      <c r="H1501">
        <f>((0/1000) * G1501)</f>
        <v>0</v>
      </c>
      <c r="I1501">
        <v>0</v>
      </c>
      <c r="J1501">
        <v>0</v>
      </c>
      <c r="K1501" s="5979">
        <v>424793.39</v>
      </c>
      <c r="L1501" s="5980">
        <f>(K1501 * G1501)</f>
        <v>0</v>
      </c>
      <c r="M1501" s="5981">
        <v>467272.73</v>
      </c>
      <c r="N1501" s="5982">
        <f>(G1501 * M1501)</f>
        <v>0</v>
      </c>
      <c r="O1501">
        <v>0</v>
      </c>
      <c r="P1501">
        <v>0</v>
      </c>
      <c r="Q1501">
        <f>IF(O1501&gt;G1501,(O1501-G1501),0)</f>
        <v>0</v>
      </c>
      <c r="R1501">
        <v>1</v>
      </c>
      <c r="S1501">
        <f>IF(Q1501&gt;0,Int(P1501/Q1501),0)</f>
        <v>0</v>
      </c>
      <c r="T1501">
        <f>386175.81</f>
        <v>386175.81</v>
      </c>
      <c r="U1501" t="s">
        <v>5121</v>
      </c>
      <c r="V1501">
        <v>424793.39</v>
      </c>
      <c r="W1501" t="s">
        <v>43</v>
      </c>
      <c r="X1501"/>
    </row>
    <row r="1502" spans="1:27">
      <c r="A1502" t="s">
        <v>28</v>
      </c>
      <c r="B1502" t="s">
        <v>29</v>
      </c>
      <c r="C1502" t="s">
        <v>5122</v>
      </c>
      <c r="D1502" t="s">
        <v>5122</v>
      </c>
      <c r="E1502" t="s">
        <v>5123</v>
      </c>
      <c r="F1502" t="s">
        <v>41</v>
      </c>
      <c r="G1502">
        <v>0</v>
      </c>
      <c r="H1502">
        <f>((0/1000) * G1502)</f>
        <v>0</v>
      </c>
      <c r="I1502">
        <v>0</v>
      </c>
      <c r="J1502">
        <v>0</v>
      </c>
      <c r="K1502" s="5983">
        <v>27388.9</v>
      </c>
      <c r="L1502" s="5984">
        <f>(K1502 * G1502)</f>
        <v>0</v>
      </c>
      <c r="M1502" s="5985">
        <v>30127.79</v>
      </c>
      <c r="N1502" s="5986">
        <f>(G1502 * M1502)</f>
        <v>0</v>
      </c>
      <c r="O1502">
        <v>0</v>
      </c>
      <c r="P1502">
        <v>0</v>
      </c>
      <c r="Q1502">
        <f>IF(O1502&gt;G1502,(O1502-G1502),0)</f>
        <v>0</v>
      </c>
      <c r="R1502">
        <v>1</v>
      </c>
      <c r="S1502">
        <f>IF(Q1502&gt;0,Int(P1502/Q1502),0)</f>
        <v>0</v>
      </c>
      <c r="T1502">
        <f>24899</f>
        <v>24899</v>
      </c>
      <c r="U1502" t="s">
        <v>5124</v>
      </c>
      <c r="V1502">
        <v>27388.9</v>
      </c>
      <c r="W1502" t="s">
        <v>43</v>
      </c>
      <c r="X1502"/>
    </row>
    <row r="1503" spans="1:27">
      <c r="A1503" t="s">
        <v>35</v>
      </c>
      <c r="B1503" t="s">
        <v>29</v>
      </c>
      <c r="C1503" t="s">
        <v>5125</v>
      </c>
      <c r="D1503" t="s">
        <v>5126</v>
      </c>
      <c r="E1503" t="s">
        <v>5127</v>
      </c>
      <c r="F1503" t="s">
        <v>41</v>
      </c>
      <c r="G1503">
        <v>0</v>
      </c>
      <c r="H1503">
        <f>((0/1000) * G1503)</f>
        <v>0</v>
      </c>
      <c r="I1503">
        <v>0</v>
      </c>
      <c r="J1503">
        <v>0</v>
      </c>
      <c r="K1503" s="5987">
        <v>747655.04</v>
      </c>
      <c r="L1503" s="5988">
        <f>(K1503 * G1503)</f>
        <v>0</v>
      </c>
      <c r="M1503" s="5989">
        <v>1046717.06</v>
      </c>
      <c r="N1503" s="5990">
        <f>(G1503 * M1503)</f>
        <v>0</v>
      </c>
      <c r="O1503">
        <v>0</v>
      </c>
      <c r="P1503">
        <v>0</v>
      </c>
      <c r="Q1503">
        <f>IF(O1503&gt;G1503,(O1503-G1503),0)</f>
        <v>0</v>
      </c>
      <c r="R1503">
        <v>1</v>
      </c>
      <c r="S1503">
        <f>IF(Q1503&gt;0,Int(P1503/Q1503),0)</f>
        <v>0</v>
      </c>
      <c r="T1503">
        <f>0</f>
        <v>0</v>
      </c>
      <c r="U1503"/>
      <c r="V1503">
        <v>747655.04</v>
      </c>
      <c r="W1503" t="s">
        <v>182</v>
      </c>
      <c r="X1503"/>
    </row>
    <row r="1504" spans="1:27">
      <c r="A1504" t="s">
        <v>35</v>
      </c>
      <c r="B1504" t="s">
        <v>29</v>
      </c>
      <c r="C1504" t="s">
        <v>5128</v>
      </c>
      <c r="D1504" t="s">
        <v>5129</v>
      </c>
      <c r="E1504" t="s">
        <v>5130</v>
      </c>
      <c r="F1504" t="s">
        <v>41</v>
      </c>
      <c r="G1504">
        <v>0</v>
      </c>
      <c r="H1504">
        <f>((0/1000) * G1504)</f>
        <v>0</v>
      </c>
      <c r="I1504">
        <v>0</v>
      </c>
      <c r="J1504">
        <v>0</v>
      </c>
      <c r="K1504" s="5991">
        <v>665902.52</v>
      </c>
      <c r="L1504" s="5992">
        <f>(K1504 * G1504)</f>
        <v>0</v>
      </c>
      <c r="M1504" s="5993">
        <v>932263.53</v>
      </c>
      <c r="N1504" s="5994">
        <f>(G1504 * M1504)</f>
        <v>0</v>
      </c>
      <c r="O1504">
        <v>0</v>
      </c>
      <c r="P1504">
        <v>0</v>
      </c>
      <c r="Q1504">
        <f>IF(O1504&gt;G1504,(O1504-G1504),0)</f>
        <v>0</v>
      </c>
      <c r="R1504">
        <v>1</v>
      </c>
      <c r="S1504">
        <f>IF(Q1504&gt;0,Int(P1504/Q1504),0)</f>
        <v>0</v>
      </c>
      <c r="T1504">
        <f>0</f>
        <v>0</v>
      </c>
      <c r="U1504"/>
      <c r="V1504">
        <v>665902.52</v>
      </c>
      <c r="W1504" t="s">
        <v>182</v>
      </c>
      <c r="X1504"/>
    </row>
    <row r="1505" spans="1:27">
      <c r="A1505" t="s">
        <v>35</v>
      </c>
      <c r="B1505" t="s">
        <v>29</v>
      </c>
      <c r="C1505" t="s">
        <v>5131</v>
      </c>
      <c r="D1505" t="s">
        <v>5132</v>
      </c>
      <c r="E1505" t="s">
        <v>5133</v>
      </c>
      <c r="F1505" t="s">
        <v>33</v>
      </c>
      <c r="G1505">
        <v>0</v>
      </c>
      <c r="H1505">
        <f>((0/1000) * G1505)</f>
        <v>0</v>
      </c>
      <c r="I1505">
        <v>0</v>
      </c>
      <c r="J1505">
        <v>0</v>
      </c>
      <c r="K1505" s="5995">
        <v>240743.8</v>
      </c>
      <c r="L1505" s="5996">
        <f>(K1505 * G1505)</f>
        <v>0</v>
      </c>
      <c r="M1505" s="5997">
        <v>264818.18</v>
      </c>
      <c r="N1505" s="5998">
        <f>(G1505 * M1505)</f>
        <v>0</v>
      </c>
      <c r="O1505">
        <v>0</v>
      </c>
      <c r="P1505">
        <v>0</v>
      </c>
      <c r="Q1505">
        <f>IF(O1505&gt;G1505,(O1505-G1505),0)</f>
        <v>0</v>
      </c>
      <c r="R1505">
        <v>1</v>
      </c>
      <c r="S1505">
        <f>IF(Q1505&gt;0,Int(P1505/Q1505),0)</f>
        <v>0</v>
      </c>
      <c r="T1505">
        <f>212847.48</f>
        <v>212847.48</v>
      </c>
      <c r="U1505" t="s">
        <v>5134</v>
      </c>
      <c r="V1505">
        <v>240743.8</v>
      </c>
      <c r="W1505" t="s">
        <v>43</v>
      </c>
      <c r="X1505"/>
    </row>
    <row r="1506" spans="1:27">
      <c r="A1506" t="s">
        <v>35</v>
      </c>
      <c r="B1506" t="s">
        <v>29</v>
      </c>
      <c r="C1506" t="s">
        <v>5135</v>
      </c>
      <c r="D1506" t="s">
        <v>5135</v>
      </c>
      <c r="E1506" t="s">
        <v>5136</v>
      </c>
      <c r="F1506" t="s">
        <v>33</v>
      </c>
      <c r="G1506">
        <v>0</v>
      </c>
      <c r="H1506">
        <f>((1/1000) * G1506)</f>
        <v>0</v>
      </c>
      <c r="I1506">
        <v>0</v>
      </c>
      <c r="J1506">
        <v>0</v>
      </c>
      <c r="K1506" s="5999">
        <v>0</v>
      </c>
      <c r="L1506" s="6000">
        <f>(K1506 * G1506)</f>
        <v>0</v>
      </c>
      <c r="M1506" s="6001">
        <v>0</v>
      </c>
      <c r="N1506" s="6002">
        <f>(G1506 * M1506)</f>
        <v>0</v>
      </c>
      <c r="O1506">
        <v>0</v>
      </c>
      <c r="P1506">
        <v>0</v>
      </c>
      <c r="Q1506">
        <f>IF(O1506&gt;G1506,(O1506-G1506),0)</f>
        <v>0</v>
      </c>
      <c r="R1506">
        <v>0</v>
      </c>
      <c r="S1506">
        <f>IF(Q1506&gt;0,Int(P1506/Q1506),0)</f>
        <v>0</v>
      </c>
      <c r="T1506">
        <f>0</f>
        <v>0</v>
      </c>
      <c r="U1506"/>
      <c r="V1506">
        <v>0</v>
      </c>
      <c r="W1506">
        <v>0</v>
      </c>
      <c r="X1506"/>
    </row>
    <row r="1507" spans="1:27">
      <c r="A1507" t="s">
        <v>28</v>
      </c>
      <c r="B1507" t="s">
        <v>29</v>
      </c>
      <c r="C1507" t="s">
        <v>5137</v>
      </c>
      <c r="D1507" t="s">
        <v>5138</v>
      </c>
      <c r="E1507" t="s">
        <v>5139</v>
      </c>
      <c r="F1507" t="s">
        <v>41</v>
      </c>
      <c r="G1507">
        <v>0</v>
      </c>
      <c r="H1507">
        <f>((0/1000) * G1507)</f>
        <v>0</v>
      </c>
      <c r="I1507">
        <v>0</v>
      </c>
      <c r="J1507">
        <v>0</v>
      </c>
      <c r="K1507" s="6003">
        <v>795101.64</v>
      </c>
      <c r="L1507" s="6004">
        <f>(K1507 * G1507)</f>
        <v>0</v>
      </c>
      <c r="M1507" s="6005">
        <v>1113142.29</v>
      </c>
      <c r="N1507" s="6006">
        <f>(G1507 * M1507)</f>
        <v>0</v>
      </c>
      <c r="O1507">
        <v>0</v>
      </c>
      <c r="P1507">
        <v>0</v>
      </c>
      <c r="Q1507">
        <f>IF(O1507&gt;G1507,(O1507-G1507),0)</f>
        <v>0</v>
      </c>
      <c r="R1507">
        <v>0</v>
      </c>
      <c r="S1507">
        <f>IF(Q1507&gt;0,Int(P1507/Q1507),0)</f>
        <v>0</v>
      </c>
      <c r="T1507">
        <f>0</f>
        <v>0</v>
      </c>
      <c r="U1507"/>
      <c r="V1507">
        <v>795101.64</v>
      </c>
      <c r="W1507" t="s">
        <v>182</v>
      </c>
      <c r="X1507"/>
    </row>
    <row r="1508" spans="1:27">
      <c r="A1508" t="s">
        <v>28</v>
      </c>
      <c r="B1508" t="s">
        <v>29</v>
      </c>
      <c r="C1508" t="s">
        <v>5140</v>
      </c>
      <c r="D1508" t="s">
        <v>5141</v>
      </c>
      <c r="E1508" t="s">
        <v>5142</v>
      </c>
      <c r="F1508" t="s">
        <v>41</v>
      </c>
      <c r="G1508">
        <v>0</v>
      </c>
      <c r="H1508">
        <f>((0/1000) * G1508)</f>
        <v>0</v>
      </c>
      <c r="I1508">
        <v>0</v>
      </c>
      <c r="J1508">
        <v>0</v>
      </c>
      <c r="K1508" s="6007">
        <v>864595.33</v>
      </c>
      <c r="L1508" s="6008">
        <f>(K1508 * G1508)</f>
        <v>0</v>
      </c>
      <c r="M1508" s="6009">
        <v>1210433.46</v>
      </c>
      <c r="N1508" s="6010">
        <f>(G1508 * M1508)</f>
        <v>0</v>
      </c>
      <c r="O1508">
        <v>0</v>
      </c>
      <c r="P1508">
        <v>0</v>
      </c>
      <c r="Q1508">
        <f>IF(O1508&gt;G1508,(O1508-G1508),0)</f>
        <v>0</v>
      </c>
      <c r="R1508">
        <v>1</v>
      </c>
      <c r="S1508">
        <f>IF(Q1508&gt;0,Int(P1508/Q1508),0)</f>
        <v>0</v>
      </c>
      <c r="T1508">
        <f>0</f>
        <v>0</v>
      </c>
      <c r="U1508"/>
      <c r="V1508">
        <v>864595.33</v>
      </c>
      <c r="W1508" t="s">
        <v>182</v>
      </c>
      <c r="X1508"/>
    </row>
    <row r="1509" spans="1:27">
      <c r="A1509" t="s">
        <v>35</v>
      </c>
      <c r="B1509" t="s">
        <v>29</v>
      </c>
      <c r="C1509" t="s">
        <v>5143</v>
      </c>
      <c r="D1509" t="s">
        <v>5144</v>
      </c>
      <c r="E1509" t="s">
        <v>5145</v>
      </c>
      <c r="F1509" t="s">
        <v>33</v>
      </c>
      <c r="G1509">
        <v>0</v>
      </c>
      <c r="H1509">
        <f>((0/1000) * G1509)</f>
        <v>0</v>
      </c>
      <c r="I1509">
        <v>0</v>
      </c>
      <c r="J1509">
        <v>0</v>
      </c>
      <c r="K1509" s="6011">
        <v>960499.63</v>
      </c>
      <c r="L1509" s="6012">
        <f>(K1509 * G1509)</f>
        <v>0</v>
      </c>
      <c r="M1509" s="6013">
        <v>1344699.49</v>
      </c>
      <c r="N1509" s="6014">
        <f>(G1509 * M1509)</f>
        <v>0</v>
      </c>
      <c r="O1509">
        <v>0</v>
      </c>
      <c r="P1509">
        <v>0</v>
      </c>
      <c r="Q1509">
        <f>IF(O1509&gt;G1509,(O1509-G1509),0)</f>
        <v>0</v>
      </c>
      <c r="R1509">
        <v>1</v>
      </c>
      <c r="S1509">
        <f>IF(Q1509&gt;0,Int(P1509/Q1509),0)</f>
        <v>0</v>
      </c>
      <c r="T1509">
        <f>0</f>
        <v>0</v>
      </c>
      <c r="U1509"/>
      <c r="V1509">
        <v>960499.63</v>
      </c>
      <c r="W1509" t="s">
        <v>182</v>
      </c>
      <c r="X1509"/>
    </row>
    <row r="1510" spans="1:27">
      <c r="A1510" t="s">
        <v>35</v>
      </c>
      <c r="B1510" t="s">
        <v>29</v>
      </c>
      <c r="C1510" t="s">
        <v>5146</v>
      </c>
      <c r="D1510" t="s">
        <v>5147</v>
      </c>
      <c r="E1510" t="s">
        <v>5148</v>
      </c>
      <c r="F1510" t="s">
        <v>41</v>
      </c>
      <c r="G1510">
        <v>4</v>
      </c>
      <c r="H1510">
        <f>((0/1000) * G1510)</f>
        <v>0</v>
      </c>
      <c r="I1510">
        <v>0</v>
      </c>
      <c r="J1510">
        <v>4</v>
      </c>
      <c r="K1510" s="6015">
        <v>305804</v>
      </c>
      <c r="L1510" s="6016">
        <f>(K1510 * G1510)</f>
        <v>1223216</v>
      </c>
      <c r="M1510" s="6017">
        <v>473996.2</v>
      </c>
      <c r="N1510" s="6018">
        <f>(G1510 * M1510)</f>
        <v>1895984.8</v>
      </c>
      <c r="O1510">
        <v>0</v>
      </c>
      <c r="P1510">
        <v>0</v>
      </c>
      <c r="Q1510">
        <f>IF(O1510&gt;G1510,(O1510-G1510),0)</f>
        <v>0</v>
      </c>
      <c r="R1510">
        <v>1</v>
      </c>
      <c r="S1510">
        <f>IF(Q1510&gt;0,Int(P1510/Q1510),0)</f>
        <v>0</v>
      </c>
      <c r="T1510">
        <f>453884.3</f>
        <v>453884.3</v>
      </c>
      <c r="U1510" t="s">
        <v>1585</v>
      </c>
      <c r="V1510">
        <v>305804</v>
      </c>
      <c r="W1510" t="s">
        <v>423</v>
      </c>
      <c r="X1510"/>
    </row>
    <row r="1511" spans="1:27">
      <c r="A1511" t="s">
        <v>28</v>
      </c>
      <c r="B1511" t="s">
        <v>29</v>
      </c>
      <c r="C1511" t="s">
        <v>5149</v>
      </c>
      <c r="D1511" t="s">
        <v>5150</v>
      </c>
      <c r="E1511" t="s">
        <v>5151</v>
      </c>
      <c r="F1511" t="s">
        <v>33</v>
      </c>
      <c r="G1511">
        <v>0</v>
      </c>
      <c r="H1511">
        <f>((0/1000) * G1511)</f>
        <v>0</v>
      </c>
      <c r="I1511">
        <v>0</v>
      </c>
      <c r="J1511">
        <v>0</v>
      </c>
      <c r="K1511" s="6019">
        <v>492676.02</v>
      </c>
      <c r="L1511" s="6020">
        <f>(K1511 * G1511)</f>
        <v>0</v>
      </c>
      <c r="M1511" s="6021">
        <v>689746.43</v>
      </c>
      <c r="N1511" s="6022">
        <f>(G1511 * M1511)</f>
        <v>0</v>
      </c>
      <c r="O1511">
        <v>0</v>
      </c>
      <c r="P1511">
        <v>0</v>
      </c>
      <c r="Q1511">
        <f>IF(O1511&gt;G1511,(O1511-G1511),0)</f>
        <v>0</v>
      </c>
      <c r="R1511">
        <v>1</v>
      </c>
      <c r="S1511">
        <f>IF(Q1511&gt;0,Int(P1511/Q1511),0)</f>
        <v>0</v>
      </c>
      <c r="T1511">
        <f>0</f>
        <v>0</v>
      </c>
      <c r="U1511"/>
      <c r="V1511">
        <v>492676.02</v>
      </c>
      <c r="W1511" t="s">
        <v>182</v>
      </c>
      <c r="X1511"/>
    </row>
    <row r="1512" spans="1:27">
      <c r="A1512" t="s">
        <v>28</v>
      </c>
      <c r="B1512" t="s">
        <v>29</v>
      </c>
      <c r="C1512" t="s">
        <v>5152</v>
      </c>
      <c r="D1512" t="s">
        <v>5153</v>
      </c>
      <c r="E1512" t="s">
        <v>5154</v>
      </c>
      <c r="F1512" t="s">
        <v>41</v>
      </c>
      <c r="G1512">
        <v>2</v>
      </c>
      <c r="H1512">
        <f>((0/1000) * G1512)</f>
        <v>0</v>
      </c>
      <c r="I1512">
        <v>2</v>
      </c>
      <c r="J1512">
        <v>0</v>
      </c>
      <c r="K1512" s="6023">
        <v>292362.13</v>
      </c>
      <c r="L1512" s="6024">
        <f>(K1512 * G1512)</f>
        <v>584724.26</v>
      </c>
      <c r="M1512" s="6025">
        <v>409306.98</v>
      </c>
      <c r="N1512" s="6026">
        <f>(G1512 * M1512)</f>
        <v>818613.96</v>
      </c>
      <c r="O1512">
        <v>0</v>
      </c>
      <c r="P1512">
        <v>0</v>
      </c>
      <c r="Q1512">
        <f>IF(O1512&gt;G1512,(O1512-G1512),0)</f>
        <v>0</v>
      </c>
      <c r="R1512">
        <v>1</v>
      </c>
      <c r="S1512">
        <f>IF(Q1512&gt;0,Int(P1512/Q1512),0)</f>
        <v>0</v>
      </c>
      <c r="T1512">
        <f>173102.93</f>
        <v>173102.93</v>
      </c>
      <c r="U1512" t="s">
        <v>5155</v>
      </c>
      <c r="V1512">
        <v>292362.13</v>
      </c>
      <c r="W1512" t="s">
        <v>182</v>
      </c>
      <c r="X1512"/>
    </row>
    <row r="1513" spans="1:27">
      <c r="A1513" t="s">
        <v>28</v>
      </c>
      <c r="B1513" t="s">
        <v>29</v>
      </c>
      <c r="C1513" t="s">
        <v>5156</v>
      </c>
      <c r="D1513" t="s">
        <v>5157</v>
      </c>
      <c r="E1513" t="s">
        <v>5158</v>
      </c>
      <c r="F1513" t="s">
        <v>33</v>
      </c>
      <c r="G1513">
        <v>0</v>
      </c>
      <c r="H1513">
        <f>((0/1000) * G1513)</f>
        <v>0</v>
      </c>
      <c r="I1513">
        <v>0</v>
      </c>
      <c r="J1513">
        <v>0</v>
      </c>
      <c r="K1513" s="6027">
        <v>265839.64</v>
      </c>
      <c r="L1513" s="6028">
        <f>(K1513 * G1513)</f>
        <v>0</v>
      </c>
      <c r="M1513" s="6029">
        <v>372175.5</v>
      </c>
      <c r="N1513" s="6030">
        <f>(G1513 * M1513)</f>
        <v>0</v>
      </c>
      <c r="O1513">
        <v>0</v>
      </c>
      <c r="P1513">
        <v>0</v>
      </c>
      <c r="Q1513">
        <f>IF(O1513&gt;G1513,(O1513-G1513),0)</f>
        <v>0</v>
      </c>
      <c r="R1513">
        <v>1</v>
      </c>
      <c r="S1513">
        <f>IF(Q1513&gt;0,Int(P1513/Q1513),0)</f>
        <v>0</v>
      </c>
      <c r="T1513">
        <f>0</f>
        <v>0</v>
      </c>
      <c r="U1513"/>
      <c r="V1513">
        <v>265839.64</v>
      </c>
      <c r="W1513" t="s">
        <v>182</v>
      </c>
      <c r="X1513"/>
    </row>
    <row r="1514" spans="1:27">
      <c r="A1514" t="s">
        <v>28</v>
      </c>
      <c r="B1514" t="s">
        <v>29</v>
      </c>
      <c r="C1514" t="s">
        <v>5159</v>
      </c>
      <c r="D1514" t="s">
        <v>1148</v>
      </c>
      <c r="E1514" t="s">
        <v>5160</v>
      </c>
      <c r="F1514" t="s">
        <v>33</v>
      </c>
      <c r="G1514">
        <v>0</v>
      </c>
      <c r="H1514">
        <f>((0/1000) * G1514)</f>
        <v>0</v>
      </c>
      <c r="I1514">
        <v>0</v>
      </c>
      <c r="J1514">
        <v>0</v>
      </c>
      <c r="K1514" s="6031">
        <v>223901.7</v>
      </c>
      <c r="L1514" s="6032">
        <f>(K1514 * G1514)</f>
        <v>0</v>
      </c>
      <c r="M1514" s="6033">
        <v>313462.38</v>
      </c>
      <c r="N1514" s="6034">
        <f>(G1514 * M1514)</f>
        <v>0</v>
      </c>
      <c r="O1514">
        <v>0</v>
      </c>
      <c r="P1514">
        <v>0</v>
      </c>
      <c r="Q1514">
        <f>IF(O1514&gt;G1514,(O1514-G1514),0)</f>
        <v>0</v>
      </c>
      <c r="R1514">
        <v>0</v>
      </c>
      <c r="S1514">
        <f>IF(Q1514&gt;0,Int(P1514/Q1514),0)</f>
        <v>0</v>
      </c>
      <c r="T1514">
        <f>0</f>
        <v>0</v>
      </c>
      <c r="U1514"/>
      <c r="V1514">
        <v>223901.7</v>
      </c>
      <c r="W1514" t="s">
        <v>75</v>
      </c>
      <c r="X1514"/>
    </row>
    <row r="1515" spans="1:27">
      <c r="A1515" t="s">
        <v>28</v>
      </c>
      <c r="B1515" t="s">
        <v>29</v>
      </c>
      <c r="C1515" t="s">
        <v>5161</v>
      </c>
      <c r="D1515" t="s">
        <v>5162</v>
      </c>
      <c r="E1515" t="s">
        <v>5163</v>
      </c>
      <c r="F1515" t="s">
        <v>33</v>
      </c>
      <c r="G1515">
        <v>0</v>
      </c>
      <c r="H1515">
        <f>((0/1000) * G1515)</f>
        <v>0</v>
      </c>
      <c r="I1515">
        <v>0</v>
      </c>
      <c r="J1515">
        <v>0</v>
      </c>
      <c r="K1515" s="6035">
        <v>273057.85</v>
      </c>
      <c r="L1515" s="6036">
        <f>(K1515 * G1515)</f>
        <v>0</v>
      </c>
      <c r="M1515" s="6037">
        <v>300363.64</v>
      </c>
      <c r="N1515" s="6038">
        <f>(G1515 * M1515)</f>
        <v>0</v>
      </c>
      <c r="O1515">
        <v>0</v>
      </c>
      <c r="P1515">
        <v>0</v>
      </c>
      <c r="Q1515">
        <f>IF(O1515&gt;G1515,(O1515-G1515),0)</f>
        <v>0</v>
      </c>
      <c r="R1515">
        <v>1</v>
      </c>
      <c r="S1515">
        <f>IF(Q1515&gt;0,Int(P1515/Q1515),0)</f>
        <v>0</v>
      </c>
      <c r="T1515">
        <f>252817.43</f>
        <v>252817.43</v>
      </c>
      <c r="U1515" t="s">
        <v>5164</v>
      </c>
      <c r="V1515">
        <v>273057.85</v>
      </c>
      <c r="W1515" t="s">
        <v>43</v>
      </c>
      <c r="X1515"/>
    </row>
    <row r="1516" spans="1:27">
      <c r="A1516" t="s">
        <v>28</v>
      </c>
      <c r="B1516" t="s">
        <v>29</v>
      </c>
      <c r="C1516" t="s">
        <v>5165</v>
      </c>
      <c r="D1516" t="s">
        <v>5166</v>
      </c>
      <c r="E1516" t="s">
        <v>5167</v>
      </c>
      <c r="F1516" t="s">
        <v>33</v>
      </c>
      <c r="G1516">
        <v>0</v>
      </c>
      <c r="H1516">
        <f>((0/1000) * G1516)</f>
        <v>0</v>
      </c>
      <c r="I1516">
        <v>0</v>
      </c>
      <c r="J1516">
        <v>0</v>
      </c>
      <c r="K1516" s="6039">
        <v>222110.27</v>
      </c>
      <c r="L1516" s="6040">
        <f>(K1516 * G1516)</f>
        <v>0</v>
      </c>
      <c r="M1516" s="6041">
        <v>310954.38</v>
      </c>
      <c r="N1516" s="6042">
        <f>(G1516 * M1516)</f>
        <v>0</v>
      </c>
      <c r="O1516">
        <v>0</v>
      </c>
      <c r="P1516">
        <v>0</v>
      </c>
      <c r="Q1516">
        <f>IF(O1516&gt;G1516,(O1516-G1516),0)</f>
        <v>0</v>
      </c>
      <c r="R1516">
        <v>1</v>
      </c>
      <c r="S1516">
        <f>IF(Q1516&gt;0,Int(P1516/Q1516),0)</f>
        <v>0</v>
      </c>
      <c r="T1516">
        <f>0</f>
        <v>0</v>
      </c>
      <c r="U1516"/>
      <c r="V1516">
        <v>222110.27</v>
      </c>
      <c r="W1516" t="s">
        <v>75</v>
      </c>
      <c r="X1516"/>
    </row>
    <row r="1517" spans="1:27">
      <c r="A1517" t="s">
        <v>28</v>
      </c>
      <c r="B1517" t="s">
        <v>29</v>
      </c>
      <c r="C1517" t="s">
        <v>5168</v>
      </c>
      <c r="D1517" t="s">
        <v>5169</v>
      </c>
      <c r="E1517" t="s">
        <v>5170</v>
      </c>
      <c r="F1517" t="s">
        <v>33</v>
      </c>
      <c r="G1517">
        <v>0</v>
      </c>
      <c r="H1517">
        <f>((0/1000) * G1517)</f>
        <v>0</v>
      </c>
      <c r="I1517">
        <v>0</v>
      </c>
      <c r="J1517">
        <v>0</v>
      </c>
      <c r="K1517" s="6043">
        <v>175314.53</v>
      </c>
      <c r="L1517" s="6044">
        <f>(K1517 * G1517)</f>
        <v>0</v>
      </c>
      <c r="M1517" s="6045">
        <v>245440.35</v>
      </c>
      <c r="N1517" s="6046">
        <f>(G1517 * M1517)</f>
        <v>0</v>
      </c>
      <c r="O1517">
        <v>0</v>
      </c>
      <c r="P1517">
        <v>0</v>
      </c>
      <c r="Q1517">
        <f>IF(O1517&gt;G1517,(O1517-G1517),0)</f>
        <v>0</v>
      </c>
      <c r="R1517">
        <v>1</v>
      </c>
      <c r="S1517">
        <f>IF(Q1517&gt;0,Int(P1517/Q1517),0)</f>
        <v>0</v>
      </c>
      <c r="T1517">
        <f>159376.85</f>
        <v>159376.85</v>
      </c>
      <c r="U1517" t="s">
        <v>5171</v>
      </c>
      <c r="V1517">
        <v>175314.53</v>
      </c>
      <c r="W1517" t="s">
        <v>75</v>
      </c>
      <c r="X1517"/>
    </row>
    <row r="1518" spans="1:27">
      <c r="A1518" t="s">
        <v>28</v>
      </c>
      <c r="B1518" t="s">
        <v>29</v>
      </c>
      <c r="C1518" t="s">
        <v>3514</v>
      </c>
      <c r="D1518" t="s">
        <v>640</v>
      </c>
      <c r="E1518" t="s">
        <v>5172</v>
      </c>
      <c r="F1518" t="s">
        <v>33</v>
      </c>
      <c r="G1518">
        <v>0</v>
      </c>
      <c r="H1518">
        <f>((0/1000) * G1518)</f>
        <v>0</v>
      </c>
      <c r="I1518">
        <v>0</v>
      </c>
      <c r="J1518">
        <v>0</v>
      </c>
      <c r="K1518" s="6047">
        <v>165008.18</v>
      </c>
      <c r="L1518" s="6048">
        <f>(K1518 * G1518)</f>
        <v>0</v>
      </c>
      <c r="M1518" s="6049">
        <v>231011.45</v>
      </c>
      <c r="N1518" s="6050">
        <f>(G1518 * M1518)</f>
        <v>0</v>
      </c>
      <c r="O1518">
        <v>0</v>
      </c>
      <c r="P1518">
        <v>0</v>
      </c>
      <c r="Q1518">
        <f>IF(O1518&gt;G1518,(O1518-G1518),0)</f>
        <v>0</v>
      </c>
      <c r="R1518">
        <v>0</v>
      </c>
      <c r="S1518">
        <f>IF(Q1518&gt;0,Int(P1518/Q1518),0)</f>
        <v>0</v>
      </c>
      <c r="T1518">
        <f>150007.44</f>
        <v>150007.44</v>
      </c>
      <c r="U1518" t="s">
        <v>5173</v>
      </c>
      <c r="V1518">
        <v>165008.18</v>
      </c>
      <c r="W1518" t="s">
        <v>75</v>
      </c>
      <c r="X1518" t="s">
        <v>428</v>
      </c>
    </row>
    <row r="1519" spans="1:27">
      <c r="A1519" t="s">
        <v>28</v>
      </c>
      <c r="B1519" t="s">
        <v>29</v>
      </c>
      <c r="C1519" t="s">
        <v>5174</v>
      </c>
      <c r="D1519" t="s">
        <v>5175</v>
      </c>
      <c r="E1519" t="s">
        <v>5176</v>
      </c>
      <c r="F1519" t="s">
        <v>33</v>
      </c>
      <c r="G1519">
        <v>0</v>
      </c>
      <c r="H1519">
        <f>((0/1000) * G1519)</f>
        <v>0</v>
      </c>
      <c r="I1519">
        <v>0</v>
      </c>
      <c r="J1519">
        <v>0</v>
      </c>
      <c r="K1519" s="6051">
        <v>182370.77</v>
      </c>
      <c r="L1519" s="6052">
        <f>(K1519 * G1519)</f>
        <v>0</v>
      </c>
      <c r="M1519" s="6053">
        <v>255319.08</v>
      </c>
      <c r="N1519" s="6054">
        <f>(G1519 * M1519)</f>
        <v>0</v>
      </c>
      <c r="O1519">
        <v>0</v>
      </c>
      <c r="P1519">
        <v>0</v>
      </c>
      <c r="Q1519">
        <f>IF(O1519&gt;G1519,(O1519-G1519),0)</f>
        <v>0</v>
      </c>
      <c r="R1519">
        <v>1</v>
      </c>
      <c r="S1519">
        <f>IF(Q1519&gt;0,Int(P1519/Q1519),0)</f>
        <v>0</v>
      </c>
      <c r="T1519">
        <f>0</f>
        <v>0</v>
      </c>
      <c r="U1519"/>
      <c r="V1519">
        <v>182370.77</v>
      </c>
      <c r="W1519" t="s">
        <v>43</v>
      </c>
      <c r="X1519"/>
    </row>
    <row r="1520" spans="1:27">
      <c r="A1520" t="s">
        <v>28</v>
      </c>
      <c r="B1520" t="s">
        <v>29</v>
      </c>
      <c r="C1520" t="s">
        <v>5177</v>
      </c>
      <c r="D1520" t="s">
        <v>5178</v>
      </c>
      <c r="E1520" t="s">
        <v>5179</v>
      </c>
      <c r="F1520" t="s">
        <v>33</v>
      </c>
      <c r="G1520">
        <v>3</v>
      </c>
      <c r="H1520">
        <f>((1/1000) * G1520)</f>
        <v>0.003</v>
      </c>
      <c r="I1520">
        <v>0</v>
      </c>
      <c r="J1520">
        <v>3</v>
      </c>
      <c r="K1520" s="6055">
        <v>50679</v>
      </c>
      <c r="L1520" s="6056">
        <f>(K1520 * G1520)</f>
        <v>152037</v>
      </c>
      <c r="M1520" s="6057">
        <v>91222.2</v>
      </c>
      <c r="N1520" s="6058">
        <f>(G1520 * M1520)</f>
        <v>273666.6</v>
      </c>
      <c r="O1520">
        <v>0</v>
      </c>
      <c r="P1520">
        <v>0</v>
      </c>
      <c r="Q1520">
        <f>IF(O1520&gt;G1520,(O1520-G1520),0)</f>
        <v>0</v>
      </c>
      <c r="R1520">
        <v>1</v>
      </c>
      <c r="S1520">
        <f>IF(Q1520&gt;0,Int(P1520/Q1520),0)</f>
        <v>0</v>
      </c>
      <c r="T1520">
        <f>50679</f>
        <v>50679</v>
      </c>
      <c r="U1520" t="s">
        <v>5180</v>
      </c>
      <c r="V1520">
        <v>50679</v>
      </c>
      <c r="W1520" t="s">
        <v>1467</v>
      </c>
      <c r="X1520" t="s">
        <v>136</v>
      </c>
    </row>
    <row r="1521" spans="1:27">
      <c r="A1521" t="s">
        <v>35</v>
      </c>
      <c r="B1521" t="s">
        <v>29</v>
      </c>
      <c r="C1521" t="s">
        <v>5181</v>
      </c>
      <c r="D1521" t="s">
        <v>5182</v>
      </c>
      <c r="E1521" t="s">
        <v>5183</v>
      </c>
      <c r="F1521" t="s">
        <v>41</v>
      </c>
      <c r="G1521">
        <v>0</v>
      </c>
      <c r="H1521">
        <f>((1/1000) * G1521)</f>
        <v>0</v>
      </c>
      <c r="I1521">
        <v>0</v>
      </c>
      <c r="J1521">
        <v>0</v>
      </c>
      <c r="K1521" s="6059">
        <v>0</v>
      </c>
      <c r="L1521" s="6060">
        <f>(K1521 * G1521)</f>
        <v>0</v>
      </c>
      <c r="M1521" s="6061">
        <v>0</v>
      </c>
      <c r="N1521" s="6062">
        <f>(G1521 * M1521)</f>
        <v>0</v>
      </c>
      <c r="O1521">
        <v>0</v>
      </c>
      <c r="P1521">
        <v>0</v>
      </c>
      <c r="Q1521">
        <f>IF(O1521&gt;G1521,(O1521-G1521),0)</f>
        <v>0</v>
      </c>
      <c r="R1521">
        <v>1</v>
      </c>
      <c r="S1521">
        <f>IF(Q1521&gt;0,Int(P1521/Q1521),0)</f>
        <v>0</v>
      </c>
      <c r="T1521">
        <f>0</f>
        <v>0</v>
      </c>
      <c r="U1521"/>
      <c r="V1521">
        <v>0</v>
      </c>
      <c r="W1521">
        <v>0</v>
      </c>
      <c r="X1521"/>
    </row>
    <row r="1522" spans="1:27">
      <c r="A1522" t="s">
        <v>28</v>
      </c>
      <c r="B1522" t="s">
        <v>29</v>
      </c>
      <c r="C1522" t="s">
        <v>5184</v>
      </c>
      <c r="D1522" t="s">
        <v>5185</v>
      </c>
      <c r="E1522" t="s">
        <v>5186</v>
      </c>
      <c r="F1522" t="s">
        <v>33</v>
      </c>
      <c r="G1522">
        <v>0</v>
      </c>
      <c r="H1522">
        <f>((0/1000) * G1522)</f>
        <v>0</v>
      </c>
      <c r="I1522">
        <v>0</v>
      </c>
      <c r="J1522">
        <v>0</v>
      </c>
      <c r="K1522" s="6063">
        <v>166510.91</v>
      </c>
      <c r="L1522" s="6064">
        <f>(K1522 * G1522)</f>
        <v>0</v>
      </c>
      <c r="M1522" s="6065">
        <v>249766.36</v>
      </c>
      <c r="N1522" s="6066">
        <f>(G1522 * M1522)</f>
        <v>0</v>
      </c>
      <c r="O1522">
        <v>0</v>
      </c>
      <c r="P1522">
        <v>0</v>
      </c>
      <c r="Q1522">
        <f>IF(O1522&gt;G1522,(O1522-G1522),0)</f>
        <v>0</v>
      </c>
      <c r="R1522">
        <v>1</v>
      </c>
      <c r="S1522">
        <f>IF(Q1522&gt;0,Int(P1522/Q1522),0)</f>
        <v>0</v>
      </c>
      <c r="T1522">
        <f>151373.55</f>
        <v>151373.55</v>
      </c>
      <c r="U1522" t="s">
        <v>3757</v>
      </c>
      <c r="V1522">
        <v>166510.91</v>
      </c>
      <c r="W1522" t="s">
        <v>43</v>
      </c>
      <c r="X1522" t="s">
        <v>687</v>
      </c>
    </row>
    <row r="1523" spans="1:27">
      <c r="A1523" t="s">
        <v>28</v>
      </c>
      <c r="B1523" t="s">
        <v>29</v>
      </c>
      <c r="C1523" t="s">
        <v>5187</v>
      </c>
      <c r="D1523" t="s">
        <v>5188</v>
      </c>
      <c r="E1523" t="s">
        <v>5189</v>
      </c>
      <c r="F1523" t="s">
        <v>33</v>
      </c>
      <c r="G1523">
        <v>0</v>
      </c>
      <c r="H1523">
        <f>((0/1000) * G1523)</f>
        <v>0</v>
      </c>
      <c r="I1523">
        <v>0</v>
      </c>
      <c r="J1523">
        <v>0</v>
      </c>
      <c r="K1523" s="6067">
        <v>0</v>
      </c>
      <c r="L1523" s="6068">
        <f>(K1523 * G1523)</f>
        <v>0</v>
      </c>
      <c r="M1523" s="6069">
        <v>0</v>
      </c>
      <c r="N1523" s="6070">
        <f>(G1523 * M1523)</f>
        <v>0</v>
      </c>
      <c r="O1523">
        <v>0</v>
      </c>
      <c r="P1523">
        <v>0</v>
      </c>
      <c r="Q1523">
        <f>IF(O1523&gt;G1523,(O1523-G1523),0)</f>
        <v>0</v>
      </c>
      <c r="R1523">
        <v>1</v>
      </c>
      <c r="S1523">
        <f>IF(Q1523&gt;0,Int(P1523/Q1523),0)</f>
        <v>0</v>
      </c>
      <c r="T1523">
        <f>244477.84</f>
        <v>244477.84</v>
      </c>
      <c r="U1523" t="s">
        <v>5190</v>
      </c>
      <c r="V1523">
        <v>0</v>
      </c>
      <c r="W1523">
        <v>0</v>
      </c>
      <c r="X1523"/>
    </row>
    <row r="1524" spans="1:27">
      <c r="A1524" t="s">
        <v>28</v>
      </c>
      <c r="B1524" t="s">
        <v>29</v>
      </c>
      <c r="C1524" t="s">
        <v>5191</v>
      </c>
      <c r="D1524" t="s">
        <v>5192</v>
      </c>
      <c r="E1524" t="s">
        <v>5193</v>
      </c>
      <c r="F1524" t="s">
        <v>33</v>
      </c>
      <c r="G1524">
        <v>0</v>
      </c>
      <c r="H1524">
        <f>((0/1000) * G1524)</f>
        <v>0</v>
      </c>
      <c r="I1524">
        <v>0</v>
      </c>
      <c r="J1524">
        <v>0</v>
      </c>
      <c r="K1524" s="6071">
        <v>0</v>
      </c>
      <c r="L1524" s="6072">
        <f>(K1524 * G1524)</f>
        <v>0</v>
      </c>
      <c r="M1524" s="6073">
        <v>0</v>
      </c>
      <c r="N1524" s="6074">
        <f>(G1524 * M1524)</f>
        <v>0</v>
      </c>
      <c r="O1524">
        <v>0</v>
      </c>
      <c r="P1524">
        <v>0</v>
      </c>
      <c r="Q1524">
        <f>IF(O1524&gt;G1524,(O1524-G1524),0)</f>
        <v>0</v>
      </c>
      <c r="R1524">
        <v>1</v>
      </c>
      <c r="S1524">
        <f>IF(Q1524&gt;0,Int(P1524/Q1524),0)</f>
        <v>0</v>
      </c>
      <c r="T1524">
        <f>0</f>
        <v>0</v>
      </c>
      <c r="U1524"/>
      <c r="V1524">
        <v>0</v>
      </c>
      <c r="W1524">
        <v>0</v>
      </c>
      <c r="X1524"/>
    </row>
    <row r="1525" spans="1:27">
      <c r="A1525" t="s">
        <v>28</v>
      </c>
      <c r="B1525" t="s">
        <v>29</v>
      </c>
      <c r="C1525" t="s">
        <v>5194</v>
      </c>
      <c r="D1525" t="s">
        <v>5195</v>
      </c>
      <c r="E1525" t="s">
        <v>5196</v>
      </c>
      <c r="F1525" t="s">
        <v>33</v>
      </c>
      <c r="G1525">
        <v>0</v>
      </c>
      <c r="H1525">
        <f>((0/1000) * G1525)</f>
        <v>0</v>
      </c>
      <c r="I1525">
        <v>0</v>
      </c>
      <c r="J1525">
        <v>0</v>
      </c>
      <c r="K1525" s="6075">
        <v>0</v>
      </c>
      <c r="L1525" s="6076">
        <f>(K1525 * G1525)</f>
        <v>0</v>
      </c>
      <c r="M1525" s="6077">
        <v>0</v>
      </c>
      <c r="N1525" s="6078">
        <f>(G1525 * M1525)</f>
        <v>0</v>
      </c>
      <c r="O1525">
        <v>0</v>
      </c>
      <c r="P1525">
        <v>0</v>
      </c>
      <c r="Q1525">
        <f>IF(O1525&gt;G1525,(O1525-G1525),0)</f>
        <v>0</v>
      </c>
      <c r="R1525">
        <v>1</v>
      </c>
      <c r="S1525">
        <f>IF(Q1525&gt;0,Int(P1525/Q1525),0)</f>
        <v>0</v>
      </c>
      <c r="T1525">
        <f>0</f>
        <v>0</v>
      </c>
      <c r="U1525"/>
      <c r="V1525">
        <v>0</v>
      </c>
      <c r="W1525">
        <v>0</v>
      </c>
      <c r="X1525"/>
    </row>
    <row r="1526" spans="1:27">
      <c r="A1526" t="s">
        <v>35</v>
      </c>
      <c r="B1526" t="s">
        <v>29</v>
      </c>
      <c r="C1526" t="s">
        <v>5197</v>
      </c>
      <c r="D1526" t="s">
        <v>5198</v>
      </c>
      <c r="E1526" t="s">
        <v>5199</v>
      </c>
      <c r="F1526" t="s">
        <v>33</v>
      </c>
      <c r="G1526">
        <v>0</v>
      </c>
      <c r="H1526">
        <f>((0/1000) * G1526)</f>
        <v>0</v>
      </c>
      <c r="I1526">
        <v>0</v>
      </c>
      <c r="J1526">
        <v>0</v>
      </c>
      <c r="K1526" s="6079">
        <v>8404</v>
      </c>
      <c r="L1526" s="6080">
        <f>(K1526 * G1526)</f>
        <v>0</v>
      </c>
      <c r="M1526" s="6081">
        <v>9244.4</v>
      </c>
      <c r="N1526" s="6082">
        <f>(G1526 * M1526)</f>
        <v>0</v>
      </c>
      <c r="O1526">
        <v>0</v>
      </c>
      <c r="P1526">
        <v>0</v>
      </c>
      <c r="Q1526">
        <f>IF(O1526&gt;G1526,(O1526-G1526),0)</f>
        <v>0</v>
      </c>
      <c r="R1526">
        <v>1</v>
      </c>
      <c r="S1526">
        <f>IF(Q1526&gt;0,Int(P1526/Q1526),0)</f>
        <v>0</v>
      </c>
      <c r="T1526">
        <f>0</f>
        <v>0</v>
      </c>
      <c r="U1526"/>
      <c r="V1526">
        <v>8404</v>
      </c>
      <c r="W1526" t="s">
        <v>43</v>
      </c>
      <c r="X1526"/>
    </row>
    <row r="1527" spans="1:27">
      <c r="A1527" t="s">
        <v>28</v>
      </c>
      <c r="B1527" t="s">
        <v>29</v>
      </c>
      <c r="C1527" t="s">
        <v>5200</v>
      </c>
      <c r="D1527" t="s">
        <v>5201</v>
      </c>
      <c r="E1527" t="s">
        <v>5202</v>
      </c>
      <c r="F1527" t="s">
        <v>33</v>
      </c>
      <c r="G1527">
        <v>0</v>
      </c>
      <c r="H1527">
        <f>((0/1000) * G1527)</f>
        <v>0</v>
      </c>
      <c r="I1527">
        <v>0</v>
      </c>
      <c r="J1527">
        <v>0</v>
      </c>
      <c r="K1527" s="6083">
        <v>0</v>
      </c>
      <c r="L1527" s="6084">
        <f>(K1527 * G1527)</f>
        <v>0</v>
      </c>
      <c r="M1527" s="6085">
        <v>0</v>
      </c>
      <c r="N1527" s="6086">
        <f>(G1527 * M1527)</f>
        <v>0</v>
      </c>
      <c r="O1527">
        <v>0</v>
      </c>
      <c r="P1527">
        <v>0</v>
      </c>
      <c r="Q1527">
        <f>IF(O1527&gt;G1527,(O1527-G1527),0)</f>
        <v>0</v>
      </c>
      <c r="R1527">
        <v>0</v>
      </c>
      <c r="S1527">
        <f>IF(Q1527&gt;0,Int(P1527/Q1527),0)</f>
        <v>0</v>
      </c>
      <c r="T1527">
        <f>0</f>
        <v>0</v>
      </c>
      <c r="U1527"/>
      <c r="V1527">
        <v>0</v>
      </c>
      <c r="W1527">
        <v>0</v>
      </c>
      <c r="X1527"/>
    </row>
    <row r="1528" spans="1:27">
      <c r="A1528" t="s">
        <v>28</v>
      </c>
      <c r="B1528" t="s">
        <v>29</v>
      </c>
      <c r="C1528" t="s">
        <v>5203</v>
      </c>
      <c r="D1528" t="s">
        <v>5204</v>
      </c>
      <c r="E1528" t="s">
        <v>5205</v>
      </c>
      <c r="F1528" t="s">
        <v>41</v>
      </c>
      <c r="G1528">
        <v>0</v>
      </c>
      <c r="H1528">
        <f>((0/1000) * G1528)</f>
        <v>0</v>
      </c>
      <c r="I1528">
        <v>0</v>
      </c>
      <c r="J1528">
        <v>0</v>
      </c>
      <c r="K1528" s="6087">
        <v>0</v>
      </c>
      <c r="L1528" s="6088">
        <f>(K1528 * G1528)</f>
        <v>0</v>
      </c>
      <c r="M1528" s="6089">
        <v>0</v>
      </c>
      <c r="N1528" s="6090">
        <f>(G1528 * M1528)</f>
        <v>0</v>
      </c>
      <c r="O1528">
        <v>0</v>
      </c>
      <c r="P1528">
        <v>0</v>
      </c>
      <c r="Q1528">
        <f>IF(O1528&gt;G1528,(O1528-G1528),0)</f>
        <v>0</v>
      </c>
      <c r="R1528">
        <v>1</v>
      </c>
      <c r="S1528">
        <f>IF(Q1528&gt;0,Int(P1528/Q1528),0)</f>
        <v>0</v>
      </c>
      <c r="T1528">
        <f>21818.18</f>
        <v>21818.18</v>
      </c>
      <c r="U1528" t="s">
        <v>5206</v>
      </c>
      <c r="V1528">
        <v>0</v>
      </c>
      <c r="W1528">
        <v>0</v>
      </c>
      <c r="X1528"/>
    </row>
    <row r="1529" spans="1:27">
      <c r="A1529" t="s">
        <v>35</v>
      </c>
      <c r="B1529" t="s">
        <v>29</v>
      </c>
      <c r="C1529" t="s">
        <v>5207</v>
      </c>
      <c r="D1529" t="s">
        <v>5208</v>
      </c>
      <c r="E1529" t="s">
        <v>5209</v>
      </c>
      <c r="F1529" t="s">
        <v>33</v>
      </c>
      <c r="G1529">
        <v>0</v>
      </c>
      <c r="H1529">
        <f>((0/1000) * G1529)</f>
        <v>0</v>
      </c>
      <c r="I1529">
        <v>0</v>
      </c>
      <c r="J1529">
        <v>0</v>
      </c>
      <c r="K1529" s="6091">
        <v>0</v>
      </c>
      <c r="L1529" s="6092">
        <f>(K1529 * G1529)</f>
        <v>0</v>
      </c>
      <c r="M1529" s="6093">
        <v>0</v>
      </c>
      <c r="N1529" s="6094">
        <f>(G1529 * M1529)</f>
        <v>0</v>
      </c>
      <c r="O1529">
        <v>0</v>
      </c>
      <c r="P1529">
        <v>0</v>
      </c>
      <c r="Q1529">
        <f>IF(O1529&gt;G1529,(O1529-G1529),0)</f>
        <v>0</v>
      </c>
      <c r="R1529">
        <v>1</v>
      </c>
      <c r="S1529">
        <f>IF(Q1529&gt;0,Int(P1529/Q1529),0)</f>
        <v>0</v>
      </c>
      <c r="T1529">
        <f>0</f>
        <v>0</v>
      </c>
      <c r="U1529"/>
      <c r="V1529">
        <v>0</v>
      </c>
      <c r="W1529">
        <v>0</v>
      </c>
      <c r="X1529"/>
    </row>
    <row r="1530" spans="1:27">
      <c r="A1530" t="s">
        <v>35</v>
      </c>
      <c r="B1530" t="s">
        <v>29</v>
      </c>
      <c r="C1530" t="s">
        <v>5210</v>
      </c>
      <c r="D1530" t="s">
        <v>5211</v>
      </c>
      <c r="E1530" t="s">
        <v>5212</v>
      </c>
      <c r="F1530" t="s">
        <v>33</v>
      </c>
      <c r="G1530">
        <v>3</v>
      </c>
      <c r="H1530">
        <f>((0/1000) * G1530)</f>
        <v>0</v>
      </c>
      <c r="I1530">
        <v>0</v>
      </c>
      <c r="J1530">
        <v>3</v>
      </c>
      <c r="K1530" s="6095">
        <v>266946</v>
      </c>
      <c r="L1530" s="6096">
        <f>(K1530 * G1530)</f>
        <v>800838</v>
      </c>
      <c r="M1530" s="6097">
        <v>427113.6</v>
      </c>
      <c r="N1530" s="6098">
        <f>(G1530 * M1530)</f>
        <v>1281340.8</v>
      </c>
      <c r="O1530">
        <v>0</v>
      </c>
      <c r="P1530">
        <v>0</v>
      </c>
      <c r="Q1530">
        <f>IF(O1530&gt;G1530,(O1530-G1530),0)</f>
        <v>0</v>
      </c>
      <c r="R1530">
        <v>0</v>
      </c>
      <c r="S1530">
        <f>IF(Q1530&gt;0,Int(P1530/Q1530),0)</f>
        <v>0</v>
      </c>
      <c r="T1530">
        <f>266946</f>
        <v>266946</v>
      </c>
      <c r="U1530" t="s">
        <v>135</v>
      </c>
      <c r="V1530">
        <v>266946</v>
      </c>
      <c r="W1530" t="s">
        <v>898</v>
      </c>
      <c r="X1530"/>
    </row>
    <row r="1531" spans="1:27">
      <c r="A1531" t="s">
        <v>35</v>
      </c>
      <c r="B1531" t="s">
        <v>29</v>
      </c>
      <c r="C1531" t="s">
        <v>5213</v>
      </c>
      <c r="D1531" t="s">
        <v>5214</v>
      </c>
      <c r="E1531" t="s">
        <v>5215</v>
      </c>
      <c r="F1531" t="s">
        <v>33</v>
      </c>
      <c r="G1531">
        <v>0</v>
      </c>
      <c r="H1531">
        <f>((0/1000) * G1531)</f>
        <v>0</v>
      </c>
      <c r="I1531">
        <v>0</v>
      </c>
      <c r="J1531">
        <v>0</v>
      </c>
      <c r="K1531" s="6099">
        <v>140000</v>
      </c>
      <c r="L1531" s="6100">
        <f>(K1531 * G1531)</f>
        <v>0</v>
      </c>
      <c r="M1531" s="6101">
        <v>196000</v>
      </c>
      <c r="N1531" s="6102">
        <f>(G1531 * M1531)</f>
        <v>0</v>
      </c>
      <c r="O1531">
        <v>0</v>
      </c>
      <c r="P1531">
        <v>0</v>
      </c>
      <c r="Q1531">
        <f>IF(O1531&gt;G1531,(O1531-G1531),0)</f>
        <v>0</v>
      </c>
      <c r="R1531">
        <v>1</v>
      </c>
      <c r="S1531">
        <f>IF(Q1531&gt;0,Int(P1531/Q1531),0)</f>
        <v>0</v>
      </c>
      <c r="T1531">
        <f>127272.73</f>
        <v>127272.73</v>
      </c>
      <c r="U1531" t="s">
        <v>5216</v>
      </c>
      <c r="V1531">
        <v>140000</v>
      </c>
      <c r="W1531" t="s">
        <v>75</v>
      </c>
      <c r="X1531"/>
    </row>
    <row r="1532" spans="1:27">
      <c r="A1532" t="s">
        <v>35</v>
      </c>
      <c r="B1532" t="s">
        <v>29</v>
      </c>
      <c r="C1532" t="s">
        <v>5217</v>
      </c>
      <c r="D1532" t="s">
        <v>5218</v>
      </c>
      <c r="E1532" t="s">
        <v>5219</v>
      </c>
      <c r="F1532" t="s">
        <v>33</v>
      </c>
      <c r="G1532">
        <v>0</v>
      </c>
      <c r="H1532">
        <f>((0/1000) * G1532)</f>
        <v>0</v>
      </c>
      <c r="I1532">
        <v>0</v>
      </c>
      <c r="J1532">
        <v>0</v>
      </c>
      <c r="K1532" s="6103">
        <v>112272.6</v>
      </c>
      <c r="L1532" s="6104">
        <f>(K1532 * G1532)</f>
        <v>0</v>
      </c>
      <c r="M1532" s="6105">
        <v>123499.86</v>
      </c>
      <c r="N1532" s="6106">
        <f>(G1532 * M1532)</f>
        <v>0</v>
      </c>
      <c r="O1532">
        <v>0</v>
      </c>
      <c r="P1532">
        <v>0</v>
      </c>
      <c r="Q1532">
        <f>IF(O1532&gt;G1532,(O1532-G1532),0)</f>
        <v>0</v>
      </c>
      <c r="R1532">
        <v>1</v>
      </c>
      <c r="S1532">
        <f>IF(Q1532&gt;0,Int(P1532/Q1532),0)</f>
        <v>0</v>
      </c>
      <c r="T1532">
        <f>62644.63</f>
        <v>62644.63</v>
      </c>
      <c r="U1532" t="s">
        <v>5220</v>
      </c>
      <c r="V1532">
        <v>112272.6</v>
      </c>
      <c r="W1532" t="s">
        <v>43</v>
      </c>
      <c r="X1532"/>
    </row>
    <row r="1533" spans="1:27">
      <c r="A1533" t="s">
        <v>35</v>
      </c>
      <c r="B1533" t="s">
        <v>29</v>
      </c>
      <c r="C1533" t="s">
        <v>5221</v>
      </c>
      <c r="D1533" t="s">
        <v>5222</v>
      </c>
      <c r="E1533" t="s">
        <v>5223</v>
      </c>
      <c r="F1533" t="s">
        <v>33</v>
      </c>
      <c r="G1533">
        <v>0</v>
      </c>
      <c r="H1533">
        <f>((0/1000) * G1533)</f>
        <v>0</v>
      </c>
      <c r="I1533">
        <v>0</v>
      </c>
      <c r="J1533">
        <v>0</v>
      </c>
      <c r="K1533" s="6107">
        <v>241239.67</v>
      </c>
      <c r="L1533" s="6108">
        <f>(K1533 * G1533)</f>
        <v>0</v>
      </c>
      <c r="M1533" s="6109">
        <v>337735.54</v>
      </c>
      <c r="N1533" s="6110">
        <f>(G1533 * M1533)</f>
        <v>0</v>
      </c>
      <c r="O1533">
        <v>0</v>
      </c>
      <c r="P1533">
        <v>0</v>
      </c>
      <c r="Q1533">
        <f>IF(O1533&gt;G1533,(O1533-G1533),0)</f>
        <v>0</v>
      </c>
      <c r="R1533">
        <v>1</v>
      </c>
      <c r="S1533">
        <f>IF(Q1533&gt;0,Int(P1533/Q1533),0)</f>
        <v>0</v>
      </c>
      <c r="T1533">
        <f>219308.79</f>
        <v>219308.79</v>
      </c>
      <c r="U1533" t="s">
        <v>5224</v>
      </c>
      <c r="V1533">
        <v>241239.67</v>
      </c>
      <c r="W1533" t="s">
        <v>75</v>
      </c>
      <c r="X153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 de Stock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2026-05-13T12:25:49-03:00</dcterms:created>
  <dcterms:modified xsi:type="dcterms:W3CDTF">2026-05-13T12:25:49-03:00</dcterms:modified>
  <dc:title>Untitled Spreadsheet</dc:title>
  <dc:description/>
  <dc:subject/>
  <cp:keywords/>
  <cp:category/>
</cp:coreProperties>
</file>